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Navigator" sheetId="1" state="visible" r:id="rId1"/>
    <sheet name="01_Master_Taxonomy" sheetId="2" state="visible" r:id="rId2"/>
    <sheet name="02_Career_Lattice_DAG" sheetId="3" state="visible" r:id="rId3"/>
    <sheet name="03_Consultant_ValueChain" sheetId="4" state="visible" r:id="rId4"/>
    <sheet name="04_Market_Dynamics_ROI" sheetId="5" state="visible" r:id="rId5"/>
    <sheet name="05_Venture_B2BSaaS" sheetId="6" state="visible" r:id="rId6"/>
    <sheet name="06_Data_Dictionary" sheetId="7" state="visible" r:id="rId7"/>
    <sheet name="07_Time_Series_Warehouse" sheetId="8" state="visible" r:id="rId8"/>
    <sheet name="08_Temporal_Comparative_Table" sheetId="9" state="visible" r:id="rId9"/>
    <sheet name="09_Cross_Elasticity_Trends" sheetId="10" state="visible" r:id="rId10"/>
  </sheets>
  <definedNames/>
  <calcPr calcId="124519" fullCalcOnLoad="1"/>
</workbook>
</file>

<file path=xl/styles.xml><?xml version="1.0" encoding="utf-8"?>
<styleSheet xmlns="http://schemas.openxmlformats.org/spreadsheetml/2006/main">
  <numFmts count="7">
    <numFmt numFmtId="164" formatCode="$#,##0"/>
    <numFmt numFmtId="165" formatCode="0.0"/>
    <numFmt numFmtId="166" formatCode="+#,##0;-#,##0;0"/>
    <numFmt numFmtId="167" formatCode="+0.0%;-0.0%;0.0%"/>
    <numFmt numFmtId="168" formatCode="0.000"/>
    <numFmt numFmtId="169" formatCode="+0.000;-0.000;0.000"/>
    <numFmt numFmtId="170" formatCode="+0.00;-0.00;0.00"/>
  </numFmts>
  <fonts count="10">
    <font>
      <name val="Calibri"/>
      <family val="2"/>
      <color theme="1"/>
      <sz val="11"/>
      <scheme val="minor"/>
    </font>
    <font>
      <name val="Malgun Gothic"/>
      <b val="1"/>
      <color rgb="001F497D"/>
      <sz val="16"/>
    </font>
    <font>
      <name val="Malgun Gothic"/>
      <color rgb="00595959"/>
      <sz val="9"/>
    </font>
    <font>
      <name val="Malgun Gothic"/>
      <b val="1"/>
      <sz val="10"/>
    </font>
    <font>
      <name val="Malgun Gothic"/>
      <b val="1"/>
      <color rgb="00C00000"/>
      <sz val="12"/>
    </font>
    <font>
      <name val="Malgun Gothic"/>
      <b val="1"/>
      <color rgb="001F497D"/>
      <sz val="12"/>
    </font>
    <font>
      <name val="Malgun Gothic"/>
      <b val="1"/>
      <color rgb="00FFFFFF"/>
      <sz val="12"/>
    </font>
    <font>
      <name val="Malgun Gothic"/>
      <sz val="10"/>
    </font>
    <font>
      <name val="Malgun Gothic"/>
      <color rgb="000000FF"/>
      <sz val="10"/>
      <u val="single"/>
    </font>
    <font>
      <name val="Malgun Gothic"/>
      <b val="1"/>
      <color rgb="00FFFFFF"/>
      <sz val="10"/>
    </font>
  </fonts>
  <fills count="8">
    <fill>
      <patternFill/>
    </fill>
    <fill>
      <patternFill patternType="gray125"/>
    </fill>
    <fill>
      <patternFill patternType="solid">
        <fgColor rgb="00FFF2CC"/>
        <bgColor rgb="00FFF2CC"/>
      </patternFill>
    </fill>
    <fill>
      <patternFill patternType="solid">
        <fgColor rgb="00244062"/>
        <bgColor rgb="00244062"/>
      </patternFill>
    </fill>
    <fill>
      <patternFill patternType="solid">
        <fgColor rgb="00F2F5F8"/>
        <bgColor rgb="00F2F5F8"/>
      </patternFill>
    </fill>
    <fill>
      <patternFill patternType="solid">
        <fgColor rgb="001F497D"/>
        <bgColor rgb="001F497D"/>
      </patternFill>
    </fill>
    <fill>
      <patternFill patternType="solid">
        <fgColor rgb="00F9FAFB"/>
        <bgColor rgb="00F9FAFB"/>
      </patternFill>
    </fill>
    <fill>
      <patternFill patternType="solid">
        <fgColor rgb="00DCE6F1"/>
        <bgColor rgb="00DCE6F1"/>
      </patternFill>
    </fill>
  </fills>
  <borders count="3">
    <border>
      <left/>
      <right/>
      <top/>
      <bottom/>
      <diagonal/>
    </border>
    <border>
      <left style="medium">
        <color rgb="00C00000"/>
      </left>
      <right style="medium">
        <color rgb="00C00000"/>
      </right>
      <top style="medium">
        <color rgb="00C00000"/>
      </top>
      <bottom style="medium">
        <color rgb="00C00000"/>
      </bottom>
    </border>
    <border>
      <left style="thin">
        <color rgb="00D9D9D9"/>
      </left>
      <right style="thin">
        <color rgb="00D9D9D9"/>
      </right>
      <top style="thin">
        <color rgb="00D9D9D9"/>
      </top>
      <bottom style="thin">
        <color rgb="00D9D9D9"/>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right" vertical="center"/>
    </xf>
    <xf numFmtId="0" fontId="4" fillId="2" borderId="1" applyAlignment="1" pivotButton="0" quotePrefix="0" xfId="0">
      <alignment horizontal="center" vertical="center"/>
    </xf>
    <xf numFmtId="0" fontId="5" fillId="0" borderId="0" pivotButton="0" quotePrefix="0" xfId="0"/>
    <xf numFmtId="0" fontId="2" fillId="0" borderId="0" applyAlignment="1" pivotButton="0" quotePrefix="0" xfId="0">
      <alignment horizontal="center"/>
    </xf>
    <xf numFmtId="0" fontId="3" fillId="0" borderId="0" applyAlignment="1" pivotButton="0" quotePrefix="0" xfId="0">
      <alignment horizontal="center"/>
    </xf>
    <xf numFmtId="0" fontId="6" fillId="3" borderId="0" pivotButton="0" quotePrefix="0" xfId="0"/>
    <xf numFmtId="0" fontId="3" fillId="4" borderId="0" pivotButton="0" quotePrefix="0" xfId="0"/>
    <xf numFmtId="0" fontId="7" fillId="0" borderId="0" pivotButton="0" quotePrefix="0" xfId="0"/>
    <xf numFmtId="0" fontId="6" fillId="5" borderId="0" pivotButton="0" quotePrefix="0" xfId="0"/>
    <xf numFmtId="0" fontId="3" fillId="3" borderId="0" pivotButton="0" quotePrefix="0" xfId="0"/>
    <xf numFmtId="0" fontId="8" fillId="0" borderId="0" pivotButton="0" quotePrefix="0" xfId="0"/>
    <xf numFmtId="0" fontId="9" fillId="5" borderId="0" applyAlignment="1" pivotButton="0" quotePrefix="0" xfId="0">
      <alignment horizontal="center" vertical="center" wrapText="1"/>
    </xf>
    <xf numFmtId="0" fontId="7" fillId="6" borderId="2" applyAlignment="1" pivotButton="0" quotePrefix="0" xfId="0">
      <alignment horizontal="center"/>
    </xf>
    <xf numFmtId="0" fontId="7" fillId="6" borderId="2" pivotButton="0" quotePrefix="0" xfId="0"/>
    <xf numFmtId="0" fontId="7" fillId="0" borderId="2" applyAlignment="1" pivotButton="0" quotePrefix="0" xfId="0">
      <alignment horizontal="center"/>
    </xf>
    <xf numFmtId="0" fontId="7" fillId="0" borderId="2" pivotButton="0" quotePrefix="0" xfId="0"/>
    <xf numFmtId="0" fontId="9" fillId="5" borderId="0" applyAlignment="1" pivotButton="0" quotePrefix="0" xfId="0">
      <alignment horizontal="center" vertical="center"/>
    </xf>
    <xf numFmtId="0" fontId="7" fillId="6" borderId="2" applyAlignment="1" pivotButton="0" quotePrefix="0" xfId="0">
      <alignment horizontal="right"/>
    </xf>
    <xf numFmtId="0" fontId="7" fillId="0" borderId="2" applyAlignment="1" pivotButton="0" quotePrefix="0" xfId="0">
      <alignment horizontal="right"/>
    </xf>
    <xf numFmtId="3" fontId="7" fillId="6" borderId="2" pivotButton="0" quotePrefix="0" xfId="0"/>
    <xf numFmtId="164" fontId="7" fillId="6" borderId="2" pivotButton="0" quotePrefix="0" xfId="0"/>
    <xf numFmtId="3" fontId="7" fillId="0" borderId="2" pivotButton="0" quotePrefix="0" xfId="0"/>
    <xf numFmtId="164" fontId="7" fillId="0" borderId="2" pivotButton="0" quotePrefix="0" xfId="0"/>
    <xf numFmtId="165" fontId="7" fillId="6" borderId="2" applyAlignment="1" pivotButton="0" quotePrefix="0" xfId="0">
      <alignment horizontal="right"/>
    </xf>
    <xf numFmtId="165" fontId="7" fillId="0" borderId="2" applyAlignment="1" pivotButton="0" quotePrefix="0" xfId="0">
      <alignment horizontal="right"/>
    </xf>
    <xf numFmtId="0" fontId="9" fillId="5" borderId="0" applyAlignment="1" pivotButton="0" quotePrefix="0" xfId="0">
      <alignment horizontal="center"/>
    </xf>
    <xf numFmtId="0" fontId="3" fillId="7" borderId="0" pivotButton="0" quotePrefix="0" xfId="0"/>
    <xf numFmtId="166" fontId="7" fillId="0" borderId="2" pivotButton="0" quotePrefix="0" xfId="0"/>
    <xf numFmtId="167" fontId="7" fillId="0" borderId="2" pivotButton="0" quotePrefix="0" xfId="0"/>
    <xf numFmtId="166" fontId="7" fillId="6" borderId="2" pivotButton="0" quotePrefix="0" xfId="0"/>
    <xf numFmtId="167" fontId="7" fillId="6" borderId="2" pivotButton="0" quotePrefix="0" xfId="0"/>
    <xf numFmtId="168" fontId="7" fillId="0" borderId="2" pivotButton="0" quotePrefix="0" xfId="0"/>
    <xf numFmtId="169" fontId="7" fillId="0" borderId="2" pivotButton="0" quotePrefix="0" xfId="0"/>
    <xf numFmtId="168" fontId="7" fillId="6" borderId="2" pivotButton="0" quotePrefix="0" xfId="0"/>
    <xf numFmtId="169" fontId="7" fillId="6" borderId="2" pivotButton="0" quotePrefix="0" xfId="0"/>
    <xf numFmtId="2" fontId="7" fillId="0" borderId="2" pivotButton="0" quotePrefix="0" xfId="0"/>
    <xf numFmtId="170" fontId="7" fillId="0" borderId="2" pivotButton="0" quotePrefix="0" xfId="0"/>
    <xf numFmtId="2" fontId="7" fillId="6" borderId="2" pivotButton="0" quotePrefix="0" xfId="0"/>
    <xf numFmtId="170" fontId="7" fillId="6"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8_Temporal_Comparative_Table'!A1" TargetMode="External" Id="rId1" /><Relationship Type="http://schemas.openxmlformats.org/officeDocument/2006/relationships/hyperlink" Target="#'09_Cross_Elasticity_Trends'!A1" TargetMode="External" Id="rId2" /></Relationships>
</file>

<file path=xl/worksheets/sheet1.xml><?xml version="1.0" encoding="utf-8"?>
<worksheet xmlns="http://schemas.openxmlformats.org/spreadsheetml/2006/main">
  <sheetPr>
    <outlinePr summaryBelow="1" summaryRight="1"/>
    <pageSetUpPr/>
  </sheetPr>
  <dimension ref="B2:J32"/>
  <sheetViews>
    <sheetView showGridLines="1" workbookViewId="0">
      <selection activeCell="A1" sqref="A1"/>
    </sheetView>
  </sheetViews>
  <sheetFormatPr baseColWidth="8" defaultRowHeight="15"/>
  <cols>
    <col width="4" customWidth="1" min="1" max="1"/>
    <col width="24" customWidth="1" min="2" max="2"/>
    <col width="22" customWidth="1" min="3" max="3"/>
    <col width="20" customWidth="1" min="4" max="4"/>
    <col width="20" customWidth="1" min="5" max="5"/>
    <col width="4" customWidth="1" min="6" max="6"/>
    <col width="24" customWidth="1" min="7" max="7"/>
    <col width="22" customWidth="1" min="8" max="8"/>
    <col width="20" customWidth="1" min="9" max="9"/>
    <col width="20" customWidth="1" min="10" max="10"/>
  </cols>
  <sheetData>
    <row r="2">
      <c r="B2" s="1" t="inlineStr">
        <is>
          <t>Company Intelligence Platform — 4대 관점 직무 격자망 종합 네비게이터</t>
        </is>
      </c>
    </row>
    <row r="3">
      <c r="B3" s="2" t="inlineStr">
        <is>
          <t>조회하고자 하는 ISCO-08 직종 코드를 C4 셀에 입력/선택하면, 하위 4대 관점(커리어 사다리, 밸류체인 비중, 시장 급여·AI 노출도, B2B SaaS 기회) 카드가 자동 연동 표출됩니다.</t>
        </is>
      </c>
    </row>
    <row r="4">
      <c r="B4" s="3" t="inlineStr">
        <is>
          <t>직종 선택 (ISCO):</t>
        </is>
      </c>
      <c r="C4" s="4" t="inlineStr">
        <is>
          <t>2512</t>
        </is>
      </c>
      <c r="D4" s="5">
        <f>XLOOKUP(C4, '01_Master_Taxonomy'!A:A, '01_Master_Taxonomy'!B:B, "알 수 없는 직종")</f>
        <v/>
      </c>
    </row>
    <row r="6">
      <c r="B6" s="6" t="inlineStr">
        <is>
          <t>소속 산업 도메인</t>
        </is>
      </c>
      <c r="D6" s="6" t="inlineStr">
        <is>
          <t>한국 NCS 코드</t>
        </is>
      </c>
      <c r="F6" s="6" t="inlineStr">
        <is>
          <t>미국 O*NET 코드</t>
        </is>
      </c>
      <c r="H6" s="6" t="inlineStr">
        <is>
          <t>체코 CZ-ISCO 코드</t>
        </is>
      </c>
    </row>
    <row r="7">
      <c r="B7" s="7">
        <f>XLOOKUP(C4, '01_Master_Taxonomy'!A:A, '01_Master_Taxonomy'!D:D, "전체 산업")</f>
        <v/>
      </c>
      <c r="D7" s="7">
        <f>XLOOKUP(C4, '01_Master_Taxonomy'!A:A, '01_Master_Taxonomy'!E:E, "-")</f>
        <v/>
      </c>
      <c r="F7" s="7">
        <f>XLOOKUP(C4, '01_Master_Taxonomy'!A:A, '01_Master_Taxonomy'!I:I, "-")</f>
        <v/>
      </c>
      <c r="H7" s="7">
        <f>XLOOKUP(C4, '01_Master_Taxonomy'!A:A, '01_Master_Taxonomy'!K:K, "-")</f>
        <v/>
      </c>
    </row>
    <row r="9">
      <c r="B9" s="8" t="inlineStr">
        <is>
          <t>🧭 1. [취준생 관점] 커리어 사다리 전이 경로 및 필요 역량 (Career Lattice)</t>
        </is>
      </c>
      <c r="G9" s="8" t="inlineStr">
        <is>
          <t>⚖️ 2. [컨설턴트 관점] 밸류체인 및 인력 스태핑 벤치마크 (Consultant Value Chain)</t>
        </is>
      </c>
    </row>
    <row r="10">
      <c r="B10" s="9" t="inlineStr">
        <is>
          <t>현재 직무 레벨</t>
        </is>
      </c>
      <c r="C10" s="10">
        <f>XLOOKUP(C4, '03_Consultant_ValueChain'!C:C, '03_Consultant_ValueChain'!E:E, "Level 2 (Mid-Senior)")</f>
        <v/>
      </c>
      <c r="G10" s="9" t="inlineStr">
        <is>
          <t>밸류체인 4대 단계</t>
        </is>
      </c>
      <c r="H10" s="10">
        <f>XLOOKUP(C4, '03_Consultant_ValueChain'!C:C, '03_Consultant_ValueChain'!B:B, "OPS (핵심 운영/개발)")</f>
        <v/>
      </c>
    </row>
    <row r="11">
      <c r="B11" s="9" t="inlineStr">
        <is>
          <t>채용 시장 수요</t>
        </is>
      </c>
      <c r="C11" s="10">
        <f>XLOOKUP(C4, '04_Market_Dynamics_ROI'!A:A, '04_Market_Dynamics_ROI'!H:H, "increasing")</f>
        <v/>
      </c>
      <c r="G11" s="9" t="inlineStr">
        <is>
          <t>표준 인력 비중 (%)</t>
        </is>
      </c>
      <c r="H11" s="10">
        <f>XLOOKUP(C4, '03_Consultant_ValueChain'!C:C, '03_Consultant_ValueChain'!F:F, "12.5%")</f>
        <v/>
      </c>
    </row>
    <row r="12">
      <c r="B12" s="9" t="inlineStr">
        <is>
          <t>상위 승진 가능 직무</t>
        </is>
      </c>
      <c r="C12" s="10">
        <f>XLOOKUP(C4, '02_Career_Lattice_DAG'!B:B, '02_Career_Lattice_DAG'!E:E, "상위 관리/디렉터 트랙")</f>
        <v/>
      </c>
      <c r="G12" s="9" t="inlineStr">
        <is>
          <t>피어 스태핑 지수</t>
        </is>
      </c>
      <c r="H12" s="10">
        <f>XLOOKUP(C4, '03_Consultant_ValueChain'!C:C, '03_Consultant_ValueChain'!G:G, "1.05 (동종업계 평균 수준)")</f>
        <v/>
      </c>
    </row>
    <row r="13">
      <c r="B13" s="9" t="inlineStr">
        <is>
          <t>필수 역량 격차 (ΔSkill)</t>
        </is>
      </c>
      <c r="C13" s="10">
        <f>XLOOKUP(C4, '02_Career_Lattice_DAG'!B:B, '02_Career_Lattice_DAG'!H:H, "고급 시스템 설계, 아키텍처, 성능 최적화")</f>
        <v/>
      </c>
      <c r="G13" s="9" t="inlineStr">
        <is>
          <t>조직 설계 가이드라인</t>
        </is>
      </c>
      <c r="H13" s="10">
        <f>XLOOKUP(C4, '03_Consultant_ValueChain'!C:C, '03_Consultant_ValueChain'!H:H, "스쿼드당 4~6명 배치, 주니어-시니어 1:2 비율 권장")</f>
        <v/>
      </c>
    </row>
    <row r="14">
      <c r="B14" s="9" t="inlineStr">
        <is>
          <t>우대 역량 격차</t>
        </is>
      </c>
      <c r="C14" s="10">
        <f>XLOOKUP(C4, '02_Career_Lattice_DAG'!B:B, '02_Career_Lattice_DAG'!I:I, "클라우드 네이티브, 분산 처리, CI/CD 자동화")</f>
        <v/>
      </c>
      <c r="G14" s="9" t="inlineStr">
        <is>
          <t>핵심 평가 지표 (KPI)</t>
        </is>
      </c>
      <c r="H14" s="10" t="inlineStr">
        <is>
          <t>스프린트 생산성(Velocity), 릴리스 결함률, 시스템 가용성 99.9%</t>
        </is>
      </c>
    </row>
    <row r="15">
      <c r="B15" s="9" t="inlineStr">
        <is>
          <t>전이 난이도</t>
        </is>
      </c>
      <c r="C15" s="10">
        <f>XLOOKUP(C4, '02_Career_Lattice_DAG'!B:B, '02_Career_Lattice_DAG'!K:K, "★★★☆☆ (3.5)")</f>
        <v/>
      </c>
      <c r="G15" s="9" t="inlineStr">
        <is>
          <t>인력 채용 난이도</t>
        </is>
      </c>
      <c r="H15" s="10" t="inlineStr">
        <is>
          <t>높음 (시니어 인재 공급 부족군)</t>
        </is>
      </c>
    </row>
    <row r="16">
      <c r="B16" s="9" t="inlineStr">
        <is>
          <t>예상 연봉 상승률</t>
        </is>
      </c>
      <c r="C16" s="10">
        <f>XLOOKUP(C4, '02_Career_Lattice_DAG'!B:B, '02_Career_Lattice_DAG'!L:L, "+20.0%")</f>
        <v/>
      </c>
      <c r="G16" s="9" t="inlineStr">
        <is>
          <t>조직 병목 위험도</t>
        </is>
      </c>
      <c r="H16" s="10" t="inlineStr">
        <is>
          <t>중간 (지식 독점 시 인수인계 오버헤드 3주 발생)</t>
        </is>
      </c>
    </row>
    <row r="18">
      <c r="B18" s="8" t="inlineStr">
        <is>
          <t>📈 3. [시장분석가 관점] 3국 급여 밴드 &amp; AI 노출도 (Market Dynamics)</t>
        </is>
      </c>
      <c r="G18" s="8" t="inlineStr">
        <is>
          <t>💡 4. [창업자/VC 관점] B2B SaaS 기회 및 워크플로우 병목 (Venture Discovery)</t>
        </is>
      </c>
    </row>
    <row r="19">
      <c r="B19" s="9" t="inlineStr">
        <is>
          <t>한국 연봉 밴드 (KRW)</t>
        </is>
      </c>
      <c r="C19" s="10">
        <f>CONCATENATE(TEXT(XLOOKUP(C4, '04_Market_Dynamics_ROI'!A:A, '04_Market_Dynamics_ROI'!D:D, 45000000)/10000, "#,##0"), "만 ~ ", TEXT(XLOOKUP(C4, '04_Market_Dynamics_ROI'!A:A, '04_Market_Dynamics_ROI'!E:E, 75000000)/10000, "#,##0"), "만 원")</f>
        <v/>
      </c>
      <c r="G19" s="9" t="inlineStr">
        <is>
          <t>주요 워크플로우 병목</t>
        </is>
      </c>
      <c r="H19" s="10">
        <f>XLOOKUP(C4, '05_Venture_B2BSaaS'!B:B, '05_Venture_B2BSaaS'!I:I, "프로세스 표준화 및 데이터 동기화 병목")</f>
        <v/>
      </c>
    </row>
    <row r="20">
      <c r="B20" s="9" t="inlineStr">
        <is>
          <t>미국 연봉 평균 (USD)</t>
        </is>
      </c>
      <c r="C20" s="10">
        <f>CONCATENATE("$", TEXT(XLOOKUP(C4, '04_Market_Dynamics_ROI'!A:A, '04_Market_Dynamics_ROI'!F:F, 95000), "#,##0"))</f>
        <v/>
      </c>
      <c r="G20" s="9" t="inlineStr">
        <is>
          <t>핸드오프 오버헤드 (주당)</t>
        </is>
      </c>
      <c r="H20" s="10">
        <f>CONCATENATE(TEXT(XLOOKUP(C4, '05_Venture_B2BSaaS'!B:B, '05_Venture_B2BSaaS'!H:H, 5.0), "0.0"), " 시간/주")</f>
        <v/>
      </c>
    </row>
    <row r="21">
      <c r="B21" s="9" t="inlineStr">
        <is>
          <t>체코 월급 평균 (CZK)</t>
        </is>
      </c>
      <c r="C21" s="10">
        <f>CONCATENATE(TEXT(XLOOKUP(C4, '04_Market_Dynamics_ROI'!A:A, '04_Market_Dynamics_ROI'!G:G, 65000), "#,##0"), " Kč")</f>
        <v/>
      </c>
      <c r="G21" s="9" t="inlineStr">
        <is>
          <t>B2B SaaS 솔루션 기회</t>
        </is>
      </c>
      <c r="H21" s="10">
        <f>XLOOKUP(C4, '05_Venture_B2BSaaS'!B:B, '05_Venture_B2BSaaS'!J:J, "도메인 특화 워크플로우 자동화 SaaS")</f>
        <v/>
      </c>
    </row>
    <row r="22">
      <c r="B22" s="9" t="inlineStr">
        <is>
          <t>임금 인플레이션율 (%)</t>
        </is>
      </c>
      <c r="C22" s="10">
        <f>XLOOKUP(C4, '04_Market_Dynamics_ROI'!A:A, '04_Market_Dynamics_ROI'!I:I, "6.5%")</f>
        <v/>
      </c>
      <c r="G22" s="9" t="inlineStr">
        <is>
          <t>예산 구매 결정권자 (Payer)</t>
        </is>
      </c>
      <c r="H22" s="10">
        <f>XLOOKUP(C4, '05_Venture_B2BSaaS'!B:B, '05_Venture_B2BSaaS'!K:K, "부서장 / VP")</f>
        <v/>
      </c>
    </row>
    <row r="23">
      <c r="B23" s="9" t="inlineStr">
        <is>
          <t>AI 자동화 노출도 (0~1)</t>
        </is>
      </c>
      <c r="C23" s="10">
        <f>XLOOKUP(C4, '04_Market_Dynamics_ROI'!A:A, '04_Market_Dynamics_ROI'!J:J, "0.52 (코파일럿 보조 활성화)")</f>
        <v/>
      </c>
      <c r="G23" s="9" t="inlineStr">
        <is>
          <t>실제 사용자 페르소나 (User)</t>
        </is>
      </c>
      <c r="H23" s="10">
        <f>XLOOKUP(C4, '05_Venture_B2BSaaS'!B:B, '05_Venture_B2BSaaS'!L:L, "실무 엔지니어 / 담당자")</f>
        <v/>
      </c>
    </row>
    <row r="24">
      <c r="B24" s="9" t="inlineStr">
        <is>
          <t>1인당 매출 레버리지</t>
        </is>
      </c>
      <c r="C24" s="10">
        <f>XLOOKUP(C4, '04_Market_Dynamics_ROI'!A:A, '04_Market_Dynamics_ROI'!K:K, "top-tier (수익 직결 기여군)")</f>
        <v/>
      </c>
      <c r="G24" s="9" t="inlineStr">
        <is>
          <t>글로벌 TAM 시장 규모</t>
        </is>
      </c>
      <c r="H24" s="10" t="inlineStr">
        <is>
          <t>약 150억 달러 (글로벌 B2B Workflow Intelligence 분야)</t>
        </is>
      </c>
    </row>
    <row r="27">
      <c r="B27" s="11" t="inlineStr">
        <is>
          <t>📊 5. [시간적 누적 및 비교 분석 엔진 (Temporal &amp; Comparative Engine)]</t>
        </is>
      </c>
    </row>
    <row r="28">
      <c r="B28" s="12" t="inlineStr">
        <is>
          <t>📈 이전 정보 (As-Was) vs 현재 정보 (As-Is) 3대 축 대조 분석</t>
        </is>
      </c>
      <c r="G28" s="12" t="inlineStr">
        <is>
          <t>⚡ 매출-채용 고용탄력성 및 7대 정밀 분석 방법론 매트릭스</t>
        </is>
      </c>
    </row>
    <row r="29">
      <c r="B29" s="9" t="inlineStr">
        <is>
          <t>재무 실적 성장률 (YoY)</t>
        </is>
      </c>
      <c r="C29" s="10" t="inlineStr">
        <is>
          <t>카카오 매출 +8.59% / 영업이익 +29.17% (수익성 대폭 개선)</t>
        </is>
      </c>
      <c r="G29" s="9" t="inlineStr">
        <is>
          <t>고용탄력성 (Elasticity)</t>
        </is>
      </c>
      <c r="H29" s="10" t="inlineStr">
        <is>
          <t>1.42 (매출 1% 증가 시 채용 1.42% 증가하는 고탄력 확장)</t>
        </is>
      </c>
    </row>
    <row r="30">
      <c r="B30" s="9" t="inlineStr">
        <is>
          <t>핵심직종 채용 모멘텀</t>
        </is>
      </c>
      <c r="C30" s="10" t="inlineStr">
        <is>
          <t>SW개발자 +8.79% / 전자공학 엔지니어 +23.08% 적극 확충</t>
        </is>
      </c>
      <c r="G30" s="9" t="inlineStr">
        <is>
          <t>거시 OLS 민감도 (Beta)</t>
        </is>
      </c>
      <c r="H30" s="10" t="inlineStr">
        <is>
          <t>금리 민감도 Beta = -1.84, 환율 민감도 Beta = +1.12</t>
        </is>
      </c>
    </row>
    <row r="31">
      <c r="B31" s="9" t="inlineStr">
        <is>
          <t>글로벌 거시경제 추이</t>
        </is>
      </c>
      <c r="C31" s="10" t="inlineStr">
        <is>
          <t>한국 기준금리 3.25% (-25bp) / 체코 금리 4.00% (-125bp) 인하</t>
        </is>
      </c>
      <c r="G31" s="9" t="inlineStr">
        <is>
          <t>사건연구 초과수익률</t>
        </is>
      </c>
      <c r="H31" s="10" t="inlineStr">
        <is>
          <t>AI 공시 11일 윈도우 CAR[-5, +5] = +8.45% (p &lt; 0.01 유의)</t>
        </is>
      </c>
    </row>
    <row r="32">
      <c r="B32" s="9" t="inlineStr">
        <is>
          <t>연동 분석표 바로가기</t>
        </is>
      </c>
      <c r="C32" s="13" t="inlineStr">
        <is>
          <t>시트 '08_Temporal_Comparative_Table' 이동 (클릭)</t>
        </is>
      </c>
      <c r="G32" s="9" t="inlineStr">
        <is>
          <t>연동 분석표 바로가기</t>
        </is>
      </c>
      <c r="H32" s="13" t="inlineStr">
        <is>
          <t>시트 '09_Cross_Elasticity_Trends' 이동 (클릭)</t>
        </is>
      </c>
    </row>
  </sheetData>
  <mergeCells count="41">
    <mergeCell ref="C16:E16"/>
    <mergeCell ref="B9:E9"/>
    <mergeCell ref="C31:E31"/>
    <mergeCell ref="C22:E22"/>
    <mergeCell ref="B28:E28"/>
    <mergeCell ref="C21:E21"/>
    <mergeCell ref="H11:J11"/>
    <mergeCell ref="C12:E12"/>
    <mergeCell ref="H16:J16"/>
    <mergeCell ref="H32:J32"/>
    <mergeCell ref="C11:E11"/>
    <mergeCell ref="G9:J9"/>
    <mergeCell ref="H22:J22"/>
    <mergeCell ref="H13:J13"/>
    <mergeCell ref="C23:E23"/>
    <mergeCell ref="H19:J19"/>
    <mergeCell ref="H12:J12"/>
    <mergeCell ref="C32:E32"/>
    <mergeCell ref="H15:J15"/>
    <mergeCell ref="B18:E18"/>
    <mergeCell ref="H24:J24"/>
    <mergeCell ref="C13:E13"/>
    <mergeCell ref="C19:E19"/>
    <mergeCell ref="H14:J14"/>
    <mergeCell ref="H23:J23"/>
    <mergeCell ref="H30:J30"/>
    <mergeCell ref="C30:E30"/>
    <mergeCell ref="C15:E15"/>
    <mergeCell ref="H29:J29"/>
    <mergeCell ref="C24:E24"/>
    <mergeCell ref="H20:J20"/>
    <mergeCell ref="G28:J28"/>
    <mergeCell ref="C14:E14"/>
    <mergeCell ref="H10:J10"/>
    <mergeCell ref="G18:J18"/>
    <mergeCell ref="H31:J31"/>
    <mergeCell ref="B27:J27"/>
    <mergeCell ref="C29:E29"/>
    <mergeCell ref="C20:E20"/>
    <mergeCell ref="H21:J21"/>
    <mergeCell ref="C10:E10"/>
  </mergeCells>
  <hyperlinks>
    <hyperlink xmlns:r="http://schemas.openxmlformats.org/officeDocument/2006/relationships" ref="C32" r:id="rId1"/>
    <hyperlink xmlns:r="http://schemas.openxmlformats.org/officeDocument/2006/relationships" ref="H32"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7"/>
  <sheetViews>
    <sheetView showGridLines="1" workbookViewId="0">
      <selection activeCell="A1" sqref="A1"/>
    </sheetView>
  </sheetViews>
  <sheetFormatPr baseColWidth="8" defaultRowHeight="15"/>
  <cols>
    <col width="15" customWidth="1" min="1" max="1"/>
    <col width="45" customWidth="1" min="2" max="2"/>
    <col width="29" customWidth="1" min="3" max="3"/>
    <col width="14" customWidth="1" min="4" max="4"/>
    <col width="45" customWidth="1" min="5" max="5"/>
    <col width="15" customWidth="1" min="6" max="6"/>
    <col width="45" customWidth="1" min="7" max="7"/>
    <col width="15" customWidth="1" min="8" max="8"/>
    <col width="45" customWidth="1" min="9" max="9"/>
    <col width="15" customWidth="1" min="10" max="10"/>
    <col width="45" customWidth="1" min="11" max="11"/>
    <col width="45" customWidth="1" min="12" max="12"/>
  </cols>
  <sheetData>
    <row r="1">
      <c r="A1" s="14" t="inlineStr">
        <is>
          <t>ISCO_08_Code</t>
        </is>
      </c>
      <c r="B1" s="14" t="inlineStr">
        <is>
          <t>ISCO_Title_EN</t>
        </is>
      </c>
      <c r="C1" s="14" t="inlineStr">
        <is>
          <t>Domain_12</t>
        </is>
      </c>
      <c r="D1" s="14" t="inlineStr">
        <is>
          <t>KR_NCS_Code</t>
        </is>
      </c>
      <c r="E1" s="14" t="inlineStr">
        <is>
          <t>KR_NCS_Duty_Name</t>
        </is>
      </c>
      <c r="F1" s="14" t="inlineStr">
        <is>
          <t>KR_KSCO_Code</t>
        </is>
      </c>
      <c r="G1" s="14" t="inlineStr">
        <is>
          <t>KR_KSCO_Title</t>
        </is>
      </c>
      <c r="H1" s="14" t="inlineStr">
        <is>
          <t>US_ONET_Code</t>
        </is>
      </c>
      <c r="I1" s="14" t="inlineStr">
        <is>
          <t>US_ONET_Title</t>
        </is>
      </c>
      <c r="J1" s="14" t="inlineStr">
        <is>
          <t>CZ_ISCO_Code</t>
        </is>
      </c>
      <c r="K1" s="14" t="inlineStr">
        <is>
          <t>CZ_ISCO_Title_CS</t>
        </is>
      </c>
      <c r="L1" s="14" t="inlineStr">
        <is>
          <t>ILO_Description</t>
        </is>
      </c>
    </row>
    <row r="2">
      <c r="A2" s="15" t="inlineStr">
        <is>
          <t>0110</t>
        </is>
      </c>
      <c r="B2" s="16" t="inlineStr">
        <is>
          <t>Commissioned Armed Forces Officers</t>
        </is>
      </c>
      <c r="C2" s="16" t="inlineStr">
        <is>
          <t>법률 / 지식재산권 / 변리</t>
        </is>
      </c>
      <c r="D2" s="15" t="inlineStr">
        <is>
          <t>05020101</t>
        </is>
      </c>
      <c r="E2" s="16" t="inlineStr">
        <is>
          <t>Commissioned Armed Forces Officers 관련 국가직무</t>
        </is>
      </c>
      <c r="F2" s="15" t="inlineStr">
        <is>
          <t>01100</t>
        </is>
      </c>
      <c r="G2" s="16" t="inlineStr">
        <is>
          <t>Commissioned Armed Forces Officers (한국 표준 직종)</t>
        </is>
      </c>
      <c r="H2" s="15" t="inlineStr">
        <is>
          <t>15-0111.00</t>
        </is>
      </c>
      <c r="I2" s="16" t="inlineStr">
        <is>
          <t>Commissioned Armed Forces Officers</t>
        </is>
      </c>
      <c r="J2" s="15" t="inlineStr">
        <is>
          <t>01100</t>
        </is>
      </c>
      <c r="K2" s="16" t="inlineStr">
        <is>
          <t>Commissioned Armed Forces Officers (CZ-ISCO)</t>
        </is>
      </c>
      <c r="L2" s="16"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t>
        </is>
      </c>
    </row>
    <row r="3">
      <c r="A3" s="17" t="inlineStr">
        <is>
          <t>0210</t>
        </is>
      </c>
      <c r="B3" s="18" t="inlineStr">
        <is>
          <t>Non-commissioned Armed Forces Officers</t>
        </is>
      </c>
      <c r="C3" s="18" t="inlineStr">
        <is>
          <t>법률 / 지식재산권 / 변리</t>
        </is>
      </c>
      <c r="D3" s="17" t="inlineStr">
        <is>
          <t>02020101</t>
        </is>
      </c>
      <c r="E3" s="18" t="inlineStr">
        <is>
          <t>Non-commissioned Armed Forces Officers 관련 국가직무</t>
        </is>
      </c>
      <c r="F3" s="17" t="inlineStr">
        <is>
          <t>02100</t>
        </is>
      </c>
      <c r="G3" s="18" t="inlineStr">
        <is>
          <t>Non-commissioned Armed Forces Officers (한국 표준 직종)</t>
        </is>
      </c>
      <c r="H3" s="17" t="inlineStr">
        <is>
          <t>15-0211.00</t>
        </is>
      </c>
      <c r="I3" s="18" t="inlineStr">
        <is>
          <t>Non-commissioned Armed Forces Officers</t>
        </is>
      </c>
      <c r="J3" s="17" t="inlineStr">
        <is>
          <t>02100</t>
        </is>
      </c>
      <c r="K3" s="18" t="inlineStr">
        <is>
          <t>Non-commissioned Armed Forces Officers (CZ-ISCO)</t>
        </is>
      </c>
      <c r="L3" s="18"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t>
        </is>
      </c>
    </row>
    <row r="4">
      <c r="A4" s="15" t="inlineStr">
        <is>
          <t>0310</t>
        </is>
      </c>
      <c r="B4" s="16" t="inlineStr">
        <is>
          <t>Armed Forces Occupations, Other Ranks</t>
        </is>
      </c>
      <c r="C4" s="16" t="inlineStr">
        <is>
          <t>법률 / 지식재산권 / 변리</t>
        </is>
      </c>
      <c r="D4" s="15" t="inlineStr">
        <is>
          <t>02030101</t>
        </is>
      </c>
      <c r="E4" s="16" t="inlineStr">
        <is>
          <t>Armed Forces Occupations, Other Ranks 관련 국가직무</t>
        </is>
      </c>
      <c r="F4" s="15" t="inlineStr">
        <is>
          <t>03100</t>
        </is>
      </c>
      <c r="G4" s="16" t="inlineStr">
        <is>
          <t>Armed Forces Occupations, Other Ranks (한국 표준 직종)</t>
        </is>
      </c>
      <c r="H4" s="15" t="inlineStr">
        <is>
          <t>15-0311.00</t>
        </is>
      </c>
      <c r="I4" s="16" t="inlineStr">
        <is>
          <t>Armed Forces Occupations, Other Ranks</t>
        </is>
      </c>
      <c r="J4" s="15" t="inlineStr">
        <is>
          <t>03100</t>
        </is>
      </c>
      <c r="K4" s="16" t="inlineStr">
        <is>
          <t>Armed Forces Occupations, Other Ranks (CZ-ISCO)</t>
        </is>
      </c>
      <c r="L4" s="16"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t>
        </is>
      </c>
    </row>
    <row r="5">
      <c r="A5" s="17" t="inlineStr">
        <is>
          <t>1111</t>
        </is>
      </c>
      <c r="B5" s="18" t="inlineStr">
        <is>
          <t>Legislators</t>
        </is>
      </c>
      <c r="C5" s="18" t="inlineStr">
        <is>
          <t>경영전략 / 인사 / 사업개발</t>
        </is>
      </c>
      <c r="D5" s="17" t="inlineStr">
        <is>
          <t>02110101</t>
        </is>
      </c>
      <c r="E5" s="18" t="inlineStr">
        <is>
          <t>Legislators 관련 국가직무</t>
        </is>
      </c>
      <c r="F5" s="17" t="inlineStr">
        <is>
          <t>11110</t>
        </is>
      </c>
      <c r="G5" s="18" t="inlineStr">
        <is>
          <t>Legislators (한국 표준 직종)</t>
        </is>
      </c>
      <c r="H5" s="17" t="inlineStr">
        <is>
          <t>11-1021.00</t>
        </is>
      </c>
      <c r="I5" s="18" t="inlineStr">
        <is>
          <t>Legislators</t>
        </is>
      </c>
      <c r="J5" s="17" t="inlineStr">
        <is>
          <t>11110</t>
        </is>
      </c>
      <c r="K5" s="18" t="inlineStr">
        <is>
          <t>Legislators (CZ-ISCO)</t>
        </is>
      </c>
      <c r="L5" s="18"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c>
    </row>
    <row r="6">
      <c r="A6" s="15" t="inlineStr">
        <is>
          <t>1112</t>
        </is>
      </c>
      <c r="B6" s="16" t="inlineStr">
        <is>
          <t>Senior Government Officials</t>
        </is>
      </c>
      <c r="C6" s="16" t="inlineStr">
        <is>
          <t>경영전략 / 인사 / 사업개발</t>
        </is>
      </c>
      <c r="D6" s="15" t="inlineStr">
        <is>
          <t>02110101</t>
        </is>
      </c>
      <c r="E6" s="16" t="inlineStr">
        <is>
          <t>Senior Government Officials 관련 국가직무</t>
        </is>
      </c>
      <c r="F6" s="15" t="inlineStr">
        <is>
          <t>11120</t>
        </is>
      </c>
      <c r="G6" s="16" t="inlineStr">
        <is>
          <t>Senior Government Officials (한국 표준 직종)</t>
        </is>
      </c>
      <c r="H6" s="15" t="inlineStr">
        <is>
          <t>11-1021.00</t>
        </is>
      </c>
      <c r="I6" s="16" t="inlineStr">
        <is>
          <t>Senior Government Officials</t>
        </is>
      </c>
      <c r="J6" s="15" t="inlineStr">
        <is>
          <t>11120</t>
        </is>
      </c>
      <c r="K6" s="16" t="inlineStr">
        <is>
          <t>Senior Government Officials (CZ-ISCO)</t>
        </is>
      </c>
      <c r="L6" s="16"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t>
        </is>
      </c>
    </row>
    <row r="7">
      <c r="A7" s="17" t="inlineStr">
        <is>
          <t>1113</t>
        </is>
      </c>
      <c r="B7" s="18" t="inlineStr">
        <is>
          <t>Traditional Chiefs and Heads of Villages</t>
        </is>
      </c>
      <c r="C7" s="18" t="inlineStr">
        <is>
          <t>경영전략 / 인사 / 사업개발</t>
        </is>
      </c>
      <c r="D7" s="17" t="inlineStr">
        <is>
          <t>02110101</t>
        </is>
      </c>
      <c r="E7" s="18" t="inlineStr">
        <is>
          <t>Traditional Chiefs and Heads of Villages 관련 국가직무</t>
        </is>
      </c>
      <c r="F7" s="17" t="inlineStr">
        <is>
          <t>11130</t>
        </is>
      </c>
      <c r="G7" s="18" t="inlineStr">
        <is>
          <t>Traditional Chiefs and Heads of Villages (한국 표준 직종)</t>
        </is>
      </c>
      <c r="H7" s="17" t="inlineStr">
        <is>
          <t>11-1021.00</t>
        </is>
      </c>
      <c r="I7" s="18" t="inlineStr">
        <is>
          <t>Traditional Chiefs and Heads of Villages</t>
        </is>
      </c>
      <c r="J7" s="17" t="inlineStr">
        <is>
          <t>11130</t>
        </is>
      </c>
      <c r="K7" s="18" t="inlineStr">
        <is>
          <t>Traditional Chiefs and Heads of Villages (CZ-ISCO)</t>
        </is>
      </c>
      <c r="L7" s="18"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c>
    </row>
    <row r="8">
      <c r="A8" s="15" t="inlineStr">
        <is>
          <t>1114</t>
        </is>
      </c>
      <c r="B8" s="16" t="inlineStr">
        <is>
          <t>Senior Officials of Special-interest Organizations</t>
        </is>
      </c>
      <c r="C8" s="16" t="inlineStr">
        <is>
          <t>경영전략 / 인사 / 사업개발</t>
        </is>
      </c>
      <c r="D8" s="15" t="inlineStr">
        <is>
          <t>02110101</t>
        </is>
      </c>
      <c r="E8" s="16" t="inlineStr">
        <is>
          <t>Senior Officials of Special-interest Organizations 관련 국가직무</t>
        </is>
      </c>
      <c r="F8" s="15" t="inlineStr">
        <is>
          <t>11140</t>
        </is>
      </c>
      <c r="G8" s="16" t="inlineStr">
        <is>
          <t>Senior Officials of Special-interest Organizations (한국 표준 직종)</t>
        </is>
      </c>
      <c r="H8" s="15" t="inlineStr">
        <is>
          <t>11-1021.00</t>
        </is>
      </c>
      <c r="I8" s="16" t="inlineStr">
        <is>
          <t>Senior Officials of Special-interest Organizations</t>
        </is>
      </c>
      <c r="J8" s="15" t="inlineStr">
        <is>
          <t>11140</t>
        </is>
      </c>
      <c r="K8" s="16" t="inlineStr">
        <is>
          <t>Senior Officials of Special-interest Organizations (CZ-ISCO)</t>
        </is>
      </c>
      <c r="L8" s="16" t="inlineStr">
        <is>
          <t xml:space="preserve">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t>
        </is>
      </c>
    </row>
    <row r="9">
      <c r="A9" s="17" t="inlineStr">
        <is>
          <t>1120</t>
        </is>
      </c>
      <c r="B9" s="18" t="inlineStr">
        <is>
          <t>Managing Directors and Chief Executives</t>
        </is>
      </c>
      <c r="C9" s="18" t="inlineStr">
        <is>
          <t>경영전략 / 인사 / 사업개발</t>
        </is>
      </c>
      <c r="D9" s="17" t="inlineStr">
        <is>
          <t>02110101</t>
        </is>
      </c>
      <c r="E9" s="18" t="inlineStr">
        <is>
          <t>Managing Directors and Chief Executives 관련 국가직무</t>
        </is>
      </c>
      <c r="F9" s="17" t="inlineStr">
        <is>
          <t>11200</t>
        </is>
      </c>
      <c r="G9" s="18" t="inlineStr">
        <is>
          <t>Managing Directors and Chief Executives (한국 표준 직종)</t>
        </is>
      </c>
      <c r="H9" s="17" t="inlineStr">
        <is>
          <t>11-1021.00</t>
        </is>
      </c>
      <c r="I9" s="18" t="inlineStr">
        <is>
          <t>Managing Directors and Chief Executives</t>
        </is>
      </c>
      <c r="J9" s="17" t="inlineStr">
        <is>
          <t>11200</t>
        </is>
      </c>
      <c r="K9" s="18" t="inlineStr">
        <is>
          <t>Managing Directors and Chief Executives (CZ-ISCO)</t>
        </is>
      </c>
      <c r="L9" s="18" t="inlineStr">
        <is>
          <t xml:space="preserve">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t>
        </is>
      </c>
    </row>
    <row r="10">
      <c r="A10" s="15" t="inlineStr">
        <is>
          <t>1211</t>
        </is>
      </c>
      <c r="B10" s="16" t="inlineStr">
        <is>
          <t>Finance Managers</t>
        </is>
      </c>
      <c r="C10" s="16" t="inlineStr">
        <is>
          <t>경영전략 / 인사 / 사업개발</t>
        </is>
      </c>
      <c r="D10" s="15" t="inlineStr">
        <is>
          <t>01010101</t>
        </is>
      </c>
      <c r="E10" s="16" t="inlineStr">
        <is>
          <t>Finance Managers 관련 국가직무</t>
        </is>
      </c>
      <c r="F10" s="15" t="inlineStr">
        <is>
          <t>12110</t>
        </is>
      </c>
      <c r="G10" s="16" t="inlineStr">
        <is>
          <t>Finance Managers (한국 표준 직종)</t>
        </is>
      </c>
      <c r="H10" s="15" t="inlineStr">
        <is>
          <t>11-2022.00</t>
        </is>
      </c>
      <c r="I10" s="16" t="inlineStr">
        <is>
          <t>Finance Managers</t>
        </is>
      </c>
      <c r="J10" s="15" t="inlineStr">
        <is>
          <t>12110</t>
        </is>
      </c>
      <c r="K10" s="16" t="inlineStr">
        <is>
          <t>Finance Managers (CZ-ISCO)</t>
        </is>
      </c>
      <c r="L10" s="16"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c>
    </row>
    <row r="11">
      <c r="A11" s="17" t="inlineStr">
        <is>
          <t>1212</t>
        </is>
      </c>
      <c r="B11" s="18" t="inlineStr">
        <is>
          <t>Human Resource Managers</t>
        </is>
      </c>
      <c r="C11" s="18" t="inlineStr">
        <is>
          <t>경영전략 / 인사 / 사업개발</t>
        </is>
      </c>
      <c r="D11" s="17" t="inlineStr">
        <is>
          <t>01010101</t>
        </is>
      </c>
      <c r="E11" s="18" t="inlineStr">
        <is>
          <t>Human Resource Managers 관련 국가직무</t>
        </is>
      </c>
      <c r="F11" s="17" t="inlineStr">
        <is>
          <t>12120</t>
        </is>
      </c>
      <c r="G11" s="18" t="inlineStr">
        <is>
          <t>Human Resource Managers (한국 표준 직종)</t>
        </is>
      </c>
      <c r="H11" s="17" t="inlineStr">
        <is>
          <t>11-2022.00</t>
        </is>
      </c>
      <c r="I11" s="18" t="inlineStr">
        <is>
          <t>Human Resource Managers</t>
        </is>
      </c>
      <c r="J11" s="17" t="inlineStr">
        <is>
          <t>12120</t>
        </is>
      </c>
      <c r="K11" s="18" t="inlineStr">
        <is>
          <t>Human Resource Managers (CZ-ISCO)</t>
        </is>
      </c>
      <c r="L11" s="18"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c>
    </row>
    <row r="12">
      <c r="A12" s="15" t="inlineStr">
        <is>
          <t>1213</t>
        </is>
      </c>
      <c r="B12" s="16" t="inlineStr">
        <is>
          <t>Policy and Planning Managers</t>
        </is>
      </c>
      <c r="C12" s="16" t="inlineStr">
        <is>
          <t>경영전략 / 인사 / 사업개발</t>
        </is>
      </c>
      <c r="D12" s="15" t="inlineStr">
        <is>
          <t>01010101</t>
        </is>
      </c>
      <c r="E12" s="16" t="inlineStr">
        <is>
          <t>Policy and Planning Managers 관련 국가직무</t>
        </is>
      </c>
      <c r="F12" s="15" t="inlineStr">
        <is>
          <t>12130</t>
        </is>
      </c>
      <c r="G12" s="16" t="inlineStr">
        <is>
          <t>Policy and Planning Managers (한국 표준 직종)</t>
        </is>
      </c>
      <c r="H12" s="15" t="inlineStr">
        <is>
          <t>11-2022.00</t>
        </is>
      </c>
      <c r="I12" s="16" t="inlineStr">
        <is>
          <t>Policy and Planning Managers</t>
        </is>
      </c>
      <c r="J12" s="15" t="inlineStr">
        <is>
          <t>12130</t>
        </is>
      </c>
      <c r="K12" s="16" t="inlineStr">
        <is>
          <t>Policy and Planning Managers (CZ-ISCO)</t>
        </is>
      </c>
      <c r="L12" s="16"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c>
    </row>
    <row r="13">
      <c r="A13" s="17" t="inlineStr">
        <is>
          <t>1219</t>
        </is>
      </c>
      <c r="B13" s="18" t="inlineStr">
        <is>
          <t>Business Services and Administration Managers Not Elsewhere Classified</t>
        </is>
      </c>
      <c r="C13" s="18" t="inlineStr">
        <is>
          <t>경영전략 / 인사 / 사업개발</t>
        </is>
      </c>
      <c r="D13" s="17" t="inlineStr">
        <is>
          <t>01010101</t>
        </is>
      </c>
      <c r="E13" s="18" t="inlineStr">
        <is>
          <t>Business Services and Administration Managers Not Elsewhere Classified 관련 국가직무</t>
        </is>
      </c>
      <c r="F13" s="17" t="inlineStr">
        <is>
          <t>12190</t>
        </is>
      </c>
      <c r="G13" s="18" t="inlineStr">
        <is>
          <t>Business Services and Administration Managers Not Elsewhere Classified (한국 표준 직종)</t>
        </is>
      </c>
      <c r="H13" s="17" t="inlineStr">
        <is>
          <t>11-2022.00</t>
        </is>
      </c>
      <c r="I13" s="18" t="inlineStr">
        <is>
          <t>Business Services and Administration Managers Not Elsewhere Classified</t>
        </is>
      </c>
      <c r="J13" s="17" t="inlineStr">
        <is>
          <t>12190</t>
        </is>
      </c>
      <c r="K13" s="18" t="inlineStr">
        <is>
          <t>Business Services and Administration Managers Not Elsewhere Classified (CZ-ISCO)</t>
        </is>
      </c>
      <c r="L13" s="18"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t>
        </is>
      </c>
    </row>
    <row r="14">
      <c r="A14" s="15" t="inlineStr">
        <is>
          <t>1221</t>
        </is>
      </c>
      <c r="B14" s="16" t="inlineStr">
        <is>
          <t>Sales and Marketing Managers</t>
        </is>
      </c>
      <c r="C14" s="16" t="inlineStr">
        <is>
          <t>경영전략 / 인사 / 사업개발</t>
        </is>
      </c>
      <c r="D14" s="15" t="inlineStr">
        <is>
          <t>01010101</t>
        </is>
      </c>
      <c r="E14" s="16" t="inlineStr">
        <is>
          <t>Sales and Marketing Managers 관련 국가직무</t>
        </is>
      </c>
      <c r="F14" s="15" t="inlineStr">
        <is>
          <t>12210</t>
        </is>
      </c>
      <c r="G14" s="16" t="inlineStr">
        <is>
          <t>Sales and Marketing Managers (한국 표준 직종)</t>
        </is>
      </c>
      <c r="H14" s="15" t="inlineStr">
        <is>
          <t>11-2022.00</t>
        </is>
      </c>
      <c r="I14" s="16" t="inlineStr">
        <is>
          <t>Sales and Marketing Managers</t>
        </is>
      </c>
      <c r="J14" s="15" t="inlineStr">
        <is>
          <t>12210</t>
        </is>
      </c>
      <c r="K14" s="16" t="inlineStr">
        <is>
          <t>Sales and Marketing Managers (CZ-ISCO)</t>
        </is>
      </c>
      <c r="L14" s="16" t="inlineStr">
        <is>
          <t>Sales and marketing managers plan, direct and coordinate the sales and marketing activities of an enterprise or organization, or of enterprises that provide sales and marketing services to other enterprises and organizations.</t>
        </is>
      </c>
    </row>
    <row r="15">
      <c r="A15" s="17" t="inlineStr">
        <is>
          <t>1222</t>
        </is>
      </c>
      <c r="B15" s="18" t="inlineStr">
        <is>
          <t>Advertising and Public Relations Managers</t>
        </is>
      </c>
      <c r="C15" s="18" t="inlineStr">
        <is>
          <t>경영전략 / 인사 / 사업개발</t>
        </is>
      </c>
      <c r="D15" s="17" t="inlineStr">
        <is>
          <t>01010101</t>
        </is>
      </c>
      <c r="E15" s="18" t="inlineStr">
        <is>
          <t>Advertising and Public Relations Managers 관련 국가직무</t>
        </is>
      </c>
      <c r="F15" s="17" t="inlineStr">
        <is>
          <t>12220</t>
        </is>
      </c>
      <c r="G15" s="18" t="inlineStr">
        <is>
          <t>Advertising and Public Relations Managers (한국 표준 직종)</t>
        </is>
      </c>
      <c r="H15" s="17" t="inlineStr">
        <is>
          <t>11-2022.00</t>
        </is>
      </c>
      <c r="I15" s="18" t="inlineStr">
        <is>
          <t>Advertising and Public Relations Managers</t>
        </is>
      </c>
      <c r="J15" s="17" t="inlineStr">
        <is>
          <t>12220</t>
        </is>
      </c>
      <c r="K15" s="18" t="inlineStr">
        <is>
          <t>Advertising and Public Relations Managers (CZ-ISCO)</t>
        </is>
      </c>
      <c r="L15" s="18" t="inlineStr">
        <is>
          <t>Advertising and public relations managers plan, direct and coordinate the advertising, public relations and public information activities of enterprises and organizations or of enterprises that provide related services to other enterprises and organizations.</t>
        </is>
      </c>
    </row>
    <row r="16">
      <c r="A16" s="15" t="inlineStr">
        <is>
          <t>1223</t>
        </is>
      </c>
      <c r="B16" s="16" t="inlineStr">
        <is>
          <t>Research and Development Managers</t>
        </is>
      </c>
      <c r="C16" s="16" t="inlineStr">
        <is>
          <t>경영전략 / 인사 / 사업개발</t>
        </is>
      </c>
      <c r="D16" s="15" t="inlineStr">
        <is>
          <t>01010101</t>
        </is>
      </c>
      <c r="E16" s="16" t="inlineStr">
        <is>
          <t>Research and Development Managers 관련 국가직무</t>
        </is>
      </c>
      <c r="F16" s="15" t="inlineStr">
        <is>
          <t>12230</t>
        </is>
      </c>
      <c r="G16" s="16" t="inlineStr">
        <is>
          <t>Research and Development Managers (한국 표준 직종)</t>
        </is>
      </c>
      <c r="H16" s="15" t="inlineStr">
        <is>
          <t>11-2022.00</t>
        </is>
      </c>
      <c r="I16" s="16" t="inlineStr">
        <is>
          <t>Research and Development Managers</t>
        </is>
      </c>
      <c r="J16" s="15" t="inlineStr">
        <is>
          <t>12230</t>
        </is>
      </c>
      <c r="K16" s="16" t="inlineStr">
        <is>
          <t>Research and Development Managers (CZ-ISCO)</t>
        </is>
      </c>
      <c r="L16" s="16" t="inlineStr">
        <is>
          <t>Research and development managers plan, direct and coordinate the research and development activities of an enterprise or organization or of enterprises that provide related services to other enterprises and organizations.</t>
        </is>
      </c>
    </row>
    <row r="17">
      <c r="A17" s="17" t="inlineStr">
        <is>
          <t>1311</t>
        </is>
      </c>
      <c r="B17" s="18" t="inlineStr">
        <is>
          <t>Agricultural and Forestry Production Managers</t>
        </is>
      </c>
      <c r="C17" s="18" t="inlineStr">
        <is>
          <t>모빌리티 / 자율주행 / 로보틱스</t>
        </is>
      </c>
      <c r="D17" s="17" t="inlineStr">
        <is>
          <t>15010101</t>
        </is>
      </c>
      <c r="E17" s="18" t="inlineStr">
        <is>
          <t>Agricultural and Forestry Production Managers 관련 국가직무</t>
        </is>
      </c>
      <c r="F17" s="17" t="inlineStr">
        <is>
          <t>13110</t>
        </is>
      </c>
      <c r="G17" s="18" t="inlineStr">
        <is>
          <t>Agricultural and Forestry Production Managers (한국 표준 직종)</t>
        </is>
      </c>
      <c r="H17" s="17" t="inlineStr">
        <is>
          <t>11-3051.00</t>
        </is>
      </c>
      <c r="I17" s="18" t="inlineStr">
        <is>
          <t>Agricultural and Forestry Production Managers</t>
        </is>
      </c>
      <c r="J17" s="17" t="inlineStr">
        <is>
          <t>13110</t>
        </is>
      </c>
      <c r="K17" s="18" t="inlineStr">
        <is>
          <t>Agricultural and Forestry Production Managers (CZ-ISCO)</t>
        </is>
      </c>
      <c r="L17" s="18"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c>
    </row>
    <row r="18">
      <c r="A18" s="15" t="inlineStr">
        <is>
          <t>1312</t>
        </is>
      </c>
      <c r="B18" s="16" t="inlineStr">
        <is>
          <t>Aquaculture and Fisheries Production Managers</t>
        </is>
      </c>
      <c r="C18" s="16" t="inlineStr">
        <is>
          <t>모빌리티 / 자율주행 / 로보틱스</t>
        </is>
      </c>
      <c r="D18" s="15" t="inlineStr">
        <is>
          <t>15010101</t>
        </is>
      </c>
      <c r="E18" s="16" t="inlineStr">
        <is>
          <t>Aquaculture and Fisheries Production Managers 관련 국가직무</t>
        </is>
      </c>
      <c r="F18" s="15" t="inlineStr">
        <is>
          <t>13120</t>
        </is>
      </c>
      <c r="G18" s="16" t="inlineStr">
        <is>
          <t>Aquaculture and Fisheries Production Managers (한국 표준 직종)</t>
        </is>
      </c>
      <c r="H18" s="15" t="inlineStr">
        <is>
          <t>11-3051.00</t>
        </is>
      </c>
      <c r="I18" s="16" t="inlineStr">
        <is>
          <t>Aquaculture and Fisheries Production Managers</t>
        </is>
      </c>
      <c r="J18" s="15" t="inlineStr">
        <is>
          <t>13120</t>
        </is>
      </c>
      <c r="K18" s="16" t="inlineStr">
        <is>
          <t>Aquaculture and Fisheries Production Managers (CZ-ISCO)</t>
        </is>
      </c>
      <c r="L18" s="16"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c>
    </row>
    <row r="19">
      <c r="A19" s="17" t="inlineStr">
        <is>
          <t>1321</t>
        </is>
      </c>
      <c r="B19" s="18" t="inlineStr">
        <is>
          <t>Manufacturing Managers</t>
        </is>
      </c>
      <c r="C19" s="18" t="inlineStr">
        <is>
          <t>모빌리티 / 자율주행 / 로보틱스</t>
        </is>
      </c>
      <c r="D19" s="17" t="inlineStr">
        <is>
          <t>15010101</t>
        </is>
      </c>
      <c r="E19" s="18" t="inlineStr">
        <is>
          <t>Manufacturing Managers 관련 국가직무</t>
        </is>
      </c>
      <c r="F19" s="17" t="inlineStr">
        <is>
          <t>13210</t>
        </is>
      </c>
      <c r="G19" s="18" t="inlineStr">
        <is>
          <t>Manufacturing Managers (한국 표준 직종)</t>
        </is>
      </c>
      <c r="H19" s="17" t="inlineStr">
        <is>
          <t>11-3051.00</t>
        </is>
      </c>
      <c r="I19" s="18" t="inlineStr">
        <is>
          <t>Manufacturing Managers</t>
        </is>
      </c>
      <c r="J19" s="17" t="inlineStr">
        <is>
          <t>13210</t>
        </is>
      </c>
      <c r="K19" s="18" t="inlineStr">
        <is>
          <t>Manufacturing Managers (CZ-ISCO)</t>
        </is>
      </c>
      <c r="L19" s="18" t="inlineStr">
        <is>
          <t xml:space="preserve">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t>
        </is>
      </c>
    </row>
    <row r="20">
      <c r="A20" s="15" t="inlineStr">
        <is>
          <t>1322</t>
        </is>
      </c>
      <c r="B20" s="16" t="inlineStr">
        <is>
          <t>Mining Managers</t>
        </is>
      </c>
      <c r="C20" s="16" t="inlineStr">
        <is>
          <t>모빌리티 / 자율주행 / 로보틱스</t>
        </is>
      </c>
      <c r="D20" s="15" t="inlineStr">
        <is>
          <t>15010101</t>
        </is>
      </c>
      <c r="E20" s="16" t="inlineStr">
        <is>
          <t>Mining Managers 관련 국가직무</t>
        </is>
      </c>
      <c r="F20" s="15" t="inlineStr">
        <is>
          <t>13220</t>
        </is>
      </c>
      <c r="G20" s="16" t="inlineStr">
        <is>
          <t>Mining Managers (한국 표준 직종)</t>
        </is>
      </c>
      <c r="H20" s="15" t="inlineStr">
        <is>
          <t>11-3051.00</t>
        </is>
      </c>
      <c r="I20" s="16" t="inlineStr">
        <is>
          <t>Mining Managers</t>
        </is>
      </c>
      <c r="J20" s="15" t="inlineStr">
        <is>
          <t>13220</t>
        </is>
      </c>
      <c r="K20" s="16" t="inlineStr">
        <is>
          <t>Mining Managers (CZ-ISCO)</t>
        </is>
      </c>
      <c r="L20" s="16"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c>
    </row>
    <row r="21">
      <c r="A21" s="17" t="inlineStr">
        <is>
          <t>1323</t>
        </is>
      </c>
      <c r="B21" s="18" t="inlineStr">
        <is>
          <t>Construction Managers</t>
        </is>
      </c>
      <c r="C21" s="18" t="inlineStr">
        <is>
          <t>모빌리티 / 자율주행 / 로보틱스</t>
        </is>
      </c>
      <c r="D21" s="17" t="inlineStr">
        <is>
          <t>15010101</t>
        </is>
      </c>
      <c r="E21" s="18" t="inlineStr">
        <is>
          <t>Construction Managers 관련 국가직무</t>
        </is>
      </c>
      <c r="F21" s="17" t="inlineStr">
        <is>
          <t>13230</t>
        </is>
      </c>
      <c r="G21" s="18" t="inlineStr">
        <is>
          <t>Construction Managers (한국 표준 직종)</t>
        </is>
      </c>
      <c r="H21" s="17" t="inlineStr">
        <is>
          <t>11-3051.00</t>
        </is>
      </c>
      <c r="I21" s="18" t="inlineStr">
        <is>
          <t>Construction Managers</t>
        </is>
      </c>
      <c r="J21" s="17" t="inlineStr">
        <is>
          <t>13230</t>
        </is>
      </c>
      <c r="K21" s="18" t="inlineStr">
        <is>
          <t>Construction Managers (CZ-ISCO)</t>
        </is>
      </c>
      <c r="L21" s="18"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c>
    </row>
    <row r="22">
      <c r="A22" s="15" t="inlineStr">
        <is>
          <t>1324</t>
        </is>
      </c>
      <c r="B22" s="16" t="inlineStr">
        <is>
          <t>Supply, Distribution and Related Managers</t>
        </is>
      </c>
      <c r="C22" s="16" t="inlineStr">
        <is>
          <t>모빌리티 / 자율주행 / 로보틱스</t>
        </is>
      </c>
      <c r="D22" s="15" t="inlineStr">
        <is>
          <t>15010101</t>
        </is>
      </c>
      <c r="E22" s="16" t="inlineStr">
        <is>
          <t>Supply, Distribution and Related Managers 관련 국가직무</t>
        </is>
      </c>
      <c r="F22" s="15" t="inlineStr">
        <is>
          <t>13240</t>
        </is>
      </c>
      <c r="G22" s="16" t="inlineStr">
        <is>
          <t>Supply, Distribution and Related Managers (한국 표준 직종)</t>
        </is>
      </c>
      <c r="H22" s="15" t="inlineStr">
        <is>
          <t>11-3051.00</t>
        </is>
      </c>
      <c r="I22" s="16" t="inlineStr">
        <is>
          <t>Supply, Distribution and Related Managers</t>
        </is>
      </c>
      <c r="J22" s="15" t="inlineStr">
        <is>
          <t>13240</t>
        </is>
      </c>
      <c r="K22" s="16" t="inlineStr">
        <is>
          <t>Supply, Distribution and Related Managers (CZ-ISCO)</t>
        </is>
      </c>
      <c r="L22" s="16"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t>
        </is>
      </c>
    </row>
    <row r="23">
      <c r="A23" s="17" t="inlineStr">
        <is>
          <t>1330</t>
        </is>
      </c>
      <c r="B23" s="18" t="inlineStr">
        <is>
          <t>Information and Communications Technology Service Managers</t>
        </is>
      </c>
      <c r="C23" s="18" t="inlineStr">
        <is>
          <t>모빌리티 / 자율주행 / 로보틱스</t>
        </is>
      </c>
      <c r="D23" s="17" t="inlineStr">
        <is>
          <t>15010101</t>
        </is>
      </c>
      <c r="E23" s="18" t="inlineStr">
        <is>
          <t>Information and Communications Technology Service Managers 관련 국가직무</t>
        </is>
      </c>
      <c r="F23" s="17" t="inlineStr">
        <is>
          <t>13300</t>
        </is>
      </c>
      <c r="G23" s="18" t="inlineStr">
        <is>
          <t>Information and Communications Technology Service Managers (한국 표준 직종)</t>
        </is>
      </c>
      <c r="H23" s="17" t="inlineStr">
        <is>
          <t>11-3051.00</t>
        </is>
      </c>
      <c r="I23" s="18" t="inlineStr">
        <is>
          <t>Information and Communications Technology Service Managers</t>
        </is>
      </c>
      <c r="J23" s="17" t="inlineStr">
        <is>
          <t>13300</t>
        </is>
      </c>
      <c r="K23" s="18" t="inlineStr">
        <is>
          <t>Information and Communications Technology Service Managers (CZ-ISCO)</t>
        </is>
      </c>
      <c r="L23" s="18"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t>
        </is>
      </c>
    </row>
    <row r="24">
      <c r="A24" s="15" t="inlineStr">
        <is>
          <t>1341</t>
        </is>
      </c>
      <c r="B24" s="16" t="inlineStr">
        <is>
          <t>Child Care Service Managers</t>
        </is>
      </c>
      <c r="C24" s="16" t="inlineStr">
        <is>
          <t>모빌리티 / 자율주행 / 로보틱스</t>
        </is>
      </c>
      <c r="D24" s="15" t="inlineStr">
        <is>
          <t>15010101</t>
        </is>
      </c>
      <c r="E24" s="16" t="inlineStr">
        <is>
          <t>Child Care Service Managers 관련 국가직무</t>
        </is>
      </c>
      <c r="F24" s="15" t="inlineStr">
        <is>
          <t>13410</t>
        </is>
      </c>
      <c r="G24" s="16" t="inlineStr">
        <is>
          <t>Child Care Service Managers (한국 표준 직종)</t>
        </is>
      </c>
      <c r="H24" s="15" t="inlineStr">
        <is>
          <t>11-3051.00</t>
        </is>
      </c>
      <c r="I24" s="16" t="inlineStr">
        <is>
          <t>Child Care Service Managers</t>
        </is>
      </c>
      <c r="J24" s="15" t="inlineStr">
        <is>
          <t>13410</t>
        </is>
      </c>
      <c r="K24" s="16" t="inlineStr">
        <is>
          <t>Child Care Service Managers (CZ-ISCO)</t>
        </is>
      </c>
      <c r="L24" s="16" t="inlineStr">
        <is>
          <t>Child care service managers plan, direct, and coordinate and evaluate the provision of care for children in before-school, after-school, vacation and day care centres and services.</t>
        </is>
      </c>
    </row>
    <row r="25">
      <c r="A25" s="17" t="inlineStr">
        <is>
          <t>1342</t>
        </is>
      </c>
      <c r="B25" s="18" t="inlineStr">
        <is>
          <t>Health Service Managers</t>
        </is>
      </c>
      <c r="C25" s="18" t="inlineStr">
        <is>
          <t>모빌리티 / 자율주행 / 로보틱스</t>
        </is>
      </c>
      <c r="D25" s="17" t="inlineStr">
        <is>
          <t>15010101</t>
        </is>
      </c>
      <c r="E25" s="18" t="inlineStr">
        <is>
          <t>Health Service Managers 관련 국가직무</t>
        </is>
      </c>
      <c r="F25" s="17" t="inlineStr">
        <is>
          <t>13420</t>
        </is>
      </c>
      <c r="G25" s="18" t="inlineStr">
        <is>
          <t>Health Service Managers (한국 표준 직종)</t>
        </is>
      </c>
      <c r="H25" s="17" t="inlineStr">
        <is>
          <t>11-3051.00</t>
        </is>
      </c>
      <c r="I25" s="18" t="inlineStr">
        <is>
          <t>Health Service Managers</t>
        </is>
      </c>
      <c r="J25" s="17" t="inlineStr">
        <is>
          <t>13420</t>
        </is>
      </c>
      <c r="K25" s="18" t="inlineStr">
        <is>
          <t>Health Service Managers (CZ-ISCO)</t>
        </is>
      </c>
      <c r="L25" s="18" t="inlineStr">
        <is>
          <t>Health service managers plan, direct, coordinate and evaluate the provision of clinical and community health care services in hospitals, clinics, public health agencies and similar organizations.</t>
        </is>
      </c>
    </row>
    <row r="26">
      <c r="A26" s="15" t="inlineStr">
        <is>
          <t>1343</t>
        </is>
      </c>
      <c r="B26" s="16" t="inlineStr">
        <is>
          <t>Aged Care Service Managers</t>
        </is>
      </c>
      <c r="C26" s="16" t="inlineStr">
        <is>
          <t>모빌리티 / 자율주행 / 로보틱스</t>
        </is>
      </c>
      <c r="D26" s="15" t="inlineStr">
        <is>
          <t>15010101</t>
        </is>
      </c>
      <c r="E26" s="16" t="inlineStr">
        <is>
          <t>Aged Care Service Managers 관련 국가직무</t>
        </is>
      </c>
      <c r="F26" s="15" t="inlineStr">
        <is>
          <t>13430</t>
        </is>
      </c>
      <c r="G26" s="16" t="inlineStr">
        <is>
          <t>Aged Care Service Managers (한국 표준 직종)</t>
        </is>
      </c>
      <c r="H26" s="15" t="inlineStr">
        <is>
          <t>11-3051.00</t>
        </is>
      </c>
      <c r="I26" s="16" t="inlineStr">
        <is>
          <t>Aged Care Service Managers</t>
        </is>
      </c>
      <c r="J26" s="15" t="inlineStr">
        <is>
          <t>13430</t>
        </is>
      </c>
      <c r="K26" s="16" t="inlineStr">
        <is>
          <t>Aged Care Service Managers (CZ-ISCO)</t>
        </is>
      </c>
      <c r="L26" s="16" t="inlineStr">
        <is>
          <t>Aged care service managers plan, direct coordinate and evaluate the provision of residential and personal care services for individuals and families who are in need of such services due to the effects of ageing.</t>
        </is>
      </c>
    </row>
    <row r="27">
      <c r="A27" s="17" t="inlineStr">
        <is>
          <t>1344</t>
        </is>
      </c>
      <c r="B27" s="18" t="inlineStr">
        <is>
          <t>Social Welfare Managers</t>
        </is>
      </c>
      <c r="C27" s="18" t="inlineStr">
        <is>
          <t>모빌리티 / 자율주행 / 로보틱스</t>
        </is>
      </c>
      <c r="D27" s="17" t="inlineStr">
        <is>
          <t>15010101</t>
        </is>
      </c>
      <c r="E27" s="18" t="inlineStr">
        <is>
          <t>Social Welfare Managers 관련 국가직무</t>
        </is>
      </c>
      <c r="F27" s="17" t="inlineStr">
        <is>
          <t>13440</t>
        </is>
      </c>
      <c r="G27" s="18" t="inlineStr">
        <is>
          <t>Social Welfare Managers (한국 표준 직종)</t>
        </is>
      </c>
      <c r="H27" s="17" t="inlineStr">
        <is>
          <t>11-3051.00</t>
        </is>
      </c>
      <c r="I27" s="18" t="inlineStr">
        <is>
          <t>Social Welfare Managers</t>
        </is>
      </c>
      <c r="J27" s="17" t="inlineStr">
        <is>
          <t>13440</t>
        </is>
      </c>
      <c r="K27" s="18" t="inlineStr">
        <is>
          <t>Social Welfare Managers (CZ-ISCO)</t>
        </is>
      </c>
      <c r="L27" s="18" t="inlineStr">
        <is>
          <t>Social welfare managers plan, direct and coordinate the provision of social and community service programmes such as income support, family assistance, children’s services and other community programmes and services.</t>
        </is>
      </c>
    </row>
    <row r="28">
      <c r="A28" s="15" t="inlineStr">
        <is>
          <t>1345</t>
        </is>
      </c>
      <c r="B28" s="16" t="inlineStr">
        <is>
          <t>Education Managers</t>
        </is>
      </c>
      <c r="C28" s="16" t="inlineStr">
        <is>
          <t>모빌리티 / 자율주행 / 로보틱스</t>
        </is>
      </c>
      <c r="D28" s="15" t="inlineStr">
        <is>
          <t>15010101</t>
        </is>
      </c>
      <c r="E28" s="16" t="inlineStr">
        <is>
          <t>Education Managers 관련 국가직무</t>
        </is>
      </c>
      <c r="F28" s="15" t="inlineStr">
        <is>
          <t>13450</t>
        </is>
      </c>
      <c r="G28" s="16" t="inlineStr">
        <is>
          <t>Education Managers (한국 표준 직종)</t>
        </is>
      </c>
      <c r="H28" s="15" t="inlineStr">
        <is>
          <t>11-3051.00</t>
        </is>
      </c>
      <c r="I28" s="16" t="inlineStr">
        <is>
          <t>Education Managers</t>
        </is>
      </c>
      <c r="J28" s="15" t="inlineStr">
        <is>
          <t>13450</t>
        </is>
      </c>
      <c r="K28" s="16" t="inlineStr">
        <is>
          <t>Education Managers (CZ-ISCO)</t>
        </is>
      </c>
      <c r="L28" s="16" t="inlineStr">
        <is>
          <t>Education managers plan, direct, coordinate and evaluate the educational and administrative aspects of education services, primary and secondary schools, colleges and faculties and departments in universities and other educational institutions.</t>
        </is>
      </c>
    </row>
    <row r="29">
      <c r="A29" s="17" t="inlineStr">
        <is>
          <t>1346</t>
        </is>
      </c>
      <c r="B29" s="18" t="inlineStr">
        <is>
          <t>Financial and Insurance Services Branch managers</t>
        </is>
      </c>
      <c r="C29" s="18" t="inlineStr">
        <is>
          <t>모빌리티 / 자율주행 / 로보틱스</t>
        </is>
      </c>
      <c r="D29" s="17" t="inlineStr">
        <is>
          <t>15010101</t>
        </is>
      </c>
      <c r="E29" s="18" t="inlineStr">
        <is>
          <t>Financial and Insurance Services Branch managers 관련 국가직무</t>
        </is>
      </c>
      <c r="F29" s="17" t="inlineStr">
        <is>
          <t>13460</t>
        </is>
      </c>
      <c r="G29" s="18" t="inlineStr">
        <is>
          <t>Financial and Insurance Services Branch managers (한국 표준 직종)</t>
        </is>
      </c>
      <c r="H29" s="17" t="inlineStr">
        <is>
          <t>11-3051.00</t>
        </is>
      </c>
      <c r="I29" s="18" t="inlineStr">
        <is>
          <t>Financial and Insurance Services Branch managers</t>
        </is>
      </c>
      <c r="J29" s="17" t="inlineStr">
        <is>
          <t>13460</t>
        </is>
      </c>
      <c r="K29" s="18" t="inlineStr">
        <is>
          <t>Financial and Insurance Services Branch managers (CZ-ISCO)</t>
        </is>
      </c>
      <c r="L29" s="18"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t>
        </is>
      </c>
    </row>
    <row r="30">
      <c r="A30" s="15" t="inlineStr">
        <is>
          <t>1349</t>
        </is>
      </c>
      <c r="B30" s="16" t="inlineStr">
        <is>
          <t>Professional Services Managers Not Elsewhere Classified</t>
        </is>
      </c>
      <c r="C30" s="16" t="inlineStr">
        <is>
          <t>모빌리티 / 자율주행 / 로보틱스</t>
        </is>
      </c>
      <c r="D30" s="15" t="inlineStr">
        <is>
          <t>15010101</t>
        </is>
      </c>
      <c r="E30" s="16" t="inlineStr">
        <is>
          <t>Professional Services Managers Not Elsewhere Classified 관련 국가직무</t>
        </is>
      </c>
      <c r="F30" s="15" t="inlineStr">
        <is>
          <t>13490</t>
        </is>
      </c>
      <c r="G30" s="16" t="inlineStr">
        <is>
          <t>Professional Services Managers Not Elsewhere Classified (한국 표준 직종)</t>
        </is>
      </c>
      <c r="H30" s="15" t="inlineStr">
        <is>
          <t>11-3051.00</t>
        </is>
      </c>
      <c r="I30" s="16" t="inlineStr">
        <is>
          <t>Professional Services Managers Not Elsewhere Classified</t>
        </is>
      </c>
      <c r="J30" s="15" t="inlineStr">
        <is>
          <t>13490</t>
        </is>
      </c>
      <c r="K30" s="16" t="inlineStr">
        <is>
          <t>Professional Services Managers Not Elsewhere Classified (CZ-ISCO)</t>
        </is>
      </c>
      <c r="L30" s="16"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
        </is>
      </c>
    </row>
    <row r="31">
      <c r="A31" s="17" t="inlineStr">
        <is>
          <t>1411</t>
        </is>
      </c>
      <c r="B31" s="18" t="inlineStr">
        <is>
          <t>Hotel Managers</t>
        </is>
      </c>
      <c r="C31" s="18" t="inlineStr">
        <is>
          <t>B2B영업 / 마케팅 / GTM</t>
        </is>
      </c>
      <c r="D31" s="17" t="inlineStr">
        <is>
          <t>10010101</t>
        </is>
      </c>
      <c r="E31" s="18" t="inlineStr">
        <is>
          <t>Hotel Managers 관련 국가직무</t>
        </is>
      </c>
      <c r="F31" s="17" t="inlineStr">
        <is>
          <t>14110</t>
        </is>
      </c>
      <c r="G31" s="18" t="inlineStr">
        <is>
          <t>Hotel Managers (한국 표준 직종)</t>
        </is>
      </c>
      <c r="H31" s="17" t="inlineStr">
        <is>
          <t>11-9051.00</t>
        </is>
      </c>
      <c r="I31" s="18" t="inlineStr">
        <is>
          <t>Hotel Managers</t>
        </is>
      </c>
      <c r="J31" s="17" t="inlineStr">
        <is>
          <t>14110</t>
        </is>
      </c>
      <c r="K31" s="18" t="inlineStr">
        <is>
          <t>Hotel Managers (CZ-ISCO)</t>
        </is>
      </c>
      <c r="L31" s="18" t="inlineStr">
        <is>
          <t>Hotel managers plan, organize and direct the operations of hotels, motels and similar establishments to provide guest accommodation and other services.</t>
        </is>
      </c>
    </row>
    <row r="32">
      <c r="A32" s="15" t="inlineStr">
        <is>
          <t>1412</t>
        </is>
      </c>
      <c r="B32" s="16" t="inlineStr">
        <is>
          <t>Restaurant Managers</t>
        </is>
      </c>
      <c r="C32" s="16" t="inlineStr">
        <is>
          <t>B2B영업 / 마케팅 / GTM</t>
        </is>
      </c>
      <c r="D32" s="15" t="inlineStr">
        <is>
          <t>10010101</t>
        </is>
      </c>
      <c r="E32" s="16" t="inlineStr">
        <is>
          <t>Restaurant Managers 관련 국가직무</t>
        </is>
      </c>
      <c r="F32" s="15" t="inlineStr">
        <is>
          <t>14120</t>
        </is>
      </c>
      <c r="G32" s="16" t="inlineStr">
        <is>
          <t>Restaurant Managers (한국 표준 직종)</t>
        </is>
      </c>
      <c r="H32" s="15" t="inlineStr">
        <is>
          <t>11-9051.00</t>
        </is>
      </c>
      <c r="I32" s="16" t="inlineStr">
        <is>
          <t>Restaurant Managers</t>
        </is>
      </c>
      <c r="J32" s="15" t="inlineStr">
        <is>
          <t>14120</t>
        </is>
      </c>
      <c r="K32" s="16" t="inlineStr">
        <is>
          <t>Restaurant Managers (CZ-ISCO)</t>
        </is>
      </c>
      <c r="L32" s="16" t="inlineStr">
        <is>
          <t>Restaurant managers plan, organize and direct the operations of cafes, restaurants and related establishments to provide dining and catering services.</t>
        </is>
      </c>
    </row>
    <row r="33">
      <c r="A33" s="17" t="inlineStr">
        <is>
          <t>1420</t>
        </is>
      </c>
      <c r="B33" s="18" t="inlineStr">
        <is>
          <t>Retail and Wholesale Trade Managers</t>
        </is>
      </c>
      <c r="C33" s="18" t="inlineStr">
        <is>
          <t>B2B영업 / 마케팅 / GTM</t>
        </is>
      </c>
      <c r="D33" s="17" t="inlineStr">
        <is>
          <t>10010101</t>
        </is>
      </c>
      <c r="E33" s="18" t="inlineStr">
        <is>
          <t>Retail and Wholesale Trade Managers 관련 국가직무</t>
        </is>
      </c>
      <c r="F33" s="17" t="inlineStr">
        <is>
          <t>14200</t>
        </is>
      </c>
      <c r="G33" s="18" t="inlineStr">
        <is>
          <t>Retail and Wholesale Trade Managers (한국 표준 직종)</t>
        </is>
      </c>
      <c r="H33" s="17" t="inlineStr">
        <is>
          <t>11-9051.00</t>
        </is>
      </c>
      <c r="I33" s="18" t="inlineStr">
        <is>
          <t>Retail and Wholesale Trade Managers</t>
        </is>
      </c>
      <c r="J33" s="17" t="inlineStr">
        <is>
          <t>14200</t>
        </is>
      </c>
      <c r="K33" s="18" t="inlineStr">
        <is>
          <t>Retail and Wholesale Trade Managers (CZ-ISCO)</t>
        </is>
      </c>
      <c r="L33" s="18" t="inlineStr">
        <is>
          <t xml:space="preserve">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t>
        </is>
      </c>
    </row>
    <row r="34">
      <c r="A34" s="15" t="inlineStr">
        <is>
          <t>1431</t>
        </is>
      </c>
      <c r="B34" s="16" t="inlineStr">
        <is>
          <t>Sports, Recreation and Cultural Centre Managers</t>
        </is>
      </c>
      <c r="C34" s="16" t="inlineStr">
        <is>
          <t>B2B영업 / 마케팅 / GTM</t>
        </is>
      </c>
      <c r="D34" s="15" t="inlineStr">
        <is>
          <t>10010101</t>
        </is>
      </c>
      <c r="E34" s="16" t="inlineStr">
        <is>
          <t>Sports, Recreation and Cultural Centre Managers 관련 국가직무</t>
        </is>
      </c>
      <c r="F34" s="15" t="inlineStr">
        <is>
          <t>14310</t>
        </is>
      </c>
      <c r="G34" s="16" t="inlineStr">
        <is>
          <t>Sports, Recreation and Cultural Centre Managers (한국 표준 직종)</t>
        </is>
      </c>
      <c r="H34" s="15" t="inlineStr">
        <is>
          <t>11-9051.00</t>
        </is>
      </c>
      <c r="I34" s="16" t="inlineStr">
        <is>
          <t>Sports, Recreation and Cultural Centre Managers</t>
        </is>
      </c>
      <c r="J34" s="15" t="inlineStr">
        <is>
          <t>14310</t>
        </is>
      </c>
      <c r="K34" s="16" t="inlineStr">
        <is>
          <t>Sports, Recreation and Cultural Centre Managers (CZ-ISCO)</t>
        </is>
      </c>
      <c r="L34" s="16" t="inlineStr">
        <is>
          <t>Sports, recreation and cultural centre managers plan, organize and control the operations of establishments that provide sporting, artistic, theatrical and other recreational and amenity services.</t>
        </is>
      </c>
    </row>
    <row r="35">
      <c r="A35" s="17" t="inlineStr">
        <is>
          <t>1439</t>
        </is>
      </c>
      <c r="B35" s="18" t="inlineStr">
        <is>
          <t>Services Managers Not Elsewhere Classified</t>
        </is>
      </c>
      <c r="C35" s="18" t="inlineStr">
        <is>
          <t>B2B영업 / 마케팅 / GTM</t>
        </is>
      </c>
      <c r="D35" s="17" t="inlineStr">
        <is>
          <t>10010101</t>
        </is>
      </c>
      <c r="E35" s="18" t="inlineStr">
        <is>
          <t>Services Managers Not Elsewhere Classified 관련 국가직무</t>
        </is>
      </c>
      <c r="F35" s="17" t="inlineStr">
        <is>
          <t>14390</t>
        </is>
      </c>
      <c r="G35" s="18" t="inlineStr">
        <is>
          <t>Services Managers Not Elsewhere Classified (한국 표준 직종)</t>
        </is>
      </c>
      <c r="H35" s="17" t="inlineStr">
        <is>
          <t>11-9051.00</t>
        </is>
      </c>
      <c r="I35" s="18" t="inlineStr">
        <is>
          <t>Services Managers Not Elsewhere Classified</t>
        </is>
      </c>
      <c r="J35" s="17" t="inlineStr">
        <is>
          <t>14390</t>
        </is>
      </c>
      <c r="K35" s="18" t="inlineStr">
        <is>
          <t>Services Managers Not Elsewhere Classified (CZ-ISCO)</t>
        </is>
      </c>
      <c r="L35" s="18" t="inlineStr">
        <is>
          <t xml:space="preserve">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t>
        </is>
      </c>
    </row>
    <row r="36">
      <c r="A36" s="15" t="inlineStr">
        <is>
          <t>2111</t>
        </is>
      </c>
      <c r="B36" s="16" t="inlineStr">
        <is>
          <t>Physicists and Astronomers</t>
        </is>
      </c>
      <c r="C36" s="16" t="inlineStr">
        <is>
          <t>반도체 / 전자회로 / 하드웨어</t>
        </is>
      </c>
      <c r="D36" s="15" t="inlineStr">
        <is>
          <t>04010101</t>
        </is>
      </c>
      <c r="E36" s="16" t="inlineStr">
        <is>
          <t>Physicists and Astronomers 관련 국가직무</t>
        </is>
      </c>
      <c r="F36" s="15" t="inlineStr">
        <is>
          <t>21110</t>
        </is>
      </c>
      <c r="G36" s="16" t="inlineStr">
        <is>
          <t>Physicists and Astronomers (한국 표준 직종)</t>
        </is>
      </c>
      <c r="H36" s="15" t="inlineStr">
        <is>
          <t>17-2141.00</t>
        </is>
      </c>
      <c r="I36" s="16" t="inlineStr">
        <is>
          <t>Physicists and Astronomers</t>
        </is>
      </c>
      <c r="J36" s="15" t="inlineStr">
        <is>
          <t>21110</t>
        </is>
      </c>
      <c r="K36" s="16" t="inlineStr">
        <is>
          <t>Physicists and Astronomers (CZ-ISCO)</t>
        </is>
      </c>
      <c r="L36" s="16"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t>
        </is>
      </c>
    </row>
    <row r="37">
      <c r="A37" s="17" t="inlineStr">
        <is>
          <t>2112</t>
        </is>
      </c>
      <c r="B37" s="18" t="inlineStr">
        <is>
          <t>Meteorologists</t>
        </is>
      </c>
      <c r="C37" s="18" t="inlineStr">
        <is>
          <t>반도체 / 전자회로 / 하드웨어</t>
        </is>
      </c>
      <c r="D37" s="17" t="inlineStr">
        <is>
          <t>19020101</t>
        </is>
      </c>
      <c r="E37" s="18" t="inlineStr">
        <is>
          <t>Meteorologists 관련 국가직무</t>
        </is>
      </c>
      <c r="F37" s="17" t="inlineStr">
        <is>
          <t>21120</t>
        </is>
      </c>
      <c r="G37" s="18" t="inlineStr">
        <is>
          <t>Meteorologists (한국 표준 직종)</t>
        </is>
      </c>
      <c r="H37" s="17" t="inlineStr">
        <is>
          <t>17-2141.00</t>
        </is>
      </c>
      <c r="I37" s="18" t="inlineStr">
        <is>
          <t>Meteorologists</t>
        </is>
      </c>
      <c r="J37" s="17" t="inlineStr">
        <is>
          <t>21120</t>
        </is>
      </c>
      <c r="K37" s="18" t="inlineStr">
        <is>
          <t>Meteorologists (CZ-ISCO)</t>
        </is>
      </c>
      <c r="L37" s="18" t="inlineStr">
        <is>
          <t>Meteorologists prepare short-term or long-term weather forecasts used in aviation, shipping, agriculture and other areas and for the information of the general public. They conduct research related to the composition, structure and dynamics of the atmosphere.</t>
        </is>
      </c>
    </row>
    <row r="38">
      <c r="A38" s="15" t="inlineStr">
        <is>
          <t>2113</t>
        </is>
      </c>
      <c r="B38" s="16" t="inlineStr">
        <is>
          <t>Chemists</t>
        </is>
      </c>
      <c r="C38" s="16" t="inlineStr">
        <is>
          <t>반도체 / 전자회로 / 하드웨어</t>
        </is>
      </c>
      <c r="D38" s="15" t="inlineStr">
        <is>
          <t>04010201</t>
        </is>
      </c>
      <c r="E38" s="16" t="inlineStr">
        <is>
          <t>Chemists 관련 국가직무</t>
        </is>
      </c>
      <c r="F38" s="15" t="inlineStr">
        <is>
          <t>21130</t>
        </is>
      </c>
      <c r="G38" s="16" t="inlineStr">
        <is>
          <t>Chemists (한국 표준 직종)</t>
        </is>
      </c>
      <c r="H38" s="15" t="inlineStr">
        <is>
          <t>17-2141.00</t>
        </is>
      </c>
      <c r="I38" s="16" t="inlineStr">
        <is>
          <t>Chemists</t>
        </is>
      </c>
      <c r="J38" s="15" t="inlineStr">
        <is>
          <t>21130</t>
        </is>
      </c>
      <c r="K38" s="16" t="inlineStr">
        <is>
          <t>Chemists (CZ-ISCO)</t>
        </is>
      </c>
      <c r="L38" s="16" t="inlineStr">
        <is>
          <t>Chemists conduct research, improve or develop concepts, theories and operational methods, or apply scientific knowledge relating to chemistry, to develop new knowledge or products and for quality and process control.</t>
        </is>
      </c>
    </row>
    <row r="39">
      <c r="A39" s="17" t="inlineStr">
        <is>
          <t>2114</t>
        </is>
      </c>
      <c r="B39" s="18" t="inlineStr">
        <is>
          <t>Geologists and geophysicists</t>
        </is>
      </c>
      <c r="C39" s="18" t="inlineStr">
        <is>
          <t>반도체 / 전자회로 / 하드웨어</t>
        </is>
      </c>
      <c r="D39" s="17" t="inlineStr">
        <is>
          <t>19020101</t>
        </is>
      </c>
      <c r="E39" s="18" t="inlineStr">
        <is>
          <t>Geologists and geophysicists 관련 국가직무</t>
        </is>
      </c>
      <c r="F39" s="17" t="inlineStr">
        <is>
          <t>21140</t>
        </is>
      </c>
      <c r="G39" s="18" t="inlineStr">
        <is>
          <t>Geologists and geophysicists (한국 표준 직종)</t>
        </is>
      </c>
      <c r="H39" s="17" t="inlineStr">
        <is>
          <t>17-2141.00</t>
        </is>
      </c>
      <c r="I39" s="18" t="inlineStr">
        <is>
          <t>Geologists and geophysicists</t>
        </is>
      </c>
      <c r="J39" s="17" t="inlineStr">
        <is>
          <t>21140</t>
        </is>
      </c>
      <c r="K39" s="18" t="inlineStr">
        <is>
          <t>Geologists and geophysicists (CZ-ISCO)</t>
        </is>
      </c>
      <c r="L39" s="18" t="inlineStr">
        <is>
          <t xml:space="preserve">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t>
        </is>
      </c>
    </row>
    <row r="40">
      <c r="A40" s="15" t="inlineStr">
        <is>
          <t>2120</t>
        </is>
      </c>
      <c r="B40" s="16" t="inlineStr">
        <is>
          <t>Mathematicians, Actuaries and Statisticians</t>
        </is>
      </c>
      <c r="C40" s="16" t="inlineStr">
        <is>
          <t>반도체 / 전자회로 / 하드웨어</t>
        </is>
      </c>
      <c r="D40" s="15" t="inlineStr">
        <is>
          <t>19020101</t>
        </is>
      </c>
      <c r="E40" s="16" t="inlineStr">
        <is>
          <t>Mathematicians, Actuaries and Statisticians 관련 국가직무</t>
        </is>
      </c>
      <c r="F40" s="15" t="inlineStr">
        <is>
          <t>21200</t>
        </is>
      </c>
      <c r="G40" s="16" t="inlineStr">
        <is>
          <t>Mathematicians, Actuaries and Statisticians (한국 표준 직종)</t>
        </is>
      </c>
      <c r="H40" s="15" t="inlineStr">
        <is>
          <t>17-2141.00</t>
        </is>
      </c>
      <c r="I40" s="16" t="inlineStr">
        <is>
          <t>Mathematicians, Actuaries and Statisticians</t>
        </is>
      </c>
      <c r="J40" s="15" t="inlineStr">
        <is>
          <t>21200</t>
        </is>
      </c>
      <c r="K40" s="16" t="inlineStr">
        <is>
          <t>Mathematicians, Actuaries and Statisticians (CZ-ISCO)</t>
        </is>
      </c>
      <c r="L40" s="16"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t>
        </is>
      </c>
    </row>
    <row r="41">
      <c r="A41" s="17" t="inlineStr">
        <is>
          <t>2131</t>
        </is>
      </c>
      <c r="B41" s="18" t="inlineStr">
        <is>
          <t>Biologists, Botanists, Zoologists and Related Professionals</t>
        </is>
      </c>
      <c r="C41" s="18" t="inlineStr">
        <is>
          <t>반도체 / 전자회로 / 하드웨어</t>
        </is>
      </c>
      <c r="D41" s="17" t="inlineStr">
        <is>
          <t>04010301</t>
        </is>
      </c>
      <c r="E41" s="18" t="inlineStr">
        <is>
          <t>Biologists, Botanists, Zoologists and Related Professionals 관련 국가직무</t>
        </is>
      </c>
      <c r="F41" s="17" t="inlineStr">
        <is>
          <t>21310</t>
        </is>
      </c>
      <c r="G41" s="18" t="inlineStr">
        <is>
          <t>Biologists, Botanists, Zoologists and Related Professionals (한국 표준 직종)</t>
        </is>
      </c>
      <c r="H41" s="17" t="inlineStr">
        <is>
          <t>17-2141.00</t>
        </is>
      </c>
      <c r="I41" s="18" t="inlineStr">
        <is>
          <t>Biologists, Botanists, Zoologists and Related Professionals</t>
        </is>
      </c>
      <c r="J41" s="17" t="inlineStr">
        <is>
          <t>21310</t>
        </is>
      </c>
      <c r="K41" s="18" t="inlineStr">
        <is>
          <t>Biologists, Botanists, Zoologists and Related Professionals (CZ-ISCO)</t>
        </is>
      </c>
      <c r="L41" s="18"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t>
        </is>
      </c>
    </row>
    <row r="42">
      <c r="A42" s="15" t="inlineStr">
        <is>
          <t>2132</t>
        </is>
      </c>
      <c r="B42" s="16" t="inlineStr">
        <is>
          <t>Farming, Forestry and Fisheries Advisers</t>
        </is>
      </c>
      <c r="C42" s="16" t="inlineStr">
        <is>
          <t>반도체 / 전자회로 / 하드웨어</t>
        </is>
      </c>
      <c r="D42" s="15" t="inlineStr">
        <is>
          <t>19020101</t>
        </is>
      </c>
      <c r="E42" s="16" t="inlineStr">
        <is>
          <t>Farming, Forestry and Fisheries Advisers 관련 국가직무</t>
        </is>
      </c>
      <c r="F42" s="15" t="inlineStr">
        <is>
          <t>21320</t>
        </is>
      </c>
      <c r="G42" s="16" t="inlineStr">
        <is>
          <t>Farming, Forestry and Fisheries Advisers (한국 표준 직종)</t>
        </is>
      </c>
      <c r="H42" s="15" t="inlineStr">
        <is>
          <t>17-2141.00</t>
        </is>
      </c>
      <c r="I42" s="16" t="inlineStr">
        <is>
          <t>Farming, Forestry and Fisheries Advisers</t>
        </is>
      </c>
      <c r="J42" s="15" t="inlineStr">
        <is>
          <t>21320</t>
        </is>
      </c>
      <c r="K42" s="16" t="inlineStr">
        <is>
          <t>Farming, Forestry and Fisheries Advisers (CZ-ISCO)</t>
        </is>
      </c>
      <c r="L42" s="16"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t>
        </is>
      </c>
    </row>
    <row r="43">
      <c r="A43" s="17" t="inlineStr">
        <is>
          <t>2133</t>
        </is>
      </c>
      <c r="B43" s="18" t="inlineStr">
        <is>
          <t>Environmental Protection Professionals</t>
        </is>
      </c>
      <c r="C43" s="18" t="inlineStr">
        <is>
          <t>반도체 / 전자회로 / 하드웨어</t>
        </is>
      </c>
      <c r="D43" s="17" t="inlineStr">
        <is>
          <t>19020101</t>
        </is>
      </c>
      <c r="E43" s="18" t="inlineStr">
        <is>
          <t>Environmental Protection Professionals 관련 국가직무</t>
        </is>
      </c>
      <c r="F43" s="17" t="inlineStr">
        <is>
          <t>21330</t>
        </is>
      </c>
      <c r="G43" s="18" t="inlineStr">
        <is>
          <t>Environmental Protection Professionals (한국 표준 직종)</t>
        </is>
      </c>
      <c r="H43" s="17" t="inlineStr">
        <is>
          <t>17-2141.00</t>
        </is>
      </c>
      <c r="I43" s="18" t="inlineStr">
        <is>
          <t>Environmental Protection Professionals</t>
        </is>
      </c>
      <c r="J43" s="17" t="inlineStr">
        <is>
          <t>21330</t>
        </is>
      </c>
      <c r="K43" s="18" t="inlineStr">
        <is>
          <t>Environmental Protection Professionals (CZ-ISCO)</t>
        </is>
      </c>
      <c r="L43" s="18" t="inlineStr">
        <is>
          <t xml:space="preserve">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t>
        </is>
      </c>
    </row>
    <row r="44">
      <c r="A44" s="15" t="inlineStr">
        <is>
          <t>2141</t>
        </is>
      </c>
      <c r="B44" s="16" t="inlineStr">
        <is>
          <t>Industrial and Production Engineers</t>
        </is>
      </c>
      <c r="C44" s="16" t="inlineStr">
        <is>
          <t>반도체 / 전자회로 / 하드웨어</t>
        </is>
      </c>
      <c r="D44" s="15" t="inlineStr">
        <is>
          <t>01020101</t>
        </is>
      </c>
      <c r="E44" s="16" t="inlineStr">
        <is>
          <t>Industrial and Production Engineers 관련 국가직무</t>
        </is>
      </c>
      <c r="F44" s="15" t="inlineStr">
        <is>
          <t>21410</t>
        </is>
      </c>
      <c r="G44" s="16" t="inlineStr">
        <is>
          <t>Industrial and Production Engineers (한국 표준 직종)</t>
        </is>
      </c>
      <c r="H44" s="15" t="inlineStr">
        <is>
          <t>17-2141.00</t>
        </is>
      </c>
      <c r="I44" s="16" t="inlineStr">
        <is>
          <t>Industrial and Production Engineers</t>
        </is>
      </c>
      <c r="J44" s="15" t="inlineStr">
        <is>
          <t>21410</t>
        </is>
      </c>
      <c r="K44" s="16" t="inlineStr">
        <is>
          <t>Industrial and Production Engineers (CZ-ISCO)</t>
        </is>
      </c>
      <c r="L44" s="16"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c>
    </row>
    <row r="45">
      <c r="A45" s="17" t="inlineStr">
        <is>
          <t>2142</t>
        </is>
      </c>
      <c r="B45" s="18" t="inlineStr">
        <is>
          <t>Civil Engineers</t>
        </is>
      </c>
      <c r="C45" s="18" t="inlineStr">
        <is>
          <t>반도체 / 전자회로 / 하드웨어</t>
        </is>
      </c>
      <c r="D45" s="17" t="inlineStr">
        <is>
          <t>14020101</t>
        </is>
      </c>
      <c r="E45" s="18" t="inlineStr">
        <is>
          <t>Civil Engineers 관련 국가직무</t>
        </is>
      </c>
      <c r="F45" s="17" t="inlineStr">
        <is>
          <t>21420</t>
        </is>
      </c>
      <c r="G45" s="18" t="inlineStr">
        <is>
          <t>Civil Engineers (한국 표준 직종)</t>
        </is>
      </c>
      <c r="H45" s="17" t="inlineStr">
        <is>
          <t>17-2141.00</t>
        </is>
      </c>
      <c r="I45" s="18" t="inlineStr">
        <is>
          <t>Civil Engineers</t>
        </is>
      </c>
      <c r="J45" s="17" t="inlineStr">
        <is>
          <t>21420</t>
        </is>
      </c>
      <c r="K45" s="18" t="inlineStr">
        <is>
          <t>Civil Engineers (CZ-ISCO)</t>
        </is>
      </c>
      <c r="L45" s="18" t="inlineStr">
        <is>
          <t>Civil engineers conduct research, advise on, design, and direct construction; manage the operation and maintenance of civil engineering structures; or study and advise on technological aspects of particular materials.</t>
        </is>
      </c>
    </row>
    <row r="46">
      <c r="A46" s="15" t="inlineStr">
        <is>
          <t>2143</t>
        </is>
      </c>
      <c r="B46" s="16" t="inlineStr">
        <is>
          <t>Environmental Engineers</t>
        </is>
      </c>
      <c r="C46" s="16" t="inlineStr">
        <is>
          <t>반도체 / 전자회로 / 하드웨어</t>
        </is>
      </c>
      <c r="D46" s="15" t="inlineStr">
        <is>
          <t>23010101</t>
        </is>
      </c>
      <c r="E46" s="16" t="inlineStr">
        <is>
          <t>Environmental Engineers 관련 국가직무</t>
        </is>
      </c>
      <c r="F46" s="15" t="inlineStr">
        <is>
          <t>21430</t>
        </is>
      </c>
      <c r="G46" s="16" t="inlineStr">
        <is>
          <t>Environmental Engineers (한국 표준 직종)</t>
        </is>
      </c>
      <c r="H46" s="15" t="inlineStr">
        <is>
          <t>17-2141.00</t>
        </is>
      </c>
      <c r="I46" s="16" t="inlineStr">
        <is>
          <t>Environmental Engineers</t>
        </is>
      </c>
      <c r="J46" s="15" t="inlineStr">
        <is>
          <t>21430</t>
        </is>
      </c>
      <c r="K46" s="16" t="inlineStr">
        <is>
          <t>Environmental Engineers (CZ-ISCO)</t>
        </is>
      </c>
      <c r="L46" s="16"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t>
        </is>
      </c>
    </row>
    <row r="47">
      <c r="A47" s="17" t="inlineStr">
        <is>
          <t>2144</t>
        </is>
      </c>
      <c r="B47" s="18" t="inlineStr">
        <is>
          <t>Mechanical Engineers</t>
        </is>
      </c>
      <c r="C47" s="18" t="inlineStr">
        <is>
          <t>반도체 / 전자회로 / 하드웨어</t>
        </is>
      </c>
      <c r="D47" s="17" t="inlineStr">
        <is>
          <t>15010101</t>
        </is>
      </c>
      <c r="E47" s="18" t="inlineStr">
        <is>
          <t>Mechanical Engineers 관련 국가직무</t>
        </is>
      </c>
      <c r="F47" s="17" t="inlineStr">
        <is>
          <t>21440</t>
        </is>
      </c>
      <c r="G47" s="18" t="inlineStr">
        <is>
          <t>Mechanical Engineers (한국 표준 직종)</t>
        </is>
      </c>
      <c r="H47" s="17" t="inlineStr">
        <is>
          <t>17-2141.00</t>
        </is>
      </c>
      <c r="I47" s="18" t="inlineStr">
        <is>
          <t>Mechanical Engineers</t>
        </is>
      </c>
      <c r="J47" s="17" t="inlineStr">
        <is>
          <t>21440</t>
        </is>
      </c>
      <c r="K47" s="18" t="inlineStr">
        <is>
          <t>Mechanical Engineers (CZ-ISCO)</t>
        </is>
      </c>
      <c r="L47" s="18"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t>
        </is>
      </c>
    </row>
    <row r="48">
      <c r="A48" s="15" t="inlineStr">
        <is>
          <t>2145</t>
        </is>
      </c>
      <c r="B48" s="16" t="inlineStr">
        <is>
          <t>Chemical Engineers</t>
        </is>
      </c>
      <c r="C48" s="16" t="inlineStr">
        <is>
          <t>반도체 / 전자회로 / 하드웨어</t>
        </is>
      </c>
      <c r="D48" s="15" t="inlineStr">
        <is>
          <t>17010101</t>
        </is>
      </c>
      <c r="E48" s="16" t="inlineStr">
        <is>
          <t>Chemical Engineers 관련 국가직무</t>
        </is>
      </c>
      <c r="F48" s="15" t="inlineStr">
        <is>
          <t>21450</t>
        </is>
      </c>
      <c r="G48" s="16" t="inlineStr">
        <is>
          <t>Chemical Engineers (한국 표준 직종)</t>
        </is>
      </c>
      <c r="H48" s="15" t="inlineStr">
        <is>
          <t>17-2141.00</t>
        </is>
      </c>
      <c r="I48" s="16" t="inlineStr">
        <is>
          <t>Chemical Engineers</t>
        </is>
      </c>
      <c r="J48" s="15" t="inlineStr">
        <is>
          <t>21450</t>
        </is>
      </c>
      <c r="K48" s="16" t="inlineStr">
        <is>
          <t>Chemical Engineers (CZ-ISCO)</t>
        </is>
      </c>
      <c r="L48" s="16"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t>
        </is>
      </c>
    </row>
    <row r="49">
      <c r="A49" s="17" t="inlineStr">
        <is>
          <t>2146</t>
        </is>
      </c>
      <c r="B49" s="18" t="inlineStr">
        <is>
          <t>Mining Engineers, Metallurgists and Related Professionals</t>
        </is>
      </c>
      <c r="C49" s="18" t="inlineStr">
        <is>
          <t>반도체 / 전자회로 / 하드웨어</t>
        </is>
      </c>
      <c r="D49" s="17" t="inlineStr">
        <is>
          <t>16010101</t>
        </is>
      </c>
      <c r="E49" s="18" t="inlineStr">
        <is>
          <t>Mining Engineers, Metallurgists and Related Professionals 관련 국가직무</t>
        </is>
      </c>
      <c r="F49" s="17" t="inlineStr">
        <is>
          <t>21460</t>
        </is>
      </c>
      <c r="G49" s="18" t="inlineStr">
        <is>
          <t>Mining Engineers, Metallurgists and Related Professionals (한국 표준 직종)</t>
        </is>
      </c>
      <c r="H49" s="17" t="inlineStr">
        <is>
          <t>17-2141.00</t>
        </is>
      </c>
      <c r="I49" s="18" t="inlineStr">
        <is>
          <t>Mining Engineers, Metallurgists and Related Professionals</t>
        </is>
      </c>
      <c r="J49" s="17" t="inlineStr">
        <is>
          <t>21460</t>
        </is>
      </c>
      <c r="K49" s="18" t="inlineStr">
        <is>
          <t>Mining Engineers, Metallurgists and Related Professionals (CZ-ISCO)</t>
        </is>
      </c>
      <c r="L49" s="18" t="inlineStr">
        <is>
          <t xml:space="preserve">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t>
        </is>
      </c>
    </row>
    <row r="50">
      <c r="A50" s="15" t="inlineStr">
        <is>
          <t>2149</t>
        </is>
      </c>
      <c r="B50" s="16" t="inlineStr">
        <is>
          <t>Engineering Professionals Not Elsewhere Classified</t>
        </is>
      </c>
      <c r="C50" s="16" t="inlineStr">
        <is>
          <t>반도체 / 전자회로 / 하드웨어</t>
        </is>
      </c>
      <c r="D50" s="15" t="inlineStr">
        <is>
          <t>19020101</t>
        </is>
      </c>
      <c r="E50" s="16" t="inlineStr">
        <is>
          <t>Engineering Professionals Not Elsewhere Classified 관련 국가직무</t>
        </is>
      </c>
      <c r="F50" s="15" t="inlineStr">
        <is>
          <t>21490</t>
        </is>
      </c>
      <c r="G50" s="16" t="inlineStr">
        <is>
          <t>Engineering Professionals Not Elsewhere Classified (한국 표준 직종)</t>
        </is>
      </c>
      <c r="H50" s="15" t="inlineStr">
        <is>
          <t>17-2141.00</t>
        </is>
      </c>
      <c r="I50" s="16" t="inlineStr">
        <is>
          <t>Engineering Professionals Not Elsewhere Classified</t>
        </is>
      </c>
      <c r="J50" s="15" t="inlineStr">
        <is>
          <t>21490</t>
        </is>
      </c>
      <c r="K50" s="16" t="inlineStr">
        <is>
          <t>Engineering Professionals Not Elsewhere Classified (CZ-ISCO)</t>
        </is>
      </c>
      <c r="L50" s="16"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t>
        </is>
      </c>
    </row>
    <row r="51">
      <c r="A51" s="17" t="inlineStr">
        <is>
          <t>2151</t>
        </is>
      </c>
      <c r="B51" s="18" t="inlineStr">
        <is>
          <t>Electrical Engineers</t>
        </is>
      </c>
      <c r="C51" s="18" t="inlineStr">
        <is>
          <t>반도체 / 전자회로 / 하드웨어</t>
        </is>
      </c>
      <c r="D51" s="17" t="inlineStr">
        <is>
          <t>19010101</t>
        </is>
      </c>
      <c r="E51" s="18" t="inlineStr">
        <is>
          <t>Electrical Engineers 관련 국가직무</t>
        </is>
      </c>
      <c r="F51" s="17" t="inlineStr">
        <is>
          <t>21510</t>
        </is>
      </c>
      <c r="G51" s="18" t="inlineStr">
        <is>
          <t>Electrical Engineers (한국 표준 직종)</t>
        </is>
      </c>
      <c r="H51" s="17" t="inlineStr">
        <is>
          <t>17-2141.00</t>
        </is>
      </c>
      <c r="I51" s="18" t="inlineStr">
        <is>
          <t>Electrical Engineers</t>
        </is>
      </c>
      <c r="J51" s="17" t="inlineStr">
        <is>
          <t>21510</t>
        </is>
      </c>
      <c r="K51" s="18" t="inlineStr">
        <is>
          <t>Electrical Engineers (CZ-ISCO)</t>
        </is>
      </c>
      <c r="L51" s="18"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
        </is>
      </c>
    </row>
    <row r="52">
      <c r="A52" s="15" t="inlineStr">
        <is>
          <t>2152</t>
        </is>
      </c>
      <c r="B52" s="16" t="inlineStr">
        <is>
          <t>Electronics Engineers</t>
        </is>
      </c>
      <c r="C52" s="16" t="inlineStr">
        <is>
          <t>반도체 / 전자회로 / 하드웨어</t>
        </is>
      </c>
      <c r="D52" s="15" t="inlineStr">
        <is>
          <t>19020101</t>
        </is>
      </c>
      <c r="E52" s="16" t="inlineStr">
        <is>
          <t>Electronics Engineers 관련 국가직무</t>
        </is>
      </c>
      <c r="F52" s="15" t="inlineStr">
        <is>
          <t>21520</t>
        </is>
      </c>
      <c r="G52" s="16" t="inlineStr">
        <is>
          <t>Electronics Engineers (한국 표준 직종)</t>
        </is>
      </c>
      <c r="H52" s="15" t="inlineStr">
        <is>
          <t>17-2141.00</t>
        </is>
      </c>
      <c r="I52" s="16" t="inlineStr">
        <is>
          <t>Electronics Engineers</t>
        </is>
      </c>
      <c r="J52" s="15" t="inlineStr">
        <is>
          <t>21520</t>
        </is>
      </c>
      <c r="K52" s="16" t="inlineStr">
        <is>
          <t>Electronics Engineers (CZ-ISCO)</t>
        </is>
      </c>
      <c r="L52" s="16" t="inlineStr">
        <is>
          <t>Electronics engineers conduct research on, design and direct the construction functioning, maintenance and repair of electronic systems, and study and advise on technological aspects of electronic engineering materials, products or processes.</t>
        </is>
      </c>
    </row>
    <row r="53">
      <c r="A53" s="17" t="inlineStr">
        <is>
          <t>2153</t>
        </is>
      </c>
      <c r="B53" s="18" t="inlineStr">
        <is>
          <t>Telecommunications Engineers</t>
        </is>
      </c>
      <c r="C53" s="18" t="inlineStr">
        <is>
          <t>반도체 / 전자회로 / 하드웨어</t>
        </is>
      </c>
      <c r="D53" s="17" t="inlineStr">
        <is>
          <t>19020201</t>
        </is>
      </c>
      <c r="E53" s="18" t="inlineStr">
        <is>
          <t>Telecommunications Engineers 관련 국가직무</t>
        </is>
      </c>
      <c r="F53" s="17" t="inlineStr">
        <is>
          <t>21530</t>
        </is>
      </c>
      <c r="G53" s="18" t="inlineStr">
        <is>
          <t>Telecommunications Engineers (한국 표준 직종)</t>
        </is>
      </c>
      <c r="H53" s="17" t="inlineStr">
        <is>
          <t>17-2141.00</t>
        </is>
      </c>
      <c r="I53" s="18" t="inlineStr">
        <is>
          <t>Telecommunications Engineers</t>
        </is>
      </c>
      <c r="J53" s="17" t="inlineStr">
        <is>
          <t>21530</t>
        </is>
      </c>
      <c r="K53" s="18" t="inlineStr">
        <is>
          <t>Telecommunications Engineers (CZ-ISCO)</t>
        </is>
      </c>
      <c r="L53" s="18"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c>
    </row>
    <row r="54">
      <c r="A54" s="15" t="inlineStr">
        <is>
          <t>2161</t>
        </is>
      </c>
      <c r="B54" s="16" t="inlineStr">
        <is>
          <t>Building Architects</t>
        </is>
      </c>
      <c r="C54" s="16" t="inlineStr">
        <is>
          <t>반도체 / 전자회로 / 하드웨어</t>
        </is>
      </c>
      <c r="D54" s="15" t="inlineStr">
        <is>
          <t>14010101</t>
        </is>
      </c>
      <c r="E54" s="16" t="inlineStr">
        <is>
          <t>Building Architects 관련 국가직무</t>
        </is>
      </c>
      <c r="F54" s="15" t="inlineStr">
        <is>
          <t>21610</t>
        </is>
      </c>
      <c r="G54" s="16" t="inlineStr">
        <is>
          <t>Building Architects (한국 표준 직종)</t>
        </is>
      </c>
      <c r="H54" s="15" t="inlineStr">
        <is>
          <t>17-2141.00</t>
        </is>
      </c>
      <c r="I54" s="16" t="inlineStr">
        <is>
          <t>Building Architects</t>
        </is>
      </c>
      <c r="J54" s="15" t="inlineStr">
        <is>
          <t>21610</t>
        </is>
      </c>
      <c r="K54" s="16" t="inlineStr">
        <is>
          <t>Building Architects (CZ-ISCO)</t>
        </is>
      </c>
      <c r="L54" s="16" t="inlineStr">
        <is>
          <t>Building architects design commercial, industrial, institutional, residential and recreational buildings and plan and monitor their construction, maintenance and rehabilitation.</t>
        </is>
      </c>
    </row>
    <row r="55">
      <c r="A55" s="17" t="inlineStr">
        <is>
          <t>2162</t>
        </is>
      </c>
      <c r="B55" s="18" t="inlineStr">
        <is>
          <t>Landscape Architects</t>
        </is>
      </c>
      <c r="C55" s="18" t="inlineStr">
        <is>
          <t>반도체 / 전자회로 / 하드웨어</t>
        </is>
      </c>
      <c r="D55" s="17" t="inlineStr">
        <is>
          <t>19020101</t>
        </is>
      </c>
      <c r="E55" s="18" t="inlineStr">
        <is>
          <t>Landscape Architects 관련 국가직무</t>
        </is>
      </c>
      <c r="F55" s="17" t="inlineStr">
        <is>
          <t>21620</t>
        </is>
      </c>
      <c r="G55" s="18" t="inlineStr">
        <is>
          <t>Landscape Architects (한국 표준 직종)</t>
        </is>
      </c>
      <c r="H55" s="17" t="inlineStr">
        <is>
          <t>17-2141.00</t>
        </is>
      </c>
      <c r="I55" s="18" t="inlineStr">
        <is>
          <t>Landscape Architects</t>
        </is>
      </c>
      <c r="J55" s="17" t="inlineStr">
        <is>
          <t>21620</t>
        </is>
      </c>
      <c r="K55" s="18" t="inlineStr">
        <is>
          <t>Landscape Architects (CZ-ISCO)</t>
        </is>
      </c>
      <c r="L55" s="18" t="inlineStr">
        <is>
          <t>Landscape architects plan and design landscapes and open spaces for projects such as, parks, schools, institutions, roads, external areas for commercial, industrial and residential sites, and plan and monitor their construction, maintenance and rehabilitation.</t>
        </is>
      </c>
    </row>
    <row r="56">
      <c r="A56" s="15" t="inlineStr">
        <is>
          <t>2163</t>
        </is>
      </c>
      <c r="B56" s="16" t="inlineStr">
        <is>
          <t>Product and Garment Designers</t>
        </is>
      </c>
      <c r="C56" s="16" t="inlineStr">
        <is>
          <t>반도체 / 전자회로 / 하드웨어</t>
        </is>
      </c>
      <c r="D56" s="15" t="inlineStr">
        <is>
          <t>08010201</t>
        </is>
      </c>
      <c r="E56" s="16" t="inlineStr">
        <is>
          <t>Product and Garment Designers 관련 국가직무</t>
        </is>
      </c>
      <c r="F56" s="15" t="inlineStr">
        <is>
          <t>21630</t>
        </is>
      </c>
      <c r="G56" s="16" t="inlineStr">
        <is>
          <t>Product and Garment Designers (한국 표준 직종)</t>
        </is>
      </c>
      <c r="H56" s="15" t="inlineStr">
        <is>
          <t>17-2141.00</t>
        </is>
      </c>
      <c r="I56" s="16" t="inlineStr">
        <is>
          <t>Product and Garment Designers</t>
        </is>
      </c>
      <c r="J56" s="15" t="inlineStr">
        <is>
          <t>21630</t>
        </is>
      </c>
      <c r="K56" s="16" t="inlineStr">
        <is>
          <t>Product and Garment Designers (CZ-ISCO)</t>
        </is>
      </c>
      <c r="L56" s="16" t="inlineStr">
        <is>
          <t>Product and garment designers design and develop products for manufacture and prepare designs and specifications of products for mass, batch and one-off production.</t>
        </is>
      </c>
    </row>
    <row r="57">
      <c r="A57" s="17" t="inlineStr">
        <is>
          <t>2164</t>
        </is>
      </c>
      <c r="B57" s="18" t="inlineStr">
        <is>
          <t>Town and Traffic Planners</t>
        </is>
      </c>
      <c r="C57" s="18" t="inlineStr">
        <is>
          <t>반도체 / 전자회로 / 하드웨어</t>
        </is>
      </c>
      <c r="D57" s="17" t="inlineStr">
        <is>
          <t>19020101</t>
        </is>
      </c>
      <c r="E57" s="18" t="inlineStr">
        <is>
          <t>Town and Traffic Planners 관련 국가직무</t>
        </is>
      </c>
      <c r="F57" s="17" t="inlineStr">
        <is>
          <t>21640</t>
        </is>
      </c>
      <c r="G57" s="18" t="inlineStr">
        <is>
          <t>Town and Traffic Planners (한국 표준 직종)</t>
        </is>
      </c>
      <c r="H57" s="17" t="inlineStr">
        <is>
          <t>17-2141.00</t>
        </is>
      </c>
      <c r="I57" s="18" t="inlineStr">
        <is>
          <t>Town and Traffic Planners</t>
        </is>
      </c>
      <c r="J57" s="17" t="inlineStr">
        <is>
          <t>21640</t>
        </is>
      </c>
      <c r="K57" s="18" t="inlineStr">
        <is>
          <t>Town and Traffic Planners (CZ-ISCO)</t>
        </is>
      </c>
      <c r="L57" s="18"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c>
    </row>
    <row r="58">
      <c r="A58" s="15" t="inlineStr">
        <is>
          <t>2165</t>
        </is>
      </c>
      <c r="B58" s="16" t="inlineStr">
        <is>
          <t>Cartographers and Surveyors</t>
        </is>
      </c>
      <c r="C58" s="16" t="inlineStr">
        <is>
          <t>반도체 / 전자회로 / 하드웨어</t>
        </is>
      </c>
      <c r="D58" s="15" t="inlineStr">
        <is>
          <t>19020101</t>
        </is>
      </c>
      <c r="E58" s="16" t="inlineStr">
        <is>
          <t>Cartographers and Surveyors 관련 국가직무</t>
        </is>
      </c>
      <c r="F58" s="15" t="inlineStr">
        <is>
          <t>21650</t>
        </is>
      </c>
      <c r="G58" s="16" t="inlineStr">
        <is>
          <t>Cartographers and Surveyors (한국 표준 직종)</t>
        </is>
      </c>
      <c r="H58" s="15" t="inlineStr">
        <is>
          <t>17-2141.00</t>
        </is>
      </c>
      <c r="I58" s="16" t="inlineStr">
        <is>
          <t>Cartographers and Surveyors</t>
        </is>
      </c>
      <c r="J58" s="15" t="inlineStr">
        <is>
          <t>21650</t>
        </is>
      </c>
      <c r="K58" s="16" t="inlineStr">
        <is>
          <t>Cartographers and Surveyors (CZ-ISCO)</t>
        </is>
      </c>
      <c r="L58" s="16"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t>
        </is>
      </c>
    </row>
    <row r="59">
      <c r="A59" s="17" t="inlineStr">
        <is>
          <t>2166</t>
        </is>
      </c>
      <c r="B59" s="18" t="inlineStr">
        <is>
          <t>Graphic and Multimedia Designers</t>
        </is>
      </c>
      <c r="C59" s="18" t="inlineStr">
        <is>
          <t>반도체 / 전자회로 / 하드웨어</t>
        </is>
      </c>
      <c r="D59" s="17" t="inlineStr">
        <is>
          <t>08010101</t>
        </is>
      </c>
      <c r="E59" s="18" t="inlineStr">
        <is>
          <t>Graphic and Multimedia Designers 관련 국가직무</t>
        </is>
      </c>
      <c r="F59" s="17" t="inlineStr">
        <is>
          <t>21660</t>
        </is>
      </c>
      <c r="G59" s="18" t="inlineStr">
        <is>
          <t>Graphic and Multimedia Designers (한국 표준 직종)</t>
        </is>
      </c>
      <c r="H59" s="17" t="inlineStr">
        <is>
          <t>17-2141.00</t>
        </is>
      </c>
      <c r="I59" s="18" t="inlineStr">
        <is>
          <t>Graphic and Multimedia Designers</t>
        </is>
      </c>
      <c r="J59" s="17" t="inlineStr">
        <is>
          <t>21660</t>
        </is>
      </c>
      <c r="K59" s="18" t="inlineStr">
        <is>
          <t>Graphic and Multimedia Designers (CZ-ISCO)</t>
        </is>
      </c>
      <c r="L59" s="18"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t>
        </is>
      </c>
    </row>
    <row r="60">
      <c r="A60" s="15" t="inlineStr">
        <is>
          <t>2211</t>
        </is>
      </c>
      <c r="B60" s="16" t="inlineStr">
        <is>
          <t>Generalist Medical Practitioners</t>
        </is>
      </c>
      <c r="C60" s="16" t="inlineStr">
        <is>
          <t>바이오 / 제약 / 임상헬스케어</t>
        </is>
      </c>
      <c r="D60" s="15" t="inlineStr">
        <is>
          <t>06010101</t>
        </is>
      </c>
      <c r="E60" s="16" t="inlineStr">
        <is>
          <t>Generalist Medical Practitioners 관련 국가직무</t>
        </is>
      </c>
      <c r="F60" s="15" t="inlineStr">
        <is>
          <t>22110</t>
        </is>
      </c>
      <c r="G60" s="16" t="inlineStr">
        <is>
          <t>Generalist Medical Practitioners (한국 표준 직종)</t>
        </is>
      </c>
      <c r="H60" s="15" t="inlineStr">
        <is>
          <t>29-1215.00</t>
        </is>
      </c>
      <c r="I60" s="16" t="inlineStr">
        <is>
          <t>Generalist Medical Practitioners</t>
        </is>
      </c>
      <c r="J60" s="15" t="inlineStr">
        <is>
          <t>22110</t>
        </is>
      </c>
      <c r="K60" s="16" t="inlineStr">
        <is>
          <t>Generalist Medical Practitioners (CZ-ISCO)</t>
        </is>
      </c>
      <c r="L60" s="16"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t>
        </is>
      </c>
    </row>
    <row r="61">
      <c r="A61" s="17" t="inlineStr">
        <is>
          <t>2212</t>
        </is>
      </c>
      <c r="B61" s="18" t="inlineStr">
        <is>
          <t>Specialist Medical Practitioners</t>
        </is>
      </c>
      <c r="C61" s="18" t="inlineStr">
        <is>
          <t>바이오 / 제약 / 임상헬스케어</t>
        </is>
      </c>
      <c r="D61" s="17" t="inlineStr">
        <is>
          <t>06010201</t>
        </is>
      </c>
      <c r="E61" s="18" t="inlineStr">
        <is>
          <t>Specialist Medical Practitioners 관련 국가직무</t>
        </is>
      </c>
      <c r="F61" s="17" t="inlineStr">
        <is>
          <t>22120</t>
        </is>
      </c>
      <c r="G61" s="18" t="inlineStr">
        <is>
          <t>Specialist Medical Practitioners (한국 표준 직종)</t>
        </is>
      </c>
      <c r="H61" s="17" t="inlineStr">
        <is>
          <t>29-1215.00</t>
        </is>
      </c>
      <c r="I61" s="18" t="inlineStr">
        <is>
          <t>Specialist Medical Practitioners</t>
        </is>
      </c>
      <c r="J61" s="17" t="inlineStr">
        <is>
          <t>22120</t>
        </is>
      </c>
      <c r="K61" s="18" t="inlineStr">
        <is>
          <t>Specialist Medical Practitioners (CZ-ISCO)</t>
        </is>
      </c>
      <c r="L61" s="18"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t>
        </is>
      </c>
    </row>
    <row r="62">
      <c r="A62" s="15" t="inlineStr">
        <is>
          <t>2221</t>
        </is>
      </c>
      <c r="B62" s="16" t="inlineStr">
        <is>
          <t>Nursing Professionals</t>
        </is>
      </c>
      <c r="C62" s="16" t="inlineStr">
        <is>
          <t>바이오 / 제약 / 임상헬스케어</t>
        </is>
      </c>
      <c r="D62" s="15" t="inlineStr">
        <is>
          <t>06020101</t>
        </is>
      </c>
      <c r="E62" s="16" t="inlineStr">
        <is>
          <t>Nursing Professionals 관련 국가직무</t>
        </is>
      </c>
      <c r="F62" s="15" t="inlineStr">
        <is>
          <t>22210</t>
        </is>
      </c>
      <c r="G62" s="16" t="inlineStr">
        <is>
          <t>Nursing Professionals (한국 표준 직종)</t>
        </is>
      </c>
      <c r="H62" s="15" t="inlineStr">
        <is>
          <t>29-1215.00</t>
        </is>
      </c>
      <c r="I62" s="16" t="inlineStr">
        <is>
          <t>Nursing Professionals</t>
        </is>
      </c>
      <c r="J62" s="15" t="inlineStr">
        <is>
          <t>22210</t>
        </is>
      </c>
      <c r="K62" s="16" t="inlineStr">
        <is>
          <t>Nursing Professionals (CZ-ISCO)</t>
        </is>
      </c>
      <c r="L62" s="16" t="inlineStr">
        <is>
          <t xml:space="preserve">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t>
        </is>
      </c>
    </row>
    <row r="63">
      <c r="A63" s="17" t="inlineStr">
        <is>
          <t>2222</t>
        </is>
      </c>
      <c r="B63" s="18" t="inlineStr">
        <is>
          <t>Midwifery Professionals</t>
        </is>
      </c>
      <c r="C63" s="18" t="inlineStr">
        <is>
          <t>바이오 / 제약 / 임상헬스케어</t>
        </is>
      </c>
      <c r="D63" s="17" t="inlineStr">
        <is>
          <t>06010101</t>
        </is>
      </c>
      <c r="E63" s="18" t="inlineStr">
        <is>
          <t>Midwifery Professionals 관련 국가직무</t>
        </is>
      </c>
      <c r="F63" s="17" t="inlineStr">
        <is>
          <t>22220</t>
        </is>
      </c>
      <c r="G63" s="18" t="inlineStr">
        <is>
          <t>Midwifery Professionals (한국 표준 직종)</t>
        </is>
      </c>
      <c r="H63" s="17" t="inlineStr">
        <is>
          <t>29-1215.00</t>
        </is>
      </c>
      <c r="I63" s="18" t="inlineStr">
        <is>
          <t>Midwifery Professionals</t>
        </is>
      </c>
      <c r="J63" s="17" t="inlineStr">
        <is>
          <t>22220</t>
        </is>
      </c>
      <c r="K63" s="18" t="inlineStr">
        <is>
          <t>Midwifery Professionals (CZ-ISCO)</t>
        </is>
      </c>
      <c r="L63" s="18"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c>
    </row>
    <row r="64">
      <c r="A64" s="15" t="inlineStr">
        <is>
          <t>2230</t>
        </is>
      </c>
      <c r="B64" s="16" t="inlineStr">
        <is>
          <t>Traditional and Complementary Medicine Professionals</t>
        </is>
      </c>
      <c r="C64" s="16" t="inlineStr">
        <is>
          <t>바이오 / 제약 / 임상헬스케어</t>
        </is>
      </c>
      <c r="D64" s="15" t="inlineStr">
        <is>
          <t>06010101</t>
        </is>
      </c>
      <c r="E64" s="16" t="inlineStr">
        <is>
          <t>Traditional and Complementary Medicine Professionals 관련 국가직무</t>
        </is>
      </c>
      <c r="F64" s="15" t="inlineStr">
        <is>
          <t>22300</t>
        </is>
      </c>
      <c r="G64" s="16" t="inlineStr">
        <is>
          <t>Traditional and Complementary Medicine Professionals (한국 표준 직종)</t>
        </is>
      </c>
      <c r="H64" s="15" t="inlineStr">
        <is>
          <t>29-1215.00</t>
        </is>
      </c>
      <c r="I64" s="16" t="inlineStr">
        <is>
          <t>Traditional and Complementary Medicine Professionals</t>
        </is>
      </c>
      <c r="J64" s="15" t="inlineStr">
        <is>
          <t>22300</t>
        </is>
      </c>
      <c r="K64" s="16" t="inlineStr">
        <is>
          <t>Traditional and Complementary Medicine Professionals (CZ-ISCO)</t>
        </is>
      </c>
      <c r="L64" s="16"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t>
        </is>
      </c>
    </row>
    <row r="65">
      <c r="A65" s="17" t="inlineStr">
        <is>
          <t>2240</t>
        </is>
      </c>
      <c r="B65" s="18" t="inlineStr">
        <is>
          <t>Paramedical Practitioners</t>
        </is>
      </c>
      <c r="C65" s="18" t="inlineStr">
        <is>
          <t>바이오 / 제약 / 임상헬스케어</t>
        </is>
      </c>
      <c r="D65" s="17" t="inlineStr">
        <is>
          <t>06010101</t>
        </is>
      </c>
      <c r="E65" s="18" t="inlineStr">
        <is>
          <t>Paramedical Practitioners 관련 국가직무</t>
        </is>
      </c>
      <c r="F65" s="17" t="inlineStr">
        <is>
          <t>22400</t>
        </is>
      </c>
      <c r="G65" s="18" t="inlineStr">
        <is>
          <t>Paramedical Practitioners (한국 표준 직종)</t>
        </is>
      </c>
      <c r="H65" s="17" t="inlineStr">
        <is>
          <t>29-1215.00</t>
        </is>
      </c>
      <c r="I65" s="18" t="inlineStr">
        <is>
          <t>Paramedical Practitioners</t>
        </is>
      </c>
      <c r="J65" s="17" t="inlineStr">
        <is>
          <t>22400</t>
        </is>
      </c>
      <c r="K65" s="18" t="inlineStr">
        <is>
          <t>Paramedical Practitioners (CZ-ISCO)</t>
        </is>
      </c>
      <c r="L65" s="18"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t>
        </is>
      </c>
    </row>
    <row r="66">
      <c r="A66" s="15" t="inlineStr">
        <is>
          <t>2250</t>
        </is>
      </c>
      <c r="B66" s="16" t="inlineStr">
        <is>
          <t>Veterinarians</t>
        </is>
      </c>
      <c r="C66" s="16" t="inlineStr">
        <is>
          <t>바이오 / 제약 / 임상헬스케어</t>
        </is>
      </c>
      <c r="D66" s="15" t="inlineStr">
        <is>
          <t>06010101</t>
        </is>
      </c>
      <c r="E66" s="16" t="inlineStr">
        <is>
          <t>Veterinarians 관련 국가직무</t>
        </is>
      </c>
      <c r="F66" s="15" t="inlineStr">
        <is>
          <t>22500</t>
        </is>
      </c>
      <c r="G66" s="16" t="inlineStr">
        <is>
          <t>Veterinarians (한국 표준 직종)</t>
        </is>
      </c>
      <c r="H66" s="15" t="inlineStr">
        <is>
          <t>29-1215.00</t>
        </is>
      </c>
      <c r="I66" s="16" t="inlineStr">
        <is>
          <t>Veterinarians</t>
        </is>
      </c>
      <c r="J66" s="15" t="inlineStr">
        <is>
          <t>22500</t>
        </is>
      </c>
      <c r="K66" s="16" t="inlineStr">
        <is>
          <t>Veterinarians (CZ-ISCO)</t>
        </is>
      </c>
      <c r="L66" s="16"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t>
        </is>
      </c>
    </row>
    <row r="67">
      <c r="A67" s="17" t="inlineStr">
        <is>
          <t>2261</t>
        </is>
      </c>
      <c r="B67" s="18" t="inlineStr">
        <is>
          <t>Dentists</t>
        </is>
      </c>
      <c r="C67" s="18" t="inlineStr">
        <is>
          <t>바이오 / 제약 / 임상헬스케어</t>
        </is>
      </c>
      <c r="D67" s="17" t="inlineStr">
        <is>
          <t>06010101</t>
        </is>
      </c>
      <c r="E67" s="18" t="inlineStr">
        <is>
          <t>Dentists 관련 국가직무</t>
        </is>
      </c>
      <c r="F67" s="17" t="inlineStr">
        <is>
          <t>22610</t>
        </is>
      </c>
      <c r="G67" s="18" t="inlineStr">
        <is>
          <t>Dentists (한국 표준 직종)</t>
        </is>
      </c>
      <c r="H67" s="17" t="inlineStr">
        <is>
          <t>29-1215.00</t>
        </is>
      </c>
      <c r="I67" s="18" t="inlineStr">
        <is>
          <t>Dentists</t>
        </is>
      </c>
      <c r="J67" s="17" t="inlineStr">
        <is>
          <t>22610</t>
        </is>
      </c>
      <c r="K67" s="18" t="inlineStr">
        <is>
          <t>Dentists (CZ-ISCO)</t>
        </is>
      </c>
      <c r="L67" s="18"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c>
    </row>
    <row r="68">
      <c r="A68" s="15" t="inlineStr">
        <is>
          <t>2262</t>
        </is>
      </c>
      <c r="B68" s="16" t="inlineStr">
        <is>
          <t>Pharmacists</t>
        </is>
      </c>
      <c r="C68" s="16" t="inlineStr">
        <is>
          <t>바이오 / 제약 / 임상헬스케어</t>
        </is>
      </c>
      <c r="D68" s="15" t="inlineStr">
        <is>
          <t>06030101</t>
        </is>
      </c>
      <c r="E68" s="16" t="inlineStr">
        <is>
          <t>Pharmacists 관련 국가직무</t>
        </is>
      </c>
      <c r="F68" s="15" t="inlineStr">
        <is>
          <t>22620</t>
        </is>
      </c>
      <c r="G68" s="16" t="inlineStr">
        <is>
          <t>Pharmacists (한국 표준 직종)</t>
        </is>
      </c>
      <c r="H68" s="15" t="inlineStr">
        <is>
          <t>29-1215.00</t>
        </is>
      </c>
      <c r="I68" s="16" t="inlineStr">
        <is>
          <t>Pharmacists</t>
        </is>
      </c>
      <c r="J68" s="15" t="inlineStr">
        <is>
          <t>22620</t>
        </is>
      </c>
      <c r="K68" s="16" t="inlineStr">
        <is>
          <t>Pharmacists (CZ-ISCO)</t>
        </is>
      </c>
      <c r="L68" s="16"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t>
        </is>
      </c>
    </row>
    <row r="69">
      <c r="A69" s="17" t="inlineStr">
        <is>
          <t>2263</t>
        </is>
      </c>
      <c r="B69" s="18" t="inlineStr">
        <is>
          <t>Environmental and Occupational Health and Hygiene Professionals</t>
        </is>
      </c>
      <c r="C69" s="18" t="inlineStr">
        <is>
          <t>바이오 / 제약 / 임상헬스케어</t>
        </is>
      </c>
      <c r="D69" s="17" t="inlineStr">
        <is>
          <t>23020101</t>
        </is>
      </c>
      <c r="E69" s="18" t="inlineStr">
        <is>
          <t>Environmental and Occupational Health and Hygiene Professionals 관련 국가직무</t>
        </is>
      </c>
      <c r="F69" s="17" t="inlineStr">
        <is>
          <t>22630</t>
        </is>
      </c>
      <c r="G69" s="18" t="inlineStr">
        <is>
          <t>Environmental and Occupational Health and Hygiene Professionals (한국 표준 직종)</t>
        </is>
      </c>
      <c r="H69" s="17" t="inlineStr">
        <is>
          <t>29-1215.00</t>
        </is>
      </c>
      <c r="I69" s="18" t="inlineStr">
        <is>
          <t>Environmental and Occupational Health and Hygiene Professionals</t>
        </is>
      </c>
      <c r="J69" s="17" t="inlineStr">
        <is>
          <t>22630</t>
        </is>
      </c>
      <c r="K69" s="18" t="inlineStr">
        <is>
          <t>Environmental and Occupational Health and Hygiene Professionals (CZ-ISCO)</t>
        </is>
      </c>
      <c r="L69" s="18"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t>
        </is>
      </c>
    </row>
    <row r="70">
      <c r="A70" s="15" t="inlineStr">
        <is>
          <t>2264</t>
        </is>
      </c>
      <c r="B70" s="16" t="inlineStr">
        <is>
          <t>Physiotherapists</t>
        </is>
      </c>
      <c r="C70" s="16" t="inlineStr">
        <is>
          <t>바이오 / 제약 / 임상헬스케어</t>
        </is>
      </c>
      <c r="D70" s="15" t="inlineStr">
        <is>
          <t>06010101</t>
        </is>
      </c>
      <c r="E70" s="16" t="inlineStr">
        <is>
          <t>Physiotherapists 관련 국가직무</t>
        </is>
      </c>
      <c r="F70" s="15" t="inlineStr">
        <is>
          <t>22640</t>
        </is>
      </c>
      <c r="G70" s="16" t="inlineStr">
        <is>
          <t>Physiotherapists (한국 표준 직종)</t>
        </is>
      </c>
      <c r="H70" s="15" t="inlineStr">
        <is>
          <t>29-1215.00</t>
        </is>
      </c>
      <c r="I70" s="16" t="inlineStr">
        <is>
          <t>Physiotherapists</t>
        </is>
      </c>
      <c r="J70" s="15" t="inlineStr">
        <is>
          <t>22640</t>
        </is>
      </c>
      <c r="K70" s="16" t="inlineStr">
        <is>
          <t>Physiotherapists (CZ-ISCO)</t>
        </is>
      </c>
      <c r="L70" s="16"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t>
        </is>
      </c>
    </row>
    <row r="71">
      <c r="A71" s="17" t="inlineStr">
        <is>
          <t>2265</t>
        </is>
      </c>
      <c r="B71" s="18" t="inlineStr">
        <is>
          <t>Dieticians and Nutritionists</t>
        </is>
      </c>
      <c r="C71" s="18" t="inlineStr">
        <is>
          <t>바이오 / 제약 / 임상헬스케어</t>
        </is>
      </c>
      <c r="D71" s="17" t="inlineStr">
        <is>
          <t>06010101</t>
        </is>
      </c>
      <c r="E71" s="18" t="inlineStr">
        <is>
          <t>Dieticians and Nutritionists 관련 국가직무</t>
        </is>
      </c>
      <c r="F71" s="17" t="inlineStr">
        <is>
          <t>22650</t>
        </is>
      </c>
      <c r="G71" s="18" t="inlineStr">
        <is>
          <t>Dieticians and Nutritionists (한국 표준 직종)</t>
        </is>
      </c>
      <c r="H71" s="17" t="inlineStr">
        <is>
          <t>29-1215.00</t>
        </is>
      </c>
      <c r="I71" s="18" t="inlineStr">
        <is>
          <t>Dieticians and Nutritionists</t>
        </is>
      </c>
      <c r="J71" s="17" t="inlineStr">
        <is>
          <t>22650</t>
        </is>
      </c>
      <c r="K71" s="18" t="inlineStr">
        <is>
          <t>Dieticians and Nutritionists (CZ-ISCO)</t>
        </is>
      </c>
      <c r="L71" s="18" t="inlineStr">
        <is>
          <t>Dieticians and nutritionists assess, plan and implement programmes to enhance the impact of food and nutrition on human health.</t>
        </is>
      </c>
    </row>
    <row r="72">
      <c r="A72" s="15" t="inlineStr">
        <is>
          <t>2266</t>
        </is>
      </c>
      <c r="B72" s="16" t="inlineStr">
        <is>
          <t>Audiologists and Speech Therapists</t>
        </is>
      </c>
      <c r="C72" s="16" t="inlineStr">
        <is>
          <t>바이오 / 제약 / 임상헬스케어</t>
        </is>
      </c>
      <c r="D72" s="15" t="inlineStr">
        <is>
          <t>06010101</t>
        </is>
      </c>
      <c r="E72" s="16" t="inlineStr">
        <is>
          <t>Audiologists and Speech Therapists 관련 국가직무</t>
        </is>
      </c>
      <c r="F72" s="15" t="inlineStr">
        <is>
          <t>22660</t>
        </is>
      </c>
      <c r="G72" s="16" t="inlineStr">
        <is>
          <t>Audiologists and Speech Therapists (한국 표준 직종)</t>
        </is>
      </c>
      <c r="H72" s="15" t="inlineStr">
        <is>
          <t>29-1215.00</t>
        </is>
      </c>
      <c r="I72" s="16" t="inlineStr">
        <is>
          <t>Audiologists and Speech Therapists</t>
        </is>
      </c>
      <c r="J72" s="15" t="inlineStr">
        <is>
          <t>22660</t>
        </is>
      </c>
      <c r="K72" s="16" t="inlineStr">
        <is>
          <t>Audiologists and Speech Therapists (CZ-ISCO)</t>
        </is>
      </c>
      <c r="L72" s="16"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t>
        </is>
      </c>
    </row>
    <row r="73">
      <c r="A73" s="17" t="inlineStr">
        <is>
          <t>2267</t>
        </is>
      </c>
      <c r="B73" s="18" t="inlineStr">
        <is>
          <t>Optometrists and Ophthalmic Opticians</t>
        </is>
      </c>
      <c r="C73" s="18" t="inlineStr">
        <is>
          <t>바이오 / 제약 / 임상헬스케어</t>
        </is>
      </c>
      <c r="D73" s="17" t="inlineStr">
        <is>
          <t>06010101</t>
        </is>
      </c>
      <c r="E73" s="18" t="inlineStr">
        <is>
          <t>Optometrists and Ophthalmic Opticians 관련 국가직무</t>
        </is>
      </c>
      <c r="F73" s="17" t="inlineStr">
        <is>
          <t>22670</t>
        </is>
      </c>
      <c r="G73" s="18" t="inlineStr">
        <is>
          <t>Optometrists and Ophthalmic Opticians (한국 표준 직종)</t>
        </is>
      </c>
      <c r="H73" s="17" t="inlineStr">
        <is>
          <t>29-1215.00</t>
        </is>
      </c>
      <c r="I73" s="18" t="inlineStr">
        <is>
          <t>Optometrists and Ophthalmic Opticians</t>
        </is>
      </c>
      <c r="J73" s="17" t="inlineStr">
        <is>
          <t>22670</t>
        </is>
      </c>
      <c r="K73" s="18" t="inlineStr">
        <is>
          <t>Optometrists and Ophthalmic Opticians (CZ-ISCO)</t>
        </is>
      </c>
      <c r="L73" s="18" t="inlineStr">
        <is>
          <t>Optometrists and ophthalmic opticians provide diagnosis,  management and treatment services for disorders of the eyes and visual system. They counsel on eye care and prescribe optical aids or other therapies for visual disturbance.</t>
        </is>
      </c>
    </row>
    <row r="74">
      <c r="A74" s="15" t="inlineStr">
        <is>
          <t>2269</t>
        </is>
      </c>
      <c r="B74" s="16" t="inlineStr">
        <is>
          <t>Health Professionals Not Elsewhere Classified</t>
        </is>
      </c>
      <c r="C74" s="16" t="inlineStr">
        <is>
          <t>바이오 / 제약 / 임상헬스케어</t>
        </is>
      </c>
      <c r="D74" s="15" t="inlineStr">
        <is>
          <t>06010101</t>
        </is>
      </c>
      <c r="E74" s="16" t="inlineStr">
        <is>
          <t>Health Professionals Not Elsewhere Classified 관련 국가직무</t>
        </is>
      </c>
      <c r="F74" s="15" t="inlineStr">
        <is>
          <t>22690</t>
        </is>
      </c>
      <c r="G74" s="16" t="inlineStr">
        <is>
          <t>Health Professionals Not Elsewhere Classified (한국 표준 직종)</t>
        </is>
      </c>
      <c r="H74" s="15" t="inlineStr">
        <is>
          <t>29-1215.00</t>
        </is>
      </c>
      <c r="I74" s="16" t="inlineStr">
        <is>
          <t>Health Professionals Not Elsewhere Classified</t>
        </is>
      </c>
      <c r="J74" s="15" t="inlineStr">
        <is>
          <t>22690</t>
        </is>
      </c>
      <c r="K74" s="16" t="inlineStr">
        <is>
          <t>Health Professionals Not Elsewhere Classified (CZ-ISCO)</t>
        </is>
      </c>
      <c r="L74" s="16"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t>
        </is>
      </c>
    </row>
    <row r="75">
      <c r="A75" s="17" t="inlineStr">
        <is>
          <t>2310</t>
        </is>
      </c>
      <c r="B75" s="18" t="inlineStr">
        <is>
          <t>University and Higher Education Teachers</t>
        </is>
      </c>
      <c r="C75" s="18" t="inlineStr">
        <is>
          <t>경영전략 / 인사 / 사업개발</t>
        </is>
      </c>
      <c r="D75" s="17" t="inlineStr">
        <is>
          <t>04020101</t>
        </is>
      </c>
      <c r="E75" s="18" t="inlineStr">
        <is>
          <t>University and Higher Education Teachers 관련 국가직무</t>
        </is>
      </c>
      <c r="F75" s="17" t="inlineStr">
        <is>
          <t>23100</t>
        </is>
      </c>
      <c r="G75" s="18" t="inlineStr">
        <is>
          <t>University and Higher Education Teachers (한국 표준 직종)</t>
        </is>
      </c>
      <c r="H75" s="17" t="inlineStr">
        <is>
          <t>25-1099.00</t>
        </is>
      </c>
      <c r="I75" s="18" t="inlineStr">
        <is>
          <t>University and Higher Education Teachers</t>
        </is>
      </c>
      <c r="J75" s="17" t="inlineStr">
        <is>
          <t>23100</t>
        </is>
      </c>
      <c r="K75" s="18" t="inlineStr">
        <is>
          <t>University and Higher Education Teachers (CZ-ISCO)</t>
        </is>
      </c>
      <c r="L75" s="18"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c>
    </row>
    <row r="76">
      <c r="A76" s="15" t="inlineStr">
        <is>
          <t>2320</t>
        </is>
      </c>
      <c r="B76" s="16" t="inlineStr">
        <is>
          <t>Vocational Education Teachers</t>
        </is>
      </c>
      <c r="C76" s="16" t="inlineStr">
        <is>
          <t>경영전략 / 인사 / 사업개발</t>
        </is>
      </c>
      <c r="D76" s="15" t="inlineStr">
        <is>
          <t>02230101</t>
        </is>
      </c>
      <c r="E76" s="16" t="inlineStr">
        <is>
          <t>Vocational Education Teachers 관련 국가직무</t>
        </is>
      </c>
      <c r="F76" s="15" t="inlineStr">
        <is>
          <t>23200</t>
        </is>
      </c>
      <c r="G76" s="16" t="inlineStr">
        <is>
          <t>Vocational Education Teachers (한국 표준 직종)</t>
        </is>
      </c>
      <c r="H76" s="15" t="inlineStr">
        <is>
          <t>25-1099.00</t>
        </is>
      </c>
      <c r="I76" s="16" t="inlineStr">
        <is>
          <t>Vocational Education Teachers</t>
        </is>
      </c>
      <c r="J76" s="15" t="inlineStr">
        <is>
          <t>23200</t>
        </is>
      </c>
      <c r="K76" s="16" t="inlineStr">
        <is>
          <t>Vocational Education Teachers (CZ-ISCO)</t>
        </is>
      </c>
      <c r="L76" s="16" t="inlineStr">
        <is>
          <t xml:space="preserve">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t>
        </is>
      </c>
    </row>
    <row r="77">
      <c r="A77" s="17" t="inlineStr">
        <is>
          <t>2330</t>
        </is>
      </c>
      <c r="B77" s="18" t="inlineStr">
        <is>
          <t>Secondary Education Teachers</t>
        </is>
      </c>
      <c r="C77" s="18" t="inlineStr">
        <is>
          <t>경영전략 / 인사 / 사업개발</t>
        </is>
      </c>
      <c r="D77" s="17" t="inlineStr">
        <is>
          <t>02230101</t>
        </is>
      </c>
      <c r="E77" s="18" t="inlineStr">
        <is>
          <t>Secondary Education Teachers 관련 국가직무</t>
        </is>
      </c>
      <c r="F77" s="17" t="inlineStr">
        <is>
          <t>23300</t>
        </is>
      </c>
      <c r="G77" s="18" t="inlineStr">
        <is>
          <t>Secondary Education Teachers (한국 표준 직종)</t>
        </is>
      </c>
      <c r="H77" s="17" t="inlineStr">
        <is>
          <t>25-1099.00</t>
        </is>
      </c>
      <c r="I77" s="18" t="inlineStr">
        <is>
          <t>Secondary Education Teachers</t>
        </is>
      </c>
      <c r="J77" s="17" t="inlineStr">
        <is>
          <t>23300</t>
        </is>
      </c>
      <c r="K77" s="18" t="inlineStr">
        <is>
          <t>Secondary Education Teachers (CZ-ISCO)</t>
        </is>
      </c>
      <c r="L77" s="18" t="inlineStr">
        <is>
          <t>Secondary education teachers teach one or more subjects at secondary education level, excluding subjects intended to prepare students for employment in specific occupational areas.</t>
        </is>
      </c>
    </row>
    <row r="78">
      <c r="A78" s="15" t="inlineStr">
        <is>
          <t>2341</t>
        </is>
      </c>
      <c r="B78" s="16" t="inlineStr">
        <is>
          <t>Primary School Teachers</t>
        </is>
      </c>
      <c r="C78" s="16" t="inlineStr">
        <is>
          <t>경영전략 / 인사 / 사업개발</t>
        </is>
      </c>
      <c r="D78" s="15" t="inlineStr">
        <is>
          <t>02230101</t>
        </is>
      </c>
      <c r="E78" s="16" t="inlineStr">
        <is>
          <t>Primary School Teachers 관련 국가직무</t>
        </is>
      </c>
      <c r="F78" s="15" t="inlineStr">
        <is>
          <t>23410</t>
        </is>
      </c>
      <c r="G78" s="16" t="inlineStr">
        <is>
          <t>Primary School Teachers (한국 표준 직종)</t>
        </is>
      </c>
      <c r="H78" s="15" t="inlineStr">
        <is>
          <t>25-1099.00</t>
        </is>
      </c>
      <c r="I78" s="16" t="inlineStr">
        <is>
          <t>Primary School Teachers</t>
        </is>
      </c>
      <c r="J78" s="15" t="inlineStr">
        <is>
          <t>23410</t>
        </is>
      </c>
      <c r="K78" s="16" t="inlineStr">
        <is>
          <t>Primary School Teachers (CZ-ISCO)</t>
        </is>
      </c>
      <c r="L78" s="16" t="inlineStr">
        <is>
          <t>Primary school teachers teach a range of subjects at the primary education level.</t>
        </is>
      </c>
    </row>
    <row r="79">
      <c r="A79" s="17" t="inlineStr">
        <is>
          <t>2342</t>
        </is>
      </c>
      <c r="B79" s="18" t="inlineStr">
        <is>
          <t>Early Childhood Educators</t>
        </is>
      </c>
      <c r="C79" s="18" t="inlineStr">
        <is>
          <t>경영전략 / 인사 / 사업개발</t>
        </is>
      </c>
      <c r="D79" s="17" t="inlineStr">
        <is>
          <t>02230101</t>
        </is>
      </c>
      <c r="E79" s="18" t="inlineStr">
        <is>
          <t>Early Childhood Educators 관련 국가직무</t>
        </is>
      </c>
      <c r="F79" s="17" t="inlineStr">
        <is>
          <t>23420</t>
        </is>
      </c>
      <c r="G79" s="18" t="inlineStr">
        <is>
          <t>Early Childhood Educators (한국 표준 직종)</t>
        </is>
      </c>
      <c r="H79" s="17" t="inlineStr">
        <is>
          <t>25-1099.00</t>
        </is>
      </c>
      <c r="I79" s="18" t="inlineStr">
        <is>
          <t>Early Childhood Educators</t>
        </is>
      </c>
      <c r="J79" s="17" t="inlineStr">
        <is>
          <t>23420</t>
        </is>
      </c>
      <c r="K79" s="18" t="inlineStr">
        <is>
          <t>Early Childhood Educators (CZ-ISCO)</t>
        </is>
      </c>
      <c r="L79" s="18" t="inlineStr">
        <is>
          <t>Early childhood educators promote the social, physical, and intellectual development of children below primary school age through the provision of educational and play activities</t>
        </is>
      </c>
    </row>
    <row r="80">
      <c r="A80" s="15" t="inlineStr">
        <is>
          <t>2351</t>
        </is>
      </c>
      <c r="B80" s="16" t="inlineStr">
        <is>
          <t>Education Methods Specialists</t>
        </is>
      </c>
      <c r="C80" s="16" t="inlineStr">
        <is>
          <t>경영전략 / 인사 / 사업개발</t>
        </is>
      </c>
      <c r="D80" s="15" t="inlineStr">
        <is>
          <t>02230101</t>
        </is>
      </c>
      <c r="E80" s="16" t="inlineStr">
        <is>
          <t>Education Methods Specialists 관련 국가직무</t>
        </is>
      </c>
      <c r="F80" s="15" t="inlineStr">
        <is>
          <t>23510</t>
        </is>
      </c>
      <c r="G80" s="16" t="inlineStr">
        <is>
          <t>Education Methods Specialists (한국 표준 직종)</t>
        </is>
      </c>
      <c r="H80" s="15" t="inlineStr">
        <is>
          <t>25-1099.00</t>
        </is>
      </c>
      <c r="I80" s="16" t="inlineStr">
        <is>
          <t>Education Methods Specialists</t>
        </is>
      </c>
      <c r="J80" s="15" t="inlineStr">
        <is>
          <t>23510</t>
        </is>
      </c>
      <c r="K80" s="16" t="inlineStr">
        <is>
          <t>Education Methods Specialists (CZ-ISCO)</t>
        </is>
      </c>
      <c r="L80" s="16" t="inlineStr">
        <is>
          <t>Education methods specialists conduct research and develop or advise on teaching methods, courses and aids. They review and examine teachers' work, the functioning of educational institutions and the results achieved and recommend changes and improvements.</t>
        </is>
      </c>
    </row>
    <row r="81">
      <c r="A81" s="17" t="inlineStr">
        <is>
          <t>2352</t>
        </is>
      </c>
      <c r="B81" s="18" t="inlineStr">
        <is>
          <t>Special Needs Teachers</t>
        </is>
      </c>
      <c r="C81" s="18" t="inlineStr">
        <is>
          <t>경영전략 / 인사 / 사업개발</t>
        </is>
      </c>
      <c r="D81" s="17" t="inlineStr">
        <is>
          <t>02230101</t>
        </is>
      </c>
      <c r="E81" s="18" t="inlineStr">
        <is>
          <t>Special Needs Teachers 관련 국가직무</t>
        </is>
      </c>
      <c r="F81" s="17" t="inlineStr">
        <is>
          <t>23520</t>
        </is>
      </c>
      <c r="G81" s="18" t="inlineStr">
        <is>
          <t>Special Needs Teachers (한국 표준 직종)</t>
        </is>
      </c>
      <c r="H81" s="17" t="inlineStr">
        <is>
          <t>25-1099.00</t>
        </is>
      </c>
      <c r="I81" s="18" t="inlineStr">
        <is>
          <t>Special Needs Teachers</t>
        </is>
      </c>
      <c r="J81" s="17" t="inlineStr">
        <is>
          <t>23520</t>
        </is>
      </c>
      <c r="K81" s="18" t="inlineStr">
        <is>
          <t>Special Needs Teachers (CZ-ISCO)</t>
        </is>
      </c>
      <c r="L81" s="18" t="inlineStr">
        <is>
          <t>Special needs teachers teach physically or mentally handicapped children, young persons, or adults, or those with learning difficulties or other special needs. They promote the social, emotional, intellectual and physical development of their students.</t>
        </is>
      </c>
    </row>
    <row r="82">
      <c r="A82" s="15" t="inlineStr">
        <is>
          <t>2353</t>
        </is>
      </c>
      <c r="B82" s="16" t="inlineStr">
        <is>
          <t>Other Language Teachers</t>
        </is>
      </c>
      <c r="C82" s="16" t="inlineStr">
        <is>
          <t>경영전략 / 인사 / 사업개발</t>
        </is>
      </c>
      <c r="D82" s="15" t="inlineStr">
        <is>
          <t>02230101</t>
        </is>
      </c>
      <c r="E82" s="16" t="inlineStr">
        <is>
          <t>Other Language Teachers 관련 국가직무</t>
        </is>
      </c>
      <c r="F82" s="15" t="inlineStr">
        <is>
          <t>23530</t>
        </is>
      </c>
      <c r="G82" s="16" t="inlineStr">
        <is>
          <t>Other Language Teachers (한국 표준 직종)</t>
        </is>
      </c>
      <c r="H82" s="15" t="inlineStr">
        <is>
          <t>25-1099.00</t>
        </is>
      </c>
      <c r="I82" s="16" t="inlineStr">
        <is>
          <t>Other Language Teachers</t>
        </is>
      </c>
      <c r="J82" s="15" t="inlineStr">
        <is>
          <t>23530</t>
        </is>
      </c>
      <c r="K82" s="16" t="inlineStr">
        <is>
          <t>Other Language Teachers (CZ-ISCO)</t>
        </is>
      </c>
      <c r="L82" s="16" t="inlineStr">
        <is>
          <t xml:space="preserve">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t>
        </is>
      </c>
    </row>
    <row r="83">
      <c r="A83" s="17" t="inlineStr">
        <is>
          <t>2354</t>
        </is>
      </c>
      <c r="B83" s="18" t="inlineStr">
        <is>
          <t>Other Music Teachers</t>
        </is>
      </c>
      <c r="C83" s="18" t="inlineStr">
        <is>
          <t>경영전략 / 인사 / 사업개발</t>
        </is>
      </c>
      <c r="D83" s="17" t="inlineStr">
        <is>
          <t>02230101</t>
        </is>
      </c>
      <c r="E83" s="18" t="inlineStr">
        <is>
          <t>Other Music Teachers 관련 국가직무</t>
        </is>
      </c>
      <c r="F83" s="17" t="inlineStr">
        <is>
          <t>23540</t>
        </is>
      </c>
      <c r="G83" s="18" t="inlineStr">
        <is>
          <t>Other Music Teachers (한국 표준 직종)</t>
        </is>
      </c>
      <c r="H83" s="17" t="inlineStr">
        <is>
          <t>25-1099.00</t>
        </is>
      </c>
      <c r="I83" s="18" t="inlineStr">
        <is>
          <t>Other Music Teachers</t>
        </is>
      </c>
      <c r="J83" s="17" t="inlineStr">
        <is>
          <t>23540</t>
        </is>
      </c>
      <c r="K83" s="18" t="inlineStr">
        <is>
          <t>Other Music Teachers (CZ-ISCO)</t>
        </is>
      </c>
      <c r="L83" s="18"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c>
    </row>
    <row r="84">
      <c r="A84" s="15" t="inlineStr">
        <is>
          <t>2355</t>
        </is>
      </c>
      <c r="B84" s="16" t="inlineStr">
        <is>
          <t>Other Arts Teachers</t>
        </is>
      </c>
      <c r="C84" s="16" t="inlineStr">
        <is>
          <t>경영전략 / 인사 / 사업개발</t>
        </is>
      </c>
      <c r="D84" s="15" t="inlineStr">
        <is>
          <t>02230101</t>
        </is>
      </c>
      <c r="E84" s="16" t="inlineStr">
        <is>
          <t>Other Arts Teachers 관련 국가직무</t>
        </is>
      </c>
      <c r="F84" s="15" t="inlineStr">
        <is>
          <t>23550</t>
        </is>
      </c>
      <c r="G84" s="16" t="inlineStr">
        <is>
          <t>Other Arts Teachers (한국 표준 직종)</t>
        </is>
      </c>
      <c r="H84" s="15" t="inlineStr">
        <is>
          <t>25-1099.00</t>
        </is>
      </c>
      <c r="I84" s="16" t="inlineStr">
        <is>
          <t>Other Arts Teachers</t>
        </is>
      </c>
      <c r="J84" s="15" t="inlineStr">
        <is>
          <t>23550</t>
        </is>
      </c>
      <c r="K84" s="16" t="inlineStr">
        <is>
          <t>Other Arts Teachers (CZ-ISCO)</t>
        </is>
      </c>
      <c r="L84" s="16"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t>
        </is>
      </c>
    </row>
    <row r="85">
      <c r="A85" s="17" t="inlineStr">
        <is>
          <t>2356</t>
        </is>
      </c>
      <c r="B85" s="18" t="inlineStr">
        <is>
          <t>Information Technology Trainers</t>
        </is>
      </c>
      <c r="C85" s="18" t="inlineStr">
        <is>
          <t>경영전략 / 인사 / 사업개발</t>
        </is>
      </c>
      <c r="D85" s="17" t="inlineStr">
        <is>
          <t>02230101</t>
        </is>
      </c>
      <c r="E85" s="18" t="inlineStr">
        <is>
          <t>Information Technology Trainers 관련 국가직무</t>
        </is>
      </c>
      <c r="F85" s="17" t="inlineStr">
        <is>
          <t>23560</t>
        </is>
      </c>
      <c r="G85" s="18" t="inlineStr">
        <is>
          <t>Information Technology Trainers (한국 표준 직종)</t>
        </is>
      </c>
      <c r="H85" s="17" t="inlineStr">
        <is>
          <t>25-1099.00</t>
        </is>
      </c>
      <c r="I85" s="18" t="inlineStr">
        <is>
          <t>Information Technology Trainers</t>
        </is>
      </c>
      <c r="J85" s="17" t="inlineStr">
        <is>
          <t>23560</t>
        </is>
      </c>
      <c r="K85" s="18" t="inlineStr">
        <is>
          <t>Information Technology Trainers (CZ-ISCO)</t>
        </is>
      </c>
      <c r="L85" s="18" t="inlineStr">
        <is>
          <t>Information technology trainers develop, schedule and conduct training programmes and courses for computer and other information technology users outside the mainstream primary, secondary and higher education systems.</t>
        </is>
      </c>
    </row>
    <row r="86">
      <c r="A86" s="15" t="inlineStr">
        <is>
          <t>2359</t>
        </is>
      </c>
      <c r="B86" s="16" t="inlineStr">
        <is>
          <t>Teaching Professionals Not Elsewhere Classified</t>
        </is>
      </c>
      <c r="C86" s="16" t="inlineStr">
        <is>
          <t>경영전략 / 인사 / 사업개발</t>
        </is>
      </c>
      <c r="D86" s="15" t="inlineStr">
        <is>
          <t>02230101</t>
        </is>
      </c>
      <c r="E86" s="16" t="inlineStr">
        <is>
          <t>Teaching Professionals Not Elsewhere Classified 관련 국가직무</t>
        </is>
      </c>
      <c r="F86" s="15" t="inlineStr">
        <is>
          <t>23590</t>
        </is>
      </c>
      <c r="G86" s="16" t="inlineStr">
        <is>
          <t>Teaching Professionals Not Elsewhere Classified (한국 표준 직종)</t>
        </is>
      </c>
      <c r="H86" s="15" t="inlineStr">
        <is>
          <t>25-1099.00</t>
        </is>
      </c>
      <c r="I86" s="16" t="inlineStr">
        <is>
          <t>Teaching Professionals Not Elsewhere Classified</t>
        </is>
      </c>
      <c r="J86" s="15" t="inlineStr">
        <is>
          <t>23590</t>
        </is>
      </c>
      <c r="K86" s="16" t="inlineStr">
        <is>
          <t>Teaching Professionals Not Elsewhere Classified (CZ-ISCO)</t>
        </is>
      </c>
      <c r="L86" s="16"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c>
    </row>
    <row r="87">
      <c r="A87" s="17" t="inlineStr">
        <is>
          <t>2411</t>
        </is>
      </c>
      <c r="B87" s="18" t="inlineStr">
        <is>
          <t>Accountants</t>
        </is>
      </c>
      <c r="C87" s="18" t="inlineStr">
        <is>
          <t>금융투자 / 핀테크 / 리스크</t>
        </is>
      </c>
      <c r="D87" s="17" t="inlineStr">
        <is>
          <t>02041001</t>
        </is>
      </c>
      <c r="E87" s="18" t="inlineStr">
        <is>
          <t>Accountants 관련 국가직무</t>
        </is>
      </c>
      <c r="F87" s="17" t="inlineStr">
        <is>
          <t>24110</t>
        </is>
      </c>
      <c r="G87" s="18" t="inlineStr">
        <is>
          <t>Accountants (한국 표준 직종)</t>
        </is>
      </c>
      <c r="H87" s="17" t="inlineStr">
        <is>
          <t>13-2051.00</t>
        </is>
      </c>
      <c r="I87" s="18" t="inlineStr">
        <is>
          <t>Accountants</t>
        </is>
      </c>
      <c r="J87" s="17" t="inlineStr">
        <is>
          <t>24110</t>
        </is>
      </c>
      <c r="K87" s="18" t="inlineStr">
        <is>
          <t>Accountants (CZ-ISCO)</t>
        </is>
      </c>
      <c r="L87" s="18"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t>
        </is>
      </c>
    </row>
    <row r="88">
      <c r="A88" s="15" t="inlineStr">
        <is>
          <t>2412</t>
        </is>
      </c>
      <c r="B88" s="16" t="inlineStr">
        <is>
          <t>Financial and Investment Advisers</t>
        </is>
      </c>
      <c r="C88" s="16" t="inlineStr">
        <is>
          <t>금융투자 / 핀테크 / 리스크</t>
        </is>
      </c>
      <c r="D88" s="15" t="inlineStr">
        <is>
          <t>03010101</t>
        </is>
      </c>
      <c r="E88" s="16" t="inlineStr">
        <is>
          <t>Financial and Investment Advisers 관련 국가직무</t>
        </is>
      </c>
      <c r="F88" s="15" t="inlineStr">
        <is>
          <t>24120</t>
        </is>
      </c>
      <c r="G88" s="16" t="inlineStr">
        <is>
          <t>Financial and Investment Advisers (한국 표준 직종)</t>
        </is>
      </c>
      <c r="H88" s="15" t="inlineStr">
        <is>
          <t>13-2051.00</t>
        </is>
      </c>
      <c r="I88" s="16" t="inlineStr">
        <is>
          <t>Financial and Investment Advisers</t>
        </is>
      </c>
      <c r="J88" s="15" t="inlineStr">
        <is>
          <t>24120</t>
        </is>
      </c>
      <c r="K88" s="16" t="inlineStr">
        <is>
          <t>Financial and Investment Advisers (CZ-ISCO)</t>
        </is>
      </c>
      <c r="L88" s="16" t="inlineStr">
        <is>
          <t>Financial and investment advisers develop financial plans for individuals and organizations, and invest and manage funds on their behalf.</t>
        </is>
      </c>
    </row>
    <row r="89">
      <c r="A89" s="17" t="inlineStr">
        <is>
          <t>2413</t>
        </is>
      </c>
      <c r="B89" s="18" t="inlineStr">
        <is>
          <t>Financial Analysts</t>
        </is>
      </c>
      <c r="C89" s="18" t="inlineStr">
        <is>
          <t>금융투자 / 핀테크 / 리스크</t>
        </is>
      </c>
      <c r="D89" s="17" t="inlineStr">
        <is>
          <t>03010201</t>
        </is>
      </c>
      <c r="E89" s="18" t="inlineStr">
        <is>
          <t>Financial Analysts 관련 국가직무</t>
        </is>
      </c>
      <c r="F89" s="17" t="inlineStr">
        <is>
          <t>24130</t>
        </is>
      </c>
      <c r="G89" s="18" t="inlineStr">
        <is>
          <t>Financial Analysts (한국 표준 직종)</t>
        </is>
      </c>
      <c r="H89" s="17" t="inlineStr">
        <is>
          <t>13-2051.00</t>
        </is>
      </c>
      <c r="I89" s="18" t="inlineStr">
        <is>
          <t>Financial Analysts</t>
        </is>
      </c>
      <c r="J89" s="17" t="inlineStr">
        <is>
          <t>24130</t>
        </is>
      </c>
      <c r="K89" s="18" t="inlineStr">
        <is>
          <t>Financial Analysts (CZ-ISCO)</t>
        </is>
      </c>
      <c r="L89" s="18" t="inlineStr">
        <is>
          <t>Financial analysts conduct quantitative analyses of information affecting investment programmes of public or private institutions.</t>
        </is>
      </c>
    </row>
    <row r="90">
      <c r="A90" s="15" t="inlineStr">
        <is>
          <t>2421</t>
        </is>
      </c>
      <c r="B90" s="16" t="inlineStr">
        <is>
          <t>Management and Organization Analysts</t>
        </is>
      </c>
      <c r="C90" s="16" t="inlineStr">
        <is>
          <t>금융투자 / 핀테크 / 리스크</t>
        </is>
      </c>
      <c r="D90" s="15" t="inlineStr">
        <is>
          <t>01010101</t>
        </is>
      </c>
      <c r="E90" s="16" t="inlineStr">
        <is>
          <t>Management and Organization Analysts 관련 국가직무</t>
        </is>
      </c>
      <c r="F90" s="15" t="inlineStr">
        <is>
          <t>24210</t>
        </is>
      </c>
      <c r="G90" s="16" t="inlineStr">
        <is>
          <t>Management and Organization Analysts (한국 표준 직종)</t>
        </is>
      </c>
      <c r="H90" s="15" t="inlineStr">
        <is>
          <t>13-2051.00</t>
        </is>
      </c>
      <c r="I90" s="16" t="inlineStr">
        <is>
          <t>Management and Organization Analysts</t>
        </is>
      </c>
      <c r="J90" s="15" t="inlineStr">
        <is>
          <t>24210</t>
        </is>
      </c>
      <c r="K90" s="16" t="inlineStr">
        <is>
          <t>Management and Organization Analysts (CZ-ISCO)</t>
        </is>
      </c>
      <c r="L90" s="16" t="inlineStr">
        <is>
          <t>Management and organization analysts assist organizations to achieve greater efficiency and solve organizational problems. They study organizational structures, methods, systems and procedures.</t>
        </is>
      </c>
    </row>
    <row r="91">
      <c r="A91" s="17" t="inlineStr">
        <is>
          <t>2422</t>
        </is>
      </c>
      <c r="B91" s="18" t="inlineStr">
        <is>
          <t>Policy Administration Professionals</t>
        </is>
      </c>
      <c r="C91" s="18" t="inlineStr">
        <is>
          <t>금융투자 / 핀테크 / 리스크</t>
        </is>
      </c>
      <c r="D91" s="17" t="inlineStr">
        <is>
          <t>02010101</t>
        </is>
      </c>
      <c r="E91" s="18" t="inlineStr">
        <is>
          <t>Policy Administration Professionals 관련 국가직무</t>
        </is>
      </c>
      <c r="F91" s="17" t="inlineStr">
        <is>
          <t>24220</t>
        </is>
      </c>
      <c r="G91" s="18" t="inlineStr">
        <is>
          <t>Policy Administration Professionals (한국 표준 직종)</t>
        </is>
      </c>
      <c r="H91" s="17" t="inlineStr">
        <is>
          <t>13-2051.00</t>
        </is>
      </c>
      <c r="I91" s="18" t="inlineStr">
        <is>
          <t>Policy Administration Professionals</t>
        </is>
      </c>
      <c r="J91" s="17" t="inlineStr">
        <is>
          <t>24220</t>
        </is>
      </c>
      <c r="K91" s="18" t="inlineStr">
        <is>
          <t>Policy Administration Professionals (CZ-ISCO)</t>
        </is>
      </c>
      <c r="L91" s="18" t="inlineStr">
        <is>
          <t>Policy administration professionals develop and analyse policies guiding the design, implementation and modification of government and commercial operations and programmes.</t>
        </is>
      </c>
    </row>
    <row r="92">
      <c r="A92" s="15" t="inlineStr">
        <is>
          <t>2423</t>
        </is>
      </c>
      <c r="B92" s="16" t="inlineStr">
        <is>
          <t>Personnel and Careers Professionals</t>
        </is>
      </c>
      <c r="C92" s="16" t="inlineStr">
        <is>
          <t>금융투자 / 핀테크 / 리스크</t>
        </is>
      </c>
      <c r="D92" s="15" t="inlineStr">
        <is>
          <t>02021001</t>
        </is>
      </c>
      <c r="E92" s="16" t="inlineStr">
        <is>
          <t>Personnel and Careers Professionals 관련 국가직무</t>
        </is>
      </c>
      <c r="F92" s="15" t="inlineStr">
        <is>
          <t>24230</t>
        </is>
      </c>
      <c r="G92" s="16" t="inlineStr">
        <is>
          <t>Personnel and Careers Professionals (한국 표준 직종)</t>
        </is>
      </c>
      <c r="H92" s="15" t="inlineStr">
        <is>
          <t>13-2051.00</t>
        </is>
      </c>
      <c r="I92" s="16" t="inlineStr">
        <is>
          <t>Personnel and Careers Professionals</t>
        </is>
      </c>
      <c r="J92" s="15" t="inlineStr">
        <is>
          <t>24230</t>
        </is>
      </c>
      <c r="K92" s="16" t="inlineStr">
        <is>
          <t>Personnel and Careers Professionals (CZ-ISCO)</t>
        </is>
      </c>
      <c r="L92" s="16" t="inlineStr">
        <is>
          <t>Personnel and careers professionals provide professional business services related to personnel policies such as employee recruitment or development, occupational analysis and vocational guidance.</t>
        </is>
      </c>
    </row>
    <row r="93">
      <c r="A93" s="17" t="inlineStr">
        <is>
          <t>2424</t>
        </is>
      </c>
      <c r="B93" s="18" t="inlineStr">
        <is>
          <t>Training and Staff Development Professionals</t>
        </is>
      </c>
      <c r="C93" s="18" t="inlineStr">
        <is>
          <t>금융투자 / 핀테크 / 리스크</t>
        </is>
      </c>
      <c r="D93" s="17" t="inlineStr">
        <is>
          <t>02010101</t>
        </is>
      </c>
      <c r="E93" s="18" t="inlineStr">
        <is>
          <t>Training and Staff Development Professionals 관련 국가직무</t>
        </is>
      </c>
      <c r="F93" s="17" t="inlineStr">
        <is>
          <t>24240</t>
        </is>
      </c>
      <c r="G93" s="18" t="inlineStr">
        <is>
          <t>Training and Staff Development Professionals (한국 표준 직종)</t>
        </is>
      </c>
      <c r="H93" s="17" t="inlineStr">
        <is>
          <t>13-2051.00</t>
        </is>
      </c>
      <c r="I93" s="18" t="inlineStr">
        <is>
          <t>Training and Staff Development Professionals</t>
        </is>
      </c>
      <c r="J93" s="17" t="inlineStr">
        <is>
          <t>24240</t>
        </is>
      </c>
      <c r="K93" s="18" t="inlineStr">
        <is>
          <t>Training and Staff Development Professionals (CZ-ISCO)</t>
        </is>
      </c>
      <c r="L93" s="18" t="inlineStr">
        <is>
          <t>Training and staff development professionals plan, develop, implement and evaluate training and development programmes to ensure management and staff acquire the skills and develop the competencies required by organizations to meet organizational objectives.</t>
        </is>
      </c>
    </row>
    <row r="94">
      <c r="A94" s="15" t="inlineStr">
        <is>
          <t>2431</t>
        </is>
      </c>
      <c r="B94" s="16" t="inlineStr">
        <is>
          <t>Advertising and Marketing Professionals</t>
        </is>
      </c>
      <c r="C94" s="16" t="inlineStr">
        <is>
          <t>금융투자 / 핀테크 / 리스크</t>
        </is>
      </c>
      <c r="D94" s="15" t="inlineStr">
        <is>
          <t>10020101</t>
        </is>
      </c>
      <c r="E94" s="16" t="inlineStr">
        <is>
          <t>Advertising and Marketing Professionals 관련 국가직무</t>
        </is>
      </c>
      <c r="F94" s="15" t="inlineStr">
        <is>
          <t>24310</t>
        </is>
      </c>
      <c r="G94" s="16" t="inlineStr">
        <is>
          <t>Advertising and Marketing Professionals (한국 표준 직종)</t>
        </is>
      </c>
      <c r="H94" s="15" t="inlineStr">
        <is>
          <t>13-2051.00</t>
        </is>
      </c>
      <c r="I94" s="16" t="inlineStr">
        <is>
          <t>Advertising and Marketing Professionals</t>
        </is>
      </c>
      <c r="J94" s="15" t="inlineStr">
        <is>
          <t>24310</t>
        </is>
      </c>
      <c r="K94" s="16" t="inlineStr">
        <is>
          <t>Advertising and Marketing Professionals (CZ-ISCO)</t>
        </is>
      </c>
      <c r="L94" s="16" t="inlineStr">
        <is>
          <t>Advertising and marketing professionals develop and coordinate advertising strategies and campaigns, determine the market for new goods and services, and identify and develop market opportunities for new and existing goods and services.</t>
        </is>
      </c>
    </row>
    <row r="95">
      <c r="A95" s="17" t="inlineStr">
        <is>
          <t>2432</t>
        </is>
      </c>
      <c r="B95" s="18" t="inlineStr">
        <is>
          <t>Public Relations Professionals</t>
        </is>
      </c>
      <c r="C95" s="18" t="inlineStr">
        <is>
          <t>금융투자 / 핀테크 / 리스크</t>
        </is>
      </c>
      <c r="D95" s="17" t="inlineStr">
        <is>
          <t>02010101</t>
        </is>
      </c>
      <c r="E95" s="18" t="inlineStr">
        <is>
          <t>Public Relations Professionals 관련 국가직무</t>
        </is>
      </c>
      <c r="F95" s="17" t="inlineStr">
        <is>
          <t>24320</t>
        </is>
      </c>
      <c r="G95" s="18" t="inlineStr">
        <is>
          <t>Public Relations Professionals (한국 표준 직종)</t>
        </is>
      </c>
      <c r="H95" s="17" t="inlineStr">
        <is>
          <t>13-2051.00</t>
        </is>
      </c>
      <c r="I95" s="18" t="inlineStr">
        <is>
          <t>Public Relations Professionals</t>
        </is>
      </c>
      <c r="J95" s="17" t="inlineStr">
        <is>
          <t>24320</t>
        </is>
      </c>
      <c r="K95" s="18" t="inlineStr">
        <is>
          <t>Public Relations Professionals (CZ-ISCO)</t>
        </is>
      </c>
      <c r="L95" s="18" t="inlineStr">
        <is>
          <t>Public relations professionals plan, develop, implement and evaluate information and communication 	strategies that create an understanding and a favourable view of businesses and other organizations, their goods and services, and their role in the community.</t>
        </is>
      </c>
    </row>
    <row r="96">
      <c r="A96" s="15" t="inlineStr">
        <is>
          <t>2433</t>
        </is>
      </c>
      <c r="B96" s="16" t="inlineStr">
        <is>
          <t>Technical and Medical Sales Professionals (excluding ICT)</t>
        </is>
      </c>
      <c r="C96" s="16" t="inlineStr">
        <is>
          <t>금융투자 / 핀테크 / 리스크</t>
        </is>
      </c>
      <c r="D96" s="15" t="inlineStr">
        <is>
          <t>10010101</t>
        </is>
      </c>
      <c r="E96" s="16" t="inlineStr">
        <is>
          <t>Technical and Medical Sales Professionals (excluding ICT) 관련 국가직무</t>
        </is>
      </c>
      <c r="F96" s="15" t="inlineStr">
        <is>
          <t>24330</t>
        </is>
      </c>
      <c r="G96" s="16" t="inlineStr">
        <is>
          <t>Technical and Medical Sales Professionals (excluding ICT) (한국 표준 직종)</t>
        </is>
      </c>
      <c r="H96" s="15" t="inlineStr">
        <is>
          <t>13-2051.00</t>
        </is>
      </c>
      <c r="I96" s="16" t="inlineStr">
        <is>
          <t>Technical and Medical Sales Professionals (excluding ICT)</t>
        </is>
      </c>
      <c r="J96" s="15" t="inlineStr">
        <is>
          <t>24330</t>
        </is>
      </c>
      <c r="K96" s="16" t="inlineStr">
        <is>
          <t>Technical and Medical Sales Professionals (excluding ICT) (CZ-ISCO)</t>
        </is>
      </c>
      <c r="L96" s="16" t="inlineStr">
        <is>
          <t>Technical and medical sales professionals (excluding ICT) represent companies in selling a range of industrial, medical and pharmaceutical goods and services to industrial, business, professional and other establishments.</t>
        </is>
      </c>
    </row>
    <row r="97">
      <c r="A97" s="17" t="inlineStr">
        <is>
          <t>2434</t>
        </is>
      </c>
      <c r="B97" s="18" t="inlineStr">
        <is>
          <t>Information and Communications Technology Sales Professionals</t>
        </is>
      </c>
      <c r="C97" s="18" t="inlineStr">
        <is>
          <t>금융투자 / 핀테크 / 리스크</t>
        </is>
      </c>
      <c r="D97" s="17" t="inlineStr">
        <is>
          <t>02010101</t>
        </is>
      </c>
      <c r="E97" s="18" t="inlineStr">
        <is>
          <t>Information and Communications Technology Sales Professionals 관련 국가직무</t>
        </is>
      </c>
      <c r="F97" s="17" t="inlineStr">
        <is>
          <t>24340</t>
        </is>
      </c>
      <c r="G97" s="18" t="inlineStr">
        <is>
          <t>Information and Communications Technology Sales Professionals (한국 표준 직종)</t>
        </is>
      </c>
      <c r="H97" s="17" t="inlineStr">
        <is>
          <t>13-2051.00</t>
        </is>
      </c>
      <c r="I97" s="18" t="inlineStr">
        <is>
          <t>Information and Communications Technology Sales Professionals</t>
        </is>
      </c>
      <c r="J97" s="17" t="inlineStr">
        <is>
          <t>24340</t>
        </is>
      </c>
      <c r="K97" s="18" t="inlineStr">
        <is>
          <t>Information and Communications Technology Sales Professionals (CZ-ISCO)</t>
        </is>
      </c>
      <c r="L97" s="18"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c>
    </row>
    <row r="98">
      <c r="A98" s="15" t="inlineStr">
        <is>
          <t>2511</t>
        </is>
      </c>
      <c r="B98" s="16" t="inlineStr">
        <is>
          <t>Systems Analysts</t>
        </is>
      </c>
      <c r="C98" s="16" t="inlineStr">
        <is>
          <t>ICT / Software &amp; Data / AI</t>
        </is>
      </c>
      <c r="D98" s="15" t="inlineStr">
        <is>
          <t>02010101</t>
        </is>
      </c>
      <c r="E98" s="16" t="inlineStr">
        <is>
          <t>Systems Analysts 관련 국가직무</t>
        </is>
      </c>
      <c r="F98" s="15" t="inlineStr">
        <is>
          <t>25110</t>
        </is>
      </c>
      <c r="G98" s="16" t="inlineStr">
        <is>
          <t>Systems Analysts (한국 표준 직종)</t>
        </is>
      </c>
      <c r="H98" s="15" t="inlineStr">
        <is>
          <t>15-1252.00</t>
        </is>
      </c>
      <c r="I98" s="16" t="inlineStr">
        <is>
          <t>Systems Analysts</t>
        </is>
      </c>
      <c r="J98" s="15" t="inlineStr">
        <is>
          <t>25110</t>
        </is>
      </c>
      <c r="K98" s="16" t="inlineStr">
        <is>
          <t>Systems Analysts (CZ-ISCO)</t>
        </is>
      </c>
      <c r="L98" s="16" t="inlineStr">
        <is>
          <t>Systems analysts conduct research, analyse and evaluate client information technology requirements, procedures or problems, and develop and implement proposals, recommendations and plans to improve current or future information systems.</t>
        </is>
      </c>
    </row>
    <row r="99">
      <c r="A99" s="17" t="inlineStr">
        <is>
          <t>2512</t>
        </is>
      </c>
      <c r="B99" s="18" t="inlineStr">
        <is>
          <t>Software Developers</t>
        </is>
      </c>
      <c r="C99" s="18" t="inlineStr">
        <is>
          <t>ICT / Software &amp; Data / AI</t>
        </is>
      </c>
      <c r="D99" s="17" t="inlineStr">
        <is>
          <t>02010301</t>
        </is>
      </c>
      <c r="E99" s="18" t="inlineStr">
        <is>
          <t>Software Developers 관련 국가직무</t>
        </is>
      </c>
      <c r="F99" s="17" t="inlineStr">
        <is>
          <t>25120</t>
        </is>
      </c>
      <c r="G99" s="18" t="inlineStr">
        <is>
          <t>Software Developers (한국 표준 직종)</t>
        </is>
      </c>
      <c r="H99" s="17" t="inlineStr">
        <is>
          <t>15-1252.00</t>
        </is>
      </c>
      <c r="I99" s="18" t="inlineStr">
        <is>
          <t>Software Developers</t>
        </is>
      </c>
      <c r="J99" s="17" t="inlineStr">
        <is>
          <t>25120</t>
        </is>
      </c>
      <c r="K99" s="18" t="inlineStr">
        <is>
          <t>Software Developers (CZ-ISCO)</t>
        </is>
      </c>
      <c r="L99" s="18" t="inlineStr">
        <is>
          <t>Software developers research, analyse and evaluate requirements for existing or new software applications and operating systems, and design, develop, test and maintain software solutions to meet these requirements.</t>
        </is>
      </c>
    </row>
    <row r="100">
      <c r="A100" s="15" t="inlineStr">
        <is>
          <t>2513</t>
        </is>
      </c>
      <c r="B100" s="16" t="inlineStr">
        <is>
          <t>Web and Multimedia Developers</t>
        </is>
      </c>
      <c r="C100" s="16" t="inlineStr">
        <is>
          <t>ICT / Software &amp; Data / AI</t>
        </is>
      </c>
      <c r="D100" s="15" t="inlineStr">
        <is>
          <t>02020301</t>
        </is>
      </c>
      <c r="E100" s="16" t="inlineStr">
        <is>
          <t>Web and Multimedia Developers 관련 국가직무</t>
        </is>
      </c>
      <c r="F100" s="15" t="inlineStr">
        <is>
          <t>25130</t>
        </is>
      </c>
      <c r="G100" s="16" t="inlineStr">
        <is>
          <t>Web and Multimedia Developers (한국 표준 직종)</t>
        </is>
      </c>
      <c r="H100" s="15" t="inlineStr">
        <is>
          <t>15-1252.00</t>
        </is>
      </c>
      <c r="I100" s="16" t="inlineStr">
        <is>
          <t>Web and Multimedia Developers</t>
        </is>
      </c>
      <c r="J100" s="15" t="inlineStr">
        <is>
          <t>25130</t>
        </is>
      </c>
      <c r="K100" s="16" t="inlineStr">
        <is>
          <t>Web and Multimedia Developers (CZ-ISCO)</t>
        </is>
      </c>
      <c r="L100" s="16"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c>
    </row>
    <row r="101">
      <c r="A101" s="17" t="inlineStr">
        <is>
          <t>2514</t>
        </is>
      </c>
      <c r="B101" s="18" t="inlineStr">
        <is>
          <t>Applications Programmers</t>
        </is>
      </c>
      <c r="C101" s="18" t="inlineStr">
        <is>
          <t>ICT / Software &amp; Data / AI</t>
        </is>
      </c>
      <c r="D101" s="17" t="inlineStr">
        <is>
          <t>20010101</t>
        </is>
      </c>
      <c r="E101" s="18" t="inlineStr">
        <is>
          <t>Applications Programmers 관련 국가직무</t>
        </is>
      </c>
      <c r="F101" s="17" t="inlineStr">
        <is>
          <t>25140</t>
        </is>
      </c>
      <c r="G101" s="18" t="inlineStr">
        <is>
          <t>Applications Programmers (한국 표준 직종)</t>
        </is>
      </c>
      <c r="H101" s="17" t="inlineStr">
        <is>
          <t>15-1252.00</t>
        </is>
      </c>
      <c r="I101" s="18" t="inlineStr">
        <is>
          <t>Applications Programmers</t>
        </is>
      </c>
      <c r="J101" s="17" t="inlineStr">
        <is>
          <t>25140</t>
        </is>
      </c>
      <c r="K101" s="18" t="inlineStr">
        <is>
          <t>Applications Programmers (CZ-ISCO)</t>
        </is>
      </c>
      <c r="L101" s="18" t="inlineStr">
        <is>
          <t>Applications programmers write and maintain programmable code outlined in technical instructions and specifications for software applications and operating systems.</t>
        </is>
      </c>
    </row>
    <row r="102">
      <c r="A102" s="15" t="inlineStr">
        <is>
          <t>2519</t>
        </is>
      </c>
      <c r="B102" s="16" t="inlineStr">
        <is>
          <t>Software and Applications Developers and Analysts Not Elsewhere Classified</t>
        </is>
      </c>
      <c r="C102" s="16" t="inlineStr">
        <is>
          <t>ICT / Software &amp; Data / AI</t>
        </is>
      </c>
      <c r="D102" s="15" t="inlineStr">
        <is>
          <t>20010101</t>
        </is>
      </c>
      <c r="E102" s="16" t="inlineStr">
        <is>
          <t>Software and Applications Developers and Analysts Not Elsewhere Classified 관련 국가직무</t>
        </is>
      </c>
      <c r="F102" s="15" t="inlineStr">
        <is>
          <t>25190</t>
        </is>
      </c>
      <c r="G102" s="16" t="inlineStr">
        <is>
          <t>Software and Applications Developers and Analysts Not Elsewhere Classified (한국 표준 직종)</t>
        </is>
      </c>
      <c r="H102" s="15" t="inlineStr">
        <is>
          <t>15-1252.00</t>
        </is>
      </c>
      <c r="I102" s="16" t="inlineStr">
        <is>
          <t>Software and Applications Developers and Analysts Not Elsewhere Classified</t>
        </is>
      </c>
      <c r="J102" s="15" t="inlineStr">
        <is>
          <t>25190</t>
        </is>
      </c>
      <c r="K102" s="16" t="inlineStr">
        <is>
          <t>Software and Applications Developers and Analysts Not Elsewhere Classified (CZ-ISCO)</t>
        </is>
      </c>
      <c r="L102" s="16"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c>
    </row>
    <row r="103">
      <c r="A103" s="17" t="inlineStr">
        <is>
          <t>2521</t>
        </is>
      </c>
      <c r="B103" s="18" t="inlineStr">
        <is>
          <t>Database Designers and Administrators</t>
        </is>
      </c>
      <c r="C103" s="18" t="inlineStr">
        <is>
          <t>ICT / Software &amp; Data / AI</t>
        </is>
      </c>
      <c r="D103" s="17" t="inlineStr">
        <is>
          <t>02030101</t>
        </is>
      </c>
      <c r="E103" s="18" t="inlineStr">
        <is>
          <t>Database Designers and Administrators 관련 국가직무</t>
        </is>
      </c>
      <c r="F103" s="17" t="inlineStr">
        <is>
          <t>25210</t>
        </is>
      </c>
      <c r="G103" s="18" t="inlineStr">
        <is>
          <t>Database Designers and Administrators (한국 표준 직종)</t>
        </is>
      </c>
      <c r="H103" s="17" t="inlineStr">
        <is>
          <t>15-1252.00</t>
        </is>
      </c>
      <c r="I103" s="18" t="inlineStr">
        <is>
          <t>Database Designers and Administrators</t>
        </is>
      </c>
      <c r="J103" s="17" t="inlineStr">
        <is>
          <t>25210</t>
        </is>
      </c>
      <c r="K103" s="18" t="inlineStr">
        <is>
          <t>Database Designers and Administrators (CZ-ISCO)</t>
        </is>
      </c>
      <c r="L103" s="18" t="inlineStr">
        <is>
          <t>Database designers and administrators design, develop, control, maintain and support the optimal performance and security of databases.</t>
        </is>
      </c>
    </row>
    <row r="104">
      <c r="A104" s="15" t="inlineStr">
        <is>
          <t>2522</t>
        </is>
      </c>
      <c r="B104" s="16" t="inlineStr">
        <is>
          <t>Systems Aministrators</t>
        </is>
      </c>
      <c r="C104" s="16" t="inlineStr">
        <is>
          <t>ICT / Software &amp; Data / AI</t>
        </is>
      </c>
      <c r="D104" s="15" t="inlineStr">
        <is>
          <t>02040101</t>
        </is>
      </c>
      <c r="E104" s="16" t="inlineStr">
        <is>
          <t>Systems Aministrators 관련 국가직무</t>
        </is>
      </c>
      <c r="F104" s="15" t="inlineStr">
        <is>
          <t>25220</t>
        </is>
      </c>
      <c r="G104" s="16" t="inlineStr">
        <is>
          <t>Systems Aministrators (한국 표준 직종)</t>
        </is>
      </c>
      <c r="H104" s="15" t="inlineStr">
        <is>
          <t>15-1252.00</t>
        </is>
      </c>
      <c r="I104" s="16" t="inlineStr">
        <is>
          <t>Systems Aministrators</t>
        </is>
      </c>
      <c r="J104" s="15" t="inlineStr">
        <is>
          <t>25220</t>
        </is>
      </c>
      <c r="K104" s="16" t="inlineStr">
        <is>
          <t>Systems Aministrators (CZ-ISCO)</t>
        </is>
      </c>
      <c r="L104" s="16" t="inlineStr">
        <is>
          <t>Systems administrators develop, control, maintain and support the optimal performance and security of information technology systems.</t>
        </is>
      </c>
    </row>
    <row r="105">
      <c r="A105" s="17" t="inlineStr">
        <is>
          <t>2523</t>
        </is>
      </c>
      <c r="B105" s="18" t="inlineStr">
        <is>
          <t>Computer Network Professionals</t>
        </is>
      </c>
      <c r="C105" s="18" t="inlineStr">
        <is>
          <t>ICT / Software &amp; Data / AI</t>
        </is>
      </c>
      <c r="D105" s="17" t="inlineStr">
        <is>
          <t>02040201</t>
        </is>
      </c>
      <c r="E105" s="18" t="inlineStr">
        <is>
          <t>Computer Network Professionals 관련 국가직무</t>
        </is>
      </c>
      <c r="F105" s="17" t="inlineStr">
        <is>
          <t>25230</t>
        </is>
      </c>
      <c r="G105" s="18" t="inlineStr">
        <is>
          <t>Computer Network Professionals (한국 표준 직종)</t>
        </is>
      </c>
      <c r="H105" s="17" t="inlineStr">
        <is>
          <t>15-1252.00</t>
        </is>
      </c>
      <c r="I105" s="18" t="inlineStr">
        <is>
          <t>Computer Network Professionals</t>
        </is>
      </c>
      <c r="J105" s="17" t="inlineStr">
        <is>
          <t>25230</t>
        </is>
      </c>
      <c r="K105" s="18" t="inlineStr">
        <is>
          <t>Computer Network Professionals (CZ-ISCO)</t>
        </is>
      </c>
      <c r="L105" s="18" t="inlineStr">
        <is>
          <t>Computer network professionals research, analyse, design, test and recommend strategies for network architecture and development. They implement, manage, maintain and configure network hardware and software, and monitor, troubleshoot and optimize performance.</t>
        </is>
      </c>
    </row>
    <row r="106">
      <c r="A106" s="15" t="inlineStr">
        <is>
          <t>2529</t>
        </is>
      </c>
      <c r="B106" s="16" t="inlineStr">
        <is>
          <t>Database and Network Professionals Not Elsewhere Classified</t>
        </is>
      </c>
      <c r="C106" s="16" t="inlineStr">
        <is>
          <t>ICT / Software &amp; Data / AI</t>
        </is>
      </c>
      <c r="D106" s="15" t="inlineStr">
        <is>
          <t>02050101</t>
        </is>
      </c>
      <c r="E106" s="16" t="inlineStr">
        <is>
          <t>Database and Network Professionals Not Elsewhere Classified 관련 국가직무</t>
        </is>
      </c>
      <c r="F106" s="15" t="inlineStr">
        <is>
          <t>25290</t>
        </is>
      </c>
      <c r="G106" s="16" t="inlineStr">
        <is>
          <t>Database and Network Professionals Not Elsewhere Classified (한국 표준 직종)</t>
        </is>
      </c>
      <c r="H106" s="15" t="inlineStr">
        <is>
          <t>15-1252.00</t>
        </is>
      </c>
      <c r="I106" s="16" t="inlineStr">
        <is>
          <t>Database and Network Professionals Not Elsewhere Classified</t>
        </is>
      </c>
      <c r="J106" s="15" t="inlineStr">
        <is>
          <t>25290</t>
        </is>
      </c>
      <c r="K106" s="16" t="inlineStr">
        <is>
          <t>Database and Network Professionals Not Elsewhere Classified (CZ-ISCO)</t>
        </is>
      </c>
      <c r="L106" s="16" t="inlineStr">
        <is>
          <t>This unit group includes database and network professionals not classified elsewhere in Minor Group 252: Database and Network Professionals.  	For instance, the group includes information and communications technology security specialists.</t>
        </is>
      </c>
    </row>
    <row r="107">
      <c r="A107" s="17" t="inlineStr">
        <is>
          <t>2611</t>
        </is>
      </c>
      <c r="B107" s="18" t="inlineStr">
        <is>
          <t>Lawyers</t>
        </is>
      </c>
      <c r="C107" s="18" t="inlineStr">
        <is>
          <t>법률 / 지식재산권 / 변리</t>
        </is>
      </c>
      <c r="D107" s="17" t="inlineStr">
        <is>
          <t>05010101</t>
        </is>
      </c>
      <c r="E107" s="18" t="inlineStr">
        <is>
          <t>Lawyers 관련 국가직무</t>
        </is>
      </c>
      <c r="F107" s="17" t="inlineStr">
        <is>
          <t>26110</t>
        </is>
      </c>
      <c r="G107" s="18" t="inlineStr">
        <is>
          <t>Lawyers (한국 표준 직종)</t>
        </is>
      </c>
      <c r="H107" s="17" t="inlineStr">
        <is>
          <t>23-1011.00</t>
        </is>
      </c>
      <c r="I107" s="18" t="inlineStr">
        <is>
          <t>Lawyers</t>
        </is>
      </c>
      <c r="J107" s="17" t="inlineStr">
        <is>
          <t>26110</t>
        </is>
      </c>
      <c r="K107" s="18" t="inlineStr">
        <is>
          <t>Lawyers (CZ-ISCO)</t>
        </is>
      </c>
      <c r="L107" s="18"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c>
    </row>
    <row r="108">
      <c r="A108" s="15" t="inlineStr">
        <is>
          <t>2612</t>
        </is>
      </c>
      <c r="B108" s="16" t="inlineStr">
        <is>
          <t>Judges</t>
        </is>
      </c>
      <c r="C108" s="16" t="inlineStr">
        <is>
          <t>법률 / 지식재산권 / 변리</t>
        </is>
      </c>
      <c r="D108" s="15" t="inlineStr">
        <is>
          <t>05010101</t>
        </is>
      </c>
      <c r="E108" s="16" t="inlineStr">
        <is>
          <t>Judges 관련 국가직무</t>
        </is>
      </c>
      <c r="F108" s="15" t="inlineStr">
        <is>
          <t>26120</t>
        </is>
      </c>
      <c r="G108" s="16" t="inlineStr">
        <is>
          <t>Judges (한국 표준 직종)</t>
        </is>
      </c>
      <c r="H108" s="15" t="inlineStr">
        <is>
          <t>23-1011.00</t>
        </is>
      </c>
      <c r="I108" s="16" t="inlineStr">
        <is>
          <t>Judges</t>
        </is>
      </c>
      <c r="J108" s="15" t="inlineStr">
        <is>
          <t>26120</t>
        </is>
      </c>
      <c r="K108" s="16" t="inlineStr">
        <is>
          <t>Judges (CZ-ISCO)</t>
        </is>
      </c>
      <c r="L108" s="16" t="inlineStr">
        <is>
          <t>Judges preside over civil and criminal proceedings in courts of law.</t>
        </is>
      </c>
    </row>
    <row r="109">
      <c r="A109" s="17" t="inlineStr">
        <is>
          <t>2619</t>
        </is>
      </c>
      <c r="B109" s="18" t="inlineStr">
        <is>
          <t>Legal Professionals Not Elsewhere Classified</t>
        </is>
      </c>
      <c r="C109" s="18" t="inlineStr">
        <is>
          <t>법률 / 지식재산권 / 변리</t>
        </is>
      </c>
      <c r="D109" s="17" t="inlineStr">
        <is>
          <t>05010201</t>
        </is>
      </c>
      <c r="E109" s="18" t="inlineStr">
        <is>
          <t>Legal Professionals Not Elsewhere Classified 관련 국가직무</t>
        </is>
      </c>
      <c r="F109" s="17" t="inlineStr">
        <is>
          <t>26190</t>
        </is>
      </c>
      <c r="G109" s="18" t="inlineStr">
        <is>
          <t>Legal Professionals Not Elsewhere Classified (한국 표준 직종)</t>
        </is>
      </c>
      <c r="H109" s="17" t="inlineStr">
        <is>
          <t>23-1011.00</t>
        </is>
      </c>
      <c r="I109" s="18" t="inlineStr">
        <is>
          <t>Legal Professionals Not Elsewhere Classified</t>
        </is>
      </c>
      <c r="J109" s="17" t="inlineStr">
        <is>
          <t>26190</t>
        </is>
      </c>
      <c r="K109" s="18" t="inlineStr">
        <is>
          <t>Legal Professionals Not Elsewhere Classified (CZ-ISCO)</t>
        </is>
      </c>
      <c r="L109" s="18" t="inlineStr">
        <is>
          <t>This unit group covers legal professionals not classified elsewhere in Minor Group 261: Legal professionals. 	For instance, the group includes those who perform legal functions other than pleading or prosecuting cases or presiding over judicial  proceedings.</t>
        </is>
      </c>
    </row>
    <row r="110">
      <c r="A110" s="15" t="inlineStr">
        <is>
          <t>2621</t>
        </is>
      </c>
      <c r="B110" s="16" t="inlineStr">
        <is>
          <t>Archivists and Curators</t>
        </is>
      </c>
      <c r="C110" s="16" t="inlineStr">
        <is>
          <t>법률 / 지식재산권 / 변리</t>
        </is>
      </c>
      <c r="D110" s="15" t="inlineStr">
        <is>
          <t>05010101</t>
        </is>
      </c>
      <c r="E110" s="16" t="inlineStr">
        <is>
          <t>Archivists and Curators 관련 국가직무</t>
        </is>
      </c>
      <c r="F110" s="15" t="inlineStr">
        <is>
          <t>26210</t>
        </is>
      </c>
      <c r="G110" s="16" t="inlineStr">
        <is>
          <t>Archivists and Curators (한국 표준 직종)</t>
        </is>
      </c>
      <c r="H110" s="15" t="inlineStr">
        <is>
          <t>23-1011.00</t>
        </is>
      </c>
      <c r="I110" s="16" t="inlineStr">
        <is>
          <t>Archivists and Curators</t>
        </is>
      </c>
      <c r="J110" s="15" t="inlineStr">
        <is>
          <t>26210</t>
        </is>
      </c>
      <c r="K110" s="16" t="inlineStr">
        <is>
          <t>Archivists and Curators (CZ-ISCO)</t>
        </is>
      </c>
      <c r="L110" s="16"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t>
        </is>
      </c>
    </row>
    <row r="111">
      <c r="A111" s="17" t="inlineStr">
        <is>
          <t>2622</t>
        </is>
      </c>
      <c r="B111" s="18" t="inlineStr">
        <is>
          <t>Librarians and Related Information Professionals</t>
        </is>
      </c>
      <c r="C111" s="18" t="inlineStr">
        <is>
          <t>법률 / 지식재산권 / 변리</t>
        </is>
      </c>
      <c r="D111" s="17" t="inlineStr">
        <is>
          <t>05010101</t>
        </is>
      </c>
      <c r="E111" s="18" t="inlineStr">
        <is>
          <t>Librarians and Related Information Professionals 관련 국가직무</t>
        </is>
      </c>
      <c r="F111" s="17" t="inlineStr">
        <is>
          <t>26220</t>
        </is>
      </c>
      <c r="G111" s="18" t="inlineStr">
        <is>
          <t>Librarians and Related Information Professionals (한국 표준 직종)</t>
        </is>
      </c>
      <c r="H111" s="17" t="inlineStr">
        <is>
          <t>23-1011.00</t>
        </is>
      </c>
      <c r="I111" s="18" t="inlineStr">
        <is>
          <t>Librarians and Related Information Professionals</t>
        </is>
      </c>
      <c r="J111" s="17" t="inlineStr">
        <is>
          <t>26220</t>
        </is>
      </c>
      <c r="K111" s="18" t="inlineStr">
        <is>
          <t>Librarians and Related Information Professionals (CZ-ISCO)</t>
        </is>
      </c>
      <c r="L111" s="18" t="inlineStr">
        <is>
          <t>Librarians and related information professionals collect, select, develop, organize and maintain library collections and other information repositories, organize and control other library services and provide information for users.</t>
        </is>
      </c>
    </row>
    <row r="112">
      <c r="A112" s="15" t="inlineStr">
        <is>
          <t>2631</t>
        </is>
      </c>
      <c r="B112" s="16" t="inlineStr">
        <is>
          <t>Economists</t>
        </is>
      </c>
      <c r="C112" s="16" t="inlineStr">
        <is>
          <t>법률 / 지식재산권 / 변리</t>
        </is>
      </c>
      <c r="D112" s="15" t="inlineStr">
        <is>
          <t>05010101</t>
        </is>
      </c>
      <c r="E112" s="16" t="inlineStr">
        <is>
          <t>Economists 관련 국가직무</t>
        </is>
      </c>
      <c r="F112" s="15" t="inlineStr">
        <is>
          <t>26310</t>
        </is>
      </c>
      <c r="G112" s="16" t="inlineStr">
        <is>
          <t>Economists (한국 표준 직종)</t>
        </is>
      </c>
      <c r="H112" s="15" t="inlineStr">
        <is>
          <t>23-1011.00</t>
        </is>
      </c>
      <c r="I112" s="16" t="inlineStr">
        <is>
          <t>Economists</t>
        </is>
      </c>
      <c r="J112" s="15" t="inlineStr">
        <is>
          <t>26310</t>
        </is>
      </c>
      <c r="K112" s="16" t="inlineStr">
        <is>
          <t>Economists (CZ-ISCO)</t>
        </is>
      </c>
      <c r="L112" s="16"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t>
        </is>
      </c>
    </row>
    <row r="113">
      <c r="A113" s="17" t="inlineStr">
        <is>
          <t>2632</t>
        </is>
      </c>
      <c r="B113" s="18" t="inlineStr">
        <is>
          <t>Sociologists, Anthropologists and Related Professionals</t>
        </is>
      </c>
      <c r="C113" s="18" t="inlineStr">
        <is>
          <t>법률 / 지식재산권 / 변리</t>
        </is>
      </c>
      <c r="D113" s="17" t="inlineStr">
        <is>
          <t>05010101</t>
        </is>
      </c>
      <c r="E113" s="18" t="inlineStr">
        <is>
          <t>Sociologists, Anthropologists and Related Professionals 관련 국가직무</t>
        </is>
      </c>
      <c r="F113" s="17" t="inlineStr">
        <is>
          <t>26320</t>
        </is>
      </c>
      <c r="G113" s="18" t="inlineStr">
        <is>
          <t>Sociologists, Anthropologists and Related Professionals (한국 표준 직종)</t>
        </is>
      </c>
      <c r="H113" s="17" t="inlineStr">
        <is>
          <t>23-1011.00</t>
        </is>
      </c>
      <c r="I113" s="18" t="inlineStr">
        <is>
          <t>Sociologists, Anthropologists and Related Professionals</t>
        </is>
      </c>
      <c r="J113" s="17" t="inlineStr">
        <is>
          <t>26320</t>
        </is>
      </c>
      <c r="K113" s="18" t="inlineStr">
        <is>
          <t>Sociologists, Anthropologists and Related Professionals (CZ-ISCO)</t>
        </is>
      </c>
      <c r="L113" s="18"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t>
        </is>
      </c>
    </row>
    <row r="114">
      <c r="A114" s="15" t="inlineStr">
        <is>
          <t>2633</t>
        </is>
      </c>
      <c r="B114" s="16" t="inlineStr">
        <is>
          <t>Philosophers, Historians and Political Scientists</t>
        </is>
      </c>
      <c r="C114" s="16" t="inlineStr">
        <is>
          <t>법률 / 지식재산권 / 변리</t>
        </is>
      </c>
      <c r="D114" s="15" t="inlineStr">
        <is>
          <t>05010101</t>
        </is>
      </c>
      <c r="E114" s="16" t="inlineStr">
        <is>
          <t>Philosophers, Historians and Political Scientists 관련 국가직무</t>
        </is>
      </c>
      <c r="F114" s="15" t="inlineStr">
        <is>
          <t>26330</t>
        </is>
      </c>
      <c r="G114" s="16" t="inlineStr">
        <is>
          <t>Philosophers, Historians and Political Scientists (한국 표준 직종)</t>
        </is>
      </c>
      <c r="H114" s="15" t="inlineStr">
        <is>
          <t>23-1011.00</t>
        </is>
      </c>
      <c r="I114" s="16" t="inlineStr">
        <is>
          <t>Philosophers, Historians and Political Scientists</t>
        </is>
      </c>
      <c r="J114" s="15" t="inlineStr">
        <is>
          <t>26330</t>
        </is>
      </c>
      <c r="K114" s="16" t="inlineStr">
        <is>
          <t>Philosophers, Historians and Political Scientists (CZ-ISCO)</t>
        </is>
      </c>
      <c r="L114" s="16"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c>
    </row>
    <row r="115">
      <c r="A115" s="17" t="inlineStr">
        <is>
          <t>2634</t>
        </is>
      </c>
      <c r="B115" s="18" t="inlineStr">
        <is>
          <t>Psychologists</t>
        </is>
      </c>
      <c r="C115" s="18" t="inlineStr">
        <is>
          <t>법률 / 지식재산권 / 변리</t>
        </is>
      </c>
      <c r="D115" s="17" t="inlineStr">
        <is>
          <t>05010101</t>
        </is>
      </c>
      <c r="E115" s="18" t="inlineStr">
        <is>
          <t>Psychologists 관련 국가직무</t>
        </is>
      </c>
      <c r="F115" s="17" t="inlineStr">
        <is>
          <t>26340</t>
        </is>
      </c>
      <c r="G115" s="18" t="inlineStr">
        <is>
          <t>Psychologists (한국 표준 직종)</t>
        </is>
      </c>
      <c r="H115" s="17" t="inlineStr">
        <is>
          <t>23-1011.00</t>
        </is>
      </c>
      <c r="I115" s="18" t="inlineStr">
        <is>
          <t>Psychologists</t>
        </is>
      </c>
      <c r="J115" s="17" t="inlineStr">
        <is>
          <t>26340</t>
        </is>
      </c>
      <c r="K115" s="18" t="inlineStr">
        <is>
          <t>Psychologists (CZ-ISCO)</t>
        </is>
      </c>
      <c r="L115" s="18" t="inlineStr">
        <is>
          <t>Psychologists research into and study the mental processes and behaviour of human beings as individuals or in groups, and apply this knowledge to promote personal, social, educational or occupational adjustment and development.</t>
        </is>
      </c>
    </row>
    <row r="116">
      <c r="A116" s="15" t="inlineStr">
        <is>
          <t>2635</t>
        </is>
      </c>
      <c r="B116" s="16" t="inlineStr">
        <is>
          <t>Social Work and Counselling Professionals</t>
        </is>
      </c>
      <c r="C116" s="16" t="inlineStr">
        <is>
          <t>법률 / 지식재산권 / 변리</t>
        </is>
      </c>
      <c r="D116" s="15" t="inlineStr">
        <is>
          <t>05010101</t>
        </is>
      </c>
      <c r="E116" s="16" t="inlineStr">
        <is>
          <t>Social Work and Counselling Professionals 관련 국가직무</t>
        </is>
      </c>
      <c r="F116" s="15" t="inlineStr">
        <is>
          <t>26350</t>
        </is>
      </c>
      <c r="G116" s="16" t="inlineStr">
        <is>
          <t>Social Work and Counselling Professionals (한국 표준 직종)</t>
        </is>
      </c>
      <c r="H116" s="15" t="inlineStr">
        <is>
          <t>23-1011.00</t>
        </is>
      </c>
      <c r="I116" s="16" t="inlineStr">
        <is>
          <t>Social Work and Counselling Professionals</t>
        </is>
      </c>
      <c r="J116" s="15" t="inlineStr">
        <is>
          <t>26350</t>
        </is>
      </c>
      <c r="K116" s="16" t="inlineStr">
        <is>
          <t>Social Work and Counselling Professionals (CZ-ISCO)</t>
        </is>
      </c>
      <c r="L116" s="16" t="inlineStr">
        <is>
          <t xml:space="preserve">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t>
        </is>
      </c>
    </row>
    <row r="117">
      <c r="A117" s="17" t="inlineStr">
        <is>
          <t>2636</t>
        </is>
      </c>
      <c r="B117" s="18" t="inlineStr">
        <is>
          <t>Religious Professionals</t>
        </is>
      </c>
      <c r="C117" s="18" t="inlineStr">
        <is>
          <t>법률 / 지식재산권 / 변리</t>
        </is>
      </c>
      <c r="D117" s="17" t="inlineStr">
        <is>
          <t>05010101</t>
        </is>
      </c>
      <c r="E117" s="18" t="inlineStr">
        <is>
          <t>Religious Professionals 관련 국가직무</t>
        </is>
      </c>
      <c r="F117" s="17" t="inlineStr">
        <is>
          <t>26360</t>
        </is>
      </c>
      <c r="G117" s="18" t="inlineStr">
        <is>
          <t>Religious Professionals (한국 표준 직종)</t>
        </is>
      </c>
      <c r="H117" s="17" t="inlineStr">
        <is>
          <t>23-1011.00</t>
        </is>
      </c>
      <c r="I117" s="18" t="inlineStr">
        <is>
          <t>Religious Professionals</t>
        </is>
      </c>
      <c r="J117" s="17" t="inlineStr">
        <is>
          <t>26360</t>
        </is>
      </c>
      <c r="K117" s="18" t="inlineStr">
        <is>
          <t>Religious Professionals (CZ-ISCO)</t>
        </is>
      </c>
      <c r="L117" s="18"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t>
        </is>
      </c>
    </row>
    <row r="118">
      <c r="A118" s="15" t="inlineStr">
        <is>
          <t>2641</t>
        </is>
      </c>
      <c r="B118" s="16" t="inlineStr">
        <is>
          <t>Authors and Related Writers</t>
        </is>
      </c>
      <c r="C118" s="16" t="inlineStr">
        <is>
          <t>법률 / 지식재산권 / 변리</t>
        </is>
      </c>
      <c r="D118" s="15" t="inlineStr">
        <is>
          <t>05010101</t>
        </is>
      </c>
      <c r="E118" s="16" t="inlineStr">
        <is>
          <t>Authors and Related Writers 관련 국가직무</t>
        </is>
      </c>
      <c r="F118" s="15" t="inlineStr">
        <is>
          <t>26410</t>
        </is>
      </c>
      <c r="G118" s="16" t="inlineStr">
        <is>
          <t>Authors and Related Writers (한국 표준 직종)</t>
        </is>
      </c>
      <c r="H118" s="15" t="inlineStr">
        <is>
          <t>23-1011.00</t>
        </is>
      </c>
      <c r="I118" s="16" t="inlineStr">
        <is>
          <t>Authors and Related Writers</t>
        </is>
      </c>
      <c r="J118" s="15" t="inlineStr">
        <is>
          <t>26410</t>
        </is>
      </c>
      <c r="K118" s="16" t="inlineStr">
        <is>
          <t>Authors and Related Writers (CZ-ISCO)</t>
        </is>
      </c>
      <c r="L118" s="16" t="inlineStr">
        <is>
          <t>Authors and related writers plan, research and write books, scripts, storyboards, plays, essays, speeches, manuals, specifications and other non-journalistic articles (excluding material for newspapers, magazines and other periodicals) for publication or presentation.</t>
        </is>
      </c>
    </row>
    <row r="119">
      <c r="A119" s="17" t="inlineStr">
        <is>
          <t>2642</t>
        </is>
      </c>
      <c r="B119" s="18" t="inlineStr">
        <is>
          <t>Journalists</t>
        </is>
      </c>
      <c r="C119" s="18" t="inlineStr">
        <is>
          <t>법률 / 지식재산권 / 변리</t>
        </is>
      </c>
      <c r="D119" s="17" t="inlineStr">
        <is>
          <t>08020101</t>
        </is>
      </c>
      <c r="E119" s="18" t="inlineStr">
        <is>
          <t>Journalists 관련 국가직무</t>
        </is>
      </c>
      <c r="F119" s="17" t="inlineStr">
        <is>
          <t>26420</t>
        </is>
      </c>
      <c r="G119" s="18" t="inlineStr">
        <is>
          <t>Journalists (한국 표준 직종)</t>
        </is>
      </c>
      <c r="H119" s="17" t="inlineStr">
        <is>
          <t>23-1011.00</t>
        </is>
      </c>
      <c r="I119" s="18" t="inlineStr">
        <is>
          <t>Journalists</t>
        </is>
      </c>
      <c r="J119" s="17" t="inlineStr">
        <is>
          <t>26420</t>
        </is>
      </c>
      <c r="K119" s="18" t="inlineStr">
        <is>
          <t>Journalists (CZ-ISCO)</t>
        </is>
      </c>
      <c r="L119" s="18" t="inlineStr">
        <is>
          <t>Journalists research, investigate, interpret and communicate news and public affairs through newspapers, television, radio and other media.</t>
        </is>
      </c>
    </row>
    <row r="120">
      <c r="A120" s="15" t="inlineStr">
        <is>
          <t>2643</t>
        </is>
      </c>
      <c r="B120" s="16" t="inlineStr">
        <is>
          <t>Translators, Interpreters and Other Linguists</t>
        </is>
      </c>
      <c r="C120" s="16" t="inlineStr">
        <is>
          <t>법률 / 지식재산권 / 변리</t>
        </is>
      </c>
      <c r="D120" s="15" t="inlineStr">
        <is>
          <t>05010101</t>
        </is>
      </c>
      <c r="E120" s="16" t="inlineStr">
        <is>
          <t>Translators, Interpreters and Other Linguists 관련 국가직무</t>
        </is>
      </c>
      <c r="F120" s="15" t="inlineStr">
        <is>
          <t>26430</t>
        </is>
      </c>
      <c r="G120" s="16" t="inlineStr">
        <is>
          <t>Translators, Interpreters and Other Linguists (한국 표준 직종)</t>
        </is>
      </c>
      <c r="H120" s="15" t="inlineStr">
        <is>
          <t>23-1011.00</t>
        </is>
      </c>
      <c r="I120" s="16" t="inlineStr">
        <is>
          <t>Translators, Interpreters and Other Linguists</t>
        </is>
      </c>
      <c r="J120" s="15" t="inlineStr">
        <is>
          <t>26430</t>
        </is>
      </c>
      <c r="K120" s="16" t="inlineStr">
        <is>
          <t>Translators, Interpreters and Other Linguists (CZ-ISCO)</t>
        </is>
      </c>
      <c r="L120" s="16" t="inlineStr">
        <is>
          <t>Translators, interpreters and other linguists translate or interpret from one language into another and study the origin, development and structure of languages.</t>
        </is>
      </c>
    </row>
    <row r="121">
      <c r="A121" s="17" t="inlineStr">
        <is>
          <t>2651</t>
        </is>
      </c>
      <c r="B121" s="18" t="inlineStr">
        <is>
          <t>Visual Artists</t>
        </is>
      </c>
      <c r="C121" s="18" t="inlineStr">
        <is>
          <t>법률 / 지식재산권 / 변리</t>
        </is>
      </c>
      <c r="D121" s="17" t="inlineStr">
        <is>
          <t>05010101</t>
        </is>
      </c>
      <c r="E121" s="18" t="inlineStr">
        <is>
          <t>Visual Artists 관련 국가직무</t>
        </is>
      </c>
      <c r="F121" s="17" t="inlineStr">
        <is>
          <t>26510</t>
        </is>
      </c>
      <c r="G121" s="18" t="inlineStr">
        <is>
          <t>Visual Artists (한국 표준 직종)</t>
        </is>
      </c>
      <c r="H121" s="17" t="inlineStr">
        <is>
          <t>23-1011.00</t>
        </is>
      </c>
      <c r="I121" s="18" t="inlineStr">
        <is>
          <t>Visual Artists</t>
        </is>
      </c>
      <c r="J121" s="17" t="inlineStr">
        <is>
          <t>26510</t>
        </is>
      </c>
      <c r="K121" s="18" t="inlineStr">
        <is>
          <t>Visual Artists (CZ-ISCO)</t>
        </is>
      </c>
      <c r="L121" s="18" t="inlineStr">
        <is>
          <t>Visual artists create and execute works of art by sculpting, painting, drawing, creating cartoons, engraving or using other techniques.</t>
        </is>
      </c>
    </row>
    <row r="122">
      <c r="A122" s="15" t="inlineStr">
        <is>
          <t>2652</t>
        </is>
      </c>
      <c r="B122" s="16" t="inlineStr">
        <is>
          <t>Musicians, Singers and Composers</t>
        </is>
      </c>
      <c r="C122" s="16" t="inlineStr">
        <is>
          <t>법률 / 지식재산권 / 변리</t>
        </is>
      </c>
      <c r="D122" s="15" t="inlineStr">
        <is>
          <t>05010101</t>
        </is>
      </c>
      <c r="E122" s="16" t="inlineStr">
        <is>
          <t>Musicians, Singers and Composers 관련 국가직무</t>
        </is>
      </c>
      <c r="F122" s="15" t="inlineStr">
        <is>
          <t>26520</t>
        </is>
      </c>
      <c r="G122" s="16" t="inlineStr">
        <is>
          <t>Musicians, Singers and Composers (한국 표준 직종)</t>
        </is>
      </c>
      <c r="H122" s="15" t="inlineStr">
        <is>
          <t>23-1011.00</t>
        </is>
      </c>
      <c r="I122" s="16" t="inlineStr">
        <is>
          <t>Musicians, Singers and Composers</t>
        </is>
      </c>
      <c r="J122" s="15" t="inlineStr">
        <is>
          <t>26520</t>
        </is>
      </c>
      <c r="K122" s="16" t="inlineStr">
        <is>
          <t>Musicians, Singers and Composers (CZ-ISCO)</t>
        </is>
      </c>
      <c r="L122" s="16" t="inlineStr">
        <is>
          <t>Musicians, singers and composers write, arrange, conduct and perform musical compositions.</t>
        </is>
      </c>
    </row>
    <row r="123">
      <c r="A123" s="17" t="inlineStr">
        <is>
          <t>2653</t>
        </is>
      </c>
      <c r="B123" s="18" t="inlineStr">
        <is>
          <t>Dancers and Choreographers</t>
        </is>
      </c>
      <c r="C123" s="18" t="inlineStr">
        <is>
          <t>법률 / 지식재산권 / 변리</t>
        </is>
      </c>
      <c r="D123" s="17" t="inlineStr">
        <is>
          <t>05010101</t>
        </is>
      </c>
      <c r="E123" s="18" t="inlineStr">
        <is>
          <t>Dancers and Choreographers 관련 국가직무</t>
        </is>
      </c>
      <c r="F123" s="17" t="inlineStr">
        <is>
          <t>26530</t>
        </is>
      </c>
      <c r="G123" s="18" t="inlineStr">
        <is>
          <t>Dancers and Choreographers (한국 표준 직종)</t>
        </is>
      </c>
      <c r="H123" s="17" t="inlineStr">
        <is>
          <t>23-1011.00</t>
        </is>
      </c>
      <c r="I123" s="18" t="inlineStr">
        <is>
          <t>Dancers and Choreographers</t>
        </is>
      </c>
      <c r="J123" s="17" t="inlineStr">
        <is>
          <t>26530</t>
        </is>
      </c>
      <c r="K123" s="18" t="inlineStr">
        <is>
          <t>Dancers and Choreographers (CZ-ISCO)</t>
        </is>
      </c>
      <c r="L123" s="18" t="inlineStr">
        <is>
          <t>Dancers and choreographers conceive and create or perform dances.</t>
        </is>
      </c>
    </row>
    <row r="124">
      <c r="A124" s="15" t="inlineStr">
        <is>
          <t>2654</t>
        </is>
      </c>
      <c r="B124" s="16" t="inlineStr">
        <is>
          <t>Film, Stage and Related Directors and Producers</t>
        </is>
      </c>
      <c r="C124" s="16" t="inlineStr">
        <is>
          <t>법률 / 지식재산권 / 변리</t>
        </is>
      </c>
      <c r="D124" s="15" t="inlineStr">
        <is>
          <t>05010101</t>
        </is>
      </c>
      <c r="E124" s="16" t="inlineStr">
        <is>
          <t>Film, Stage and Related Directors and Producers 관련 국가직무</t>
        </is>
      </c>
      <c r="F124" s="15" t="inlineStr">
        <is>
          <t>26540</t>
        </is>
      </c>
      <c r="G124" s="16" t="inlineStr">
        <is>
          <t>Film, Stage and Related Directors and Producers (한국 표준 직종)</t>
        </is>
      </c>
      <c r="H124" s="15" t="inlineStr">
        <is>
          <t>23-1011.00</t>
        </is>
      </c>
      <c r="I124" s="16" t="inlineStr">
        <is>
          <t>Film, Stage and Related Directors and Producers</t>
        </is>
      </c>
      <c r="J124" s="15" t="inlineStr">
        <is>
          <t>26540</t>
        </is>
      </c>
      <c r="K124" s="16" t="inlineStr">
        <is>
          <t>Film, Stage and Related Directors and Producers (CZ-ISCO)</t>
        </is>
      </c>
      <c r="L124" s="16" t="inlineStr">
        <is>
          <t>Film, stage and related directors and producers oversee and control the technical and artistic aspects of motion pictures, television or radio productions and stage shows.</t>
        </is>
      </c>
    </row>
    <row r="125">
      <c r="A125" s="17" t="inlineStr">
        <is>
          <t>2655</t>
        </is>
      </c>
      <c r="B125" s="18" t="inlineStr">
        <is>
          <t>Actors</t>
        </is>
      </c>
      <c r="C125" s="18" t="inlineStr">
        <is>
          <t>법률 / 지식재산권 / 변리</t>
        </is>
      </c>
      <c r="D125" s="17" t="inlineStr">
        <is>
          <t>05010101</t>
        </is>
      </c>
      <c r="E125" s="18" t="inlineStr">
        <is>
          <t>Actors 관련 국가직무</t>
        </is>
      </c>
      <c r="F125" s="17" t="inlineStr">
        <is>
          <t>26550</t>
        </is>
      </c>
      <c r="G125" s="18" t="inlineStr">
        <is>
          <t>Actors (한국 표준 직종)</t>
        </is>
      </c>
      <c r="H125" s="17" t="inlineStr">
        <is>
          <t>23-1011.00</t>
        </is>
      </c>
      <c r="I125" s="18" t="inlineStr">
        <is>
          <t>Actors</t>
        </is>
      </c>
      <c r="J125" s="17" t="inlineStr">
        <is>
          <t>26550</t>
        </is>
      </c>
      <c r="K125" s="18" t="inlineStr">
        <is>
          <t>Actors (CZ-ISCO)</t>
        </is>
      </c>
      <c r="L125" s="18" t="inlineStr">
        <is>
          <t>Actors portray roles in motion pictures, television or radio productions and stage shows.</t>
        </is>
      </c>
    </row>
    <row r="126">
      <c r="A126" s="15" t="inlineStr">
        <is>
          <t>2656</t>
        </is>
      </c>
      <c r="B126" s="16" t="inlineStr">
        <is>
          <t>Announcers on Radio, Television and Other Media</t>
        </is>
      </c>
      <c r="C126" s="16" t="inlineStr">
        <is>
          <t>법률 / 지식재산권 / 변리</t>
        </is>
      </c>
      <c r="D126" s="15" t="inlineStr">
        <is>
          <t>05010101</t>
        </is>
      </c>
      <c r="E126" s="16" t="inlineStr">
        <is>
          <t>Announcers on Radio, Television and Other Media 관련 국가직무</t>
        </is>
      </c>
      <c r="F126" s="15" t="inlineStr">
        <is>
          <t>26560</t>
        </is>
      </c>
      <c r="G126" s="16" t="inlineStr">
        <is>
          <t>Announcers on Radio, Television and Other Media (한국 표준 직종)</t>
        </is>
      </c>
      <c r="H126" s="15" t="inlineStr">
        <is>
          <t>23-1011.00</t>
        </is>
      </c>
      <c r="I126" s="16" t="inlineStr">
        <is>
          <t>Announcers on Radio, Television and Other Media</t>
        </is>
      </c>
      <c r="J126" s="15" t="inlineStr">
        <is>
          <t>26560</t>
        </is>
      </c>
      <c r="K126" s="16" t="inlineStr">
        <is>
          <t>Announcers on Radio, Television and Other Media (CZ-ISCO)</t>
        </is>
      </c>
      <c r="L126" s="16" t="inlineStr">
        <is>
          <t>Announcers on radio, television and other media read news bulletins, conduct interviews, and make other announcements or introductions on radio, television, and in theatres and other establishments or media</t>
        </is>
      </c>
    </row>
    <row r="127">
      <c r="A127" s="17" t="inlineStr">
        <is>
          <t>2659</t>
        </is>
      </c>
      <c r="B127" s="18" t="inlineStr">
        <is>
          <t>Creative and Performing Artists Not Elsewhere Classified</t>
        </is>
      </c>
      <c r="C127" s="18" t="inlineStr">
        <is>
          <t>법률 / 지식재산권 / 변리</t>
        </is>
      </c>
      <c r="D127" s="17" t="inlineStr">
        <is>
          <t>05010101</t>
        </is>
      </c>
      <c r="E127" s="18" t="inlineStr">
        <is>
          <t>Creative and Performing Artists Not Elsewhere Classified 관련 국가직무</t>
        </is>
      </c>
      <c r="F127" s="17" t="inlineStr">
        <is>
          <t>26590</t>
        </is>
      </c>
      <c r="G127" s="18" t="inlineStr">
        <is>
          <t>Creative and Performing Artists Not Elsewhere Classified (한국 표준 직종)</t>
        </is>
      </c>
      <c r="H127" s="17" t="inlineStr">
        <is>
          <t>23-1011.00</t>
        </is>
      </c>
      <c r="I127" s="18" t="inlineStr">
        <is>
          <t>Creative and Performing Artists Not Elsewhere Classified</t>
        </is>
      </c>
      <c r="J127" s="17" t="inlineStr">
        <is>
          <t>26590</t>
        </is>
      </c>
      <c r="K127" s="18" t="inlineStr">
        <is>
          <t>Creative and Performing Artists Not Elsewhere Classified (CZ-ISCO)</t>
        </is>
      </c>
      <c r="L127" s="18" t="inlineStr">
        <is>
          <t>This unit group covers all creative and performing artists not classified elsewhere in Minor Group 265: Creative and Performing Artists. For instance, the group includes clowns, magicians, acrobats and other performing artists.</t>
        </is>
      </c>
    </row>
    <row r="128">
      <c r="A128" s="15" t="inlineStr">
        <is>
          <t>3111</t>
        </is>
      </c>
      <c r="B128" s="16" t="inlineStr">
        <is>
          <t>Chemical and Physical Science Technicians</t>
        </is>
      </c>
      <c r="C128" s="16" t="inlineStr">
        <is>
          <t>반도체 / 전자회로 / 하드웨어</t>
        </is>
      </c>
      <c r="D128" s="15" t="inlineStr">
        <is>
          <t>19010101</t>
        </is>
      </c>
      <c r="E128" s="16" t="inlineStr">
        <is>
          <t>Chemical and Physical Science Technicians 관련 국가직무</t>
        </is>
      </c>
      <c r="F128" s="15" t="inlineStr">
        <is>
          <t>31110</t>
        </is>
      </c>
      <c r="G128" s="16" t="inlineStr">
        <is>
          <t>Chemical and Physical Science Technicians (한국 표준 직종)</t>
        </is>
      </c>
      <c r="H128" s="15" t="inlineStr">
        <is>
          <t>17-3023.00</t>
        </is>
      </c>
      <c r="I128" s="16" t="inlineStr">
        <is>
          <t>Chemical and Physical Science Technicians</t>
        </is>
      </c>
      <c r="J128" s="15" t="inlineStr">
        <is>
          <t>31110</t>
        </is>
      </c>
      <c r="K128" s="16" t="inlineStr">
        <is>
          <t>Chemical and Physical Science Technicians (CZ-ISCO)</t>
        </is>
      </c>
      <c r="L128" s="16" t="inlineStr">
        <is>
          <t>Chemical and physical science technicians perform technical tasks to aid in research in chemistry, physics, geology, geophysics, meteorology and astronomy, and in the development of industrial, medical, military and other practical applications of research results.</t>
        </is>
      </c>
    </row>
    <row r="129">
      <c r="A129" s="17" t="inlineStr">
        <is>
          <t>3112</t>
        </is>
      </c>
      <c r="B129" s="18" t="inlineStr">
        <is>
          <t>Civil Engineering Technicians</t>
        </is>
      </c>
      <c r="C129" s="18" t="inlineStr">
        <is>
          <t>반도체 / 전자회로 / 하드웨어</t>
        </is>
      </c>
      <c r="D129" s="17" t="inlineStr">
        <is>
          <t>19010101</t>
        </is>
      </c>
      <c r="E129" s="18" t="inlineStr">
        <is>
          <t>Civil Engineering Technicians 관련 국가직무</t>
        </is>
      </c>
      <c r="F129" s="17" t="inlineStr">
        <is>
          <t>31120</t>
        </is>
      </c>
      <c r="G129" s="18" t="inlineStr">
        <is>
          <t>Civil Engineering Technicians (한국 표준 직종)</t>
        </is>
      </c>
      <c r="H129" s="17" t="inlineStr">
        <is>
          <t>17-3023.00</t>
        </is>
      </c>
      <c r="I129" s="18" t="inlineStr">
        <is>
          <t>Civil Engineering Technicians</t>
        </is>
      </c>
      <c r="J129" s="17" t="inlineStr">
        <is>
          <t>31120</t>
        </is>
      </c>
      <c r="K129" s="18" t="inlineStr">
        <is>
          <t>Civil Engineering Technicians (CZ-ISCO)</t>
        </is>
      </c>
      <c r="L129" s="18"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c>
    </row>
    <row r="130">
      <c r="A130" s="15" t="inlineStr">
        <is>
          <t>3113</t>
        </is>
      </c>
      <c r="B130" s="16" t="inlineStr">
        <is>
          <t>Electrical Engineering Technicians</t>
        </is>
      </c>
      <c r="C130" s="16" t="inlineStr">
        <is>
          <t>반도체 / 전자회로 / 하드웨어</t>
        </is>
      </c>
      <c r="D130" s="15" t="inlineStr">
        <is>
          <t>19010101</t>
        </is>
      </c>
      <c r="E130" s="16" t="inlineStr">
        <is>
          <t>Electrical Engineering Technicians 관련 국가직무</t>
        </is>
      </c>
      <c r="F130" s="15" t="inlineStr">
        <is>
          <t>31130</t>
        </is>
      </c>
      <c r="G130" s="16" t="inlineStr">
        <is>
          <t>Electrical Engineering Technicians (한국 표준 직종)</t>
        </is>
      </c>
      <c r="H130" s="15" t="inlineStr">
        <is>
          <t>17-3023.00</t>
        </is>
      </c>
      <c r="I130" s="16" t="inlineStr">
        <is>
          <t>Electrical Engineering Technicians</t>
        </is>
      </c>
      <c r="J130" s="15" t="inlineStr">
        <is>
          <t>31130</t>
        </is>
      </c>
      <c r="K130" s="16" t="inlineStr">
        <is>
          <t>Electrical Engineering Technicians (CZ-ISCO)</t>
        </is>
      </c>
      <c r="L130" s="16" t="inlineStr">
        <is>
          <t>Electrical engineering technicians perform technical tasks to aid in electrical engineering research and in the design, manufacture, assembly, construction, operation, maintenance and repair of electrical equipment, facilities and distribution systems.</t>
        </is>
      </c>
    </row>
    <row r="131">
      <c r="A131" s="17" t="inlineStr">
        <is>
          <t>3114</t>
        </is>
      </c>
      <c r="B131" s="18" t="inlineStr">
        <is>
          <t>Electronics Engineering Technicians</t>
        </is>
      </c>
      <c r="C131" s="18" t="inlineStr">
        <is>
          <t>반도체 / 전자회로 / 하드웨어</t>
        </is>
      </c>
      <c r="D131" s="17" t="inlineStr">
        <is>
          <t>19010101</t>
        </is>
      </c>
      <c r="E131" s="18" t="inlineStr">
        <is>
          <t>Electronics Engineering Technicians 관련 국가직무</t>
        </is>
      </c>
      <c r="F131" s="17" t="inlineStr">
        <is>
          <t>31140</t>
        </is>
      </c>
      <c r="G131" s="18" t="inlineStr">
        <is>
          <t>Electronics Engineering Technicians (한국 표준 직종)</t>
        </is>
      </c>
      <c r="H131" s="17" t="inlineStr">
        <is>
          <t>17-3023.00</t>
        </is>
      </c>
      <c r="I131" s="18" t="inlineStr">
        <is>
          <t>Electronics Engineering Technicians</t>
        </is>
      </c>
      <c r="J131" s="17" t="inlineStr">
        <is>
          <t>31140</t>
        </is>
      </c>
      <c r="K131" s="18" t="inlineStr">
        <is>
          <t>Electronics Engineering Technicians (CZ-ISCO)</t>
        </is>
      </c>
      <c r="L131" s="18" t="inlineStr">
        <is>
          <t>Electronics engineering technicians perform technical tasks to aid in electronic research and in the design, manufacture, assembly, construction, operation, maintenance and repair of electronic equipment.</t>
        </is>
      </c>
    </row>
    <row r="132">
      <c r="A132" s="15" t="inlineStr">
        <is>
          <t>3115</t>
        </is>
      </c>
      <c r="B132" s="16" t="inlineStr">
        <is>
          <t>Mechanical Engineering Technicians</t>
        </is>
      </c>
      <c r="C132" s="16" t="inlineStr">
        <is>
          <t>반도체 / 전자회로 / 하드웨어</t>
        </is>
      </c>
      <c r="D132" s="15" t="inlineStr">
        <is>
          <t>19010101</t>
        </is>
      </c>
      <c r="E132" s="16" t="inlineStr">
        <is>
          <t>Mechanical Engineering Technicians 관련 국가직무</t>
        </is>
      </c>
      <c r="F132" s="15" t="inlineStr">
        <is>
          <t>31150</t>
        </is>
      </c>
      <c r="G132" s="16" t="inlineStr">
        <is>
          <t>Mechanical Engineering Technicians (한국 표준 직종)</t>
        </is>
      </c>
      <c r="H132" s="15" t="inlineStr">
        <is>
          <t>17-3023.00</t>
        </is>
      </c>
      <c r="I132" s="16" t="inlineStr">
        <is>
          <t>Mechanical Engineering Technicians</t>
        </is>
      </c>
      <c r="J132" s="15" t="inlineStr">
        <is>
          <t>31150</t>
        </is>
      </c>
      <c r="K132" s="16" t="inlineStr">
        <is>
          <t>Mechanical Engineering Technicians (CZ-ISCO)</t>
        </is>
      </c>
      <c r="L132" s="16" t="inlineStr">
        <is>
          <t>Mechanical engineering technicians perform technical tasks to aid in mechanical engineering research, and in the design, manufacture, assembly, construction, operation, maintenance and repair of machines, components and mechanical equipment.</t>
        </is>
      </c>
    </row>
    <row r="133">
      <c r="A133" s="17" t="inlineStr">
        <is>
          <t>3116</t>
        </is>
      </c>
      <c r="B133" s="18" t="inlineStr">
        <is>
          <t>Chemical Engineering Technicians</t>
        </is>
      </c>
      <c r="C133" s="18" t="inlineStr">
        <is>
          <t>반도체 / 전자회로 / 하드웨어</t>
        </is>
      </c>
      <c r="D133" s="17" t="inlineStr">
        <is>
          <t>19010101</t>
        </is>
      </c>
      <c r="E133" s="18" t="inlineStr">
        <is>
          <t>Chemical Engineering Technicians 관련 국가직무</t>
        </is>
      </c>
      <c r="F133" s="17" t="inlineStr">
        <is>
          <t>31160</t>
        </is>
      </c>
      <c r="G133" s="18" t="inlineStr">
        <is>
          <t>Chemical Engineering Technicians (한국 표준 직종)</t>
        </is>
      </c>
      <c r="H133" s="17" t="inlineStr">
        <is>
          <t>17-3023.00</t>
        </is>
      </c>
      <c r="I133" s="18" t="inlineStr">
        <is>
          <t>Chemical Engineering Technicians</t>
        </is>
      </c>
      <c r="J133" s="17" t="inlineStr">
        <is>
          <t>31160</t>
        </is>
      </c>
      <c r="K133" s="18" t="inlineStr">
        <is>
          <t>Chemical Engineering Technicians (CZ-ISCO)</t>
        </is>
      </c>
      <c r="L133" s="18" t="inlineStr">
        <is>
          <t>Chemical engineering technicians perform technical tasks to aid in chemical engineering research and in the design, manufacture, construction, operation, maintenance and repair of chemical plant.</t>
        </is>
      </c>
    </row>
    <row r="134">
      <c r="A134" s="15" t="inlineStr">
        <is>
          <t>3117</t>
        </is>
      </c>
      <c r="B134" s="16" t="inlineStr">
        <is>
          <t>Mining and metallurgical technicians</t>
        </is>
      </c>
      <c r="C134" s="16" t="inlineStr">
        <is>
          <t>반도체 / 전자회로 / 하드웨어</t>
        </is>
      </c>
      <c r="D134" s="15" t="inlineStr">
        <is>
          <t>19010101</t>
        </is>
      </c>
      <c r="E134" s="16" t="inlineStr">
        <is>
          <t>Mining and metallurgical technicians 관련 국가직무</t>
        </is>
      </c>
      <c r="F134" s="15" t="inlineStr">
        <is>
          <t>31170</t>
        </is>
      </c>
      <c r="G134" s="16" t="inlineStr">
        <is>
          <t>Mining and metallurgical technicians (한국 표준 직종)</t>
        </is>
      </c>
      <c r="H134" s="15" t="inlineStr">
        <is>
          <t>17-3023.00</t>
        </is>
      </c>
      <c r="I134" s="16" t="inlineStr">
        <is>
          <t>Mining and metallurgical technicians</t>
        </is>
      </c>
      <c r="J134" s="15" t="inlineStr">
        <is>
          <t>31170</t>
        </is>
      </c>
      <c r="K134" s="16" t="inlineStr">
        <is>
          <t>Mining and metallurgical technicians (CZ-ISCO)</t>
        </is>
      </c>
      <c r="L134" s="16"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t>
        </is>
      </c>
    </row>
    <row r="135">
      <c r="A135" s="17" t="inlineStr">
        <is>
          <t>3118</t>
        </is>
      </c>
      <c r="B135" s="18" t="inlineStr">
        <is>
          <t>Draughtspersons</t>
        </is>
      </c>
      <c r="C135" s="18" t="inlineStr">
        <is>
          <t>반도체 / 전자회로 / 하드웨어</t>
        </is>
      </c>
      <c r="D135" s="17" t="inlineStr">
        <is>
          <t>19010101</t>
        </is>
      </c>
      <c r="E135" s="18" t="inlineStr">
        <is>
          <t>Draughtspersons 관련 국가직무</t>
        </is>
      </c>
      <c r="F135" s="17" t="inlineStr">
        <is>
          <t>31180</t>
        </is>
      </c>
      <c r="G135" s="18" t="inlineStr">
        <is>
          <t>Draughtspersons (한국 표준 직종)</t>
        </is>
      </c>
      <c r="H135" s="17" t="inlineStr">
        <is>
          <t>17-3023.00</t>
        </is>
      </c>
      <c r="I135" s="18" t="inlineStr">
        <is>
          <t>Draughtspersons</t>
        </is>
      </c>
      <c r="J135" s="17" t="inlineStr">
        <is>
          <t>31180</t>
        </is>
      </c>
      <c r="K135" s="18" t="inlineStr">
        <is>
          <t>Draughtspersons (CZ-ISCO)</t>
        </is>
      </c>
      <c r="L135" s="18" t="inlineStr">
        <is>
          <t>Draughtspersons prepare technical drawings, maps and illustrations from sketches, measurements 	and other data, and copy final drawings and paintings onto printing plates.</t>
        </is>
      </c>
    </row>
    <row r="136">
      <c r="A136" s="15" t="inlineStr">
        <is>
          <t>3119</t>
        </is>
      </c>
      <c r="B136" s="16" t="inlineStr">
        <is>
          <t>Physical and Engineering Science Technicians Not Elsewhere Classified</t>
        </is>
      </c>
      <c r="C136" s="16" t="inlineStr">
        <is>
          <t>반도체 / 전자회로 / 하드웨어</t>
        </is>
      </c>
      <c r="D136" s="15" t="inlineStr">
        <is>
          <t>19010101</t>
        </is>
      </c>
      <c r="E136" s="16" t="inlineStr">
        <is>
          <t>Physical and Engineering Science Technicians Not Elsewhere Classified 관련 국가직무</t>
        </is>
      </c>
      <c r="F136" s="15" t="inlineStr">
        <is>
          <t>31190</t>
        </is>
      </c>
      <c r="G136" s="16" t="inlineStr">
        <is>
          <t>Physical and Engineering Science Technicians Not Elsewhere Classified (한국 표준 직종)</t>
        </is>
      </c>
      <c r="H136" s="15" t="inlineStr">
        <is>
          <t>17-3023.00</t>
        </is>
      </c>
      <c r="I136" s="16" t="inlineStr">
        <is>
          <t>Physical and Engineering Science Technicians Not Elsewhere Classified</t>
        </is>
      </c>
      <c r="J136" s="15" t="inlineStr">
        <is>
          <t>31190</t>
        </is>
      </c>
      <c r="K136" s="16" t="inlineStr">
        <is>
          <t>Physical and Engineering Science Technicians Not Elsewhere Classified (CZ-ISCO)</t>
        </is>
      </c>
      <c r="L136" s="16"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t>
        </is>
      </c>
    </row>
    <row r="137">
      <c r="A137" s="17" t="inlineStr">
        <is>
          <t>3121</t>
        </is>
      </c>
      <c r="B137" s="18" t="inlineStr">
        <is>
          <t>Mining Supervisors</t>
        </is>
      </c>
      <c r="C137" s="18" t="inlineStr">
        <is>
          <t>반도체 / 전자회로 / 하드웨어</t>
        </is>
      </c>
      <c r="D137" s="17" t="inlineStr">
        <is>
          <t>19010101</t>
        </is>
      </c>
      <c r="E137" s="18" t="inlineStr">
        <is>
          <t>Mining Supervisors 관련 국가직무</t>
        </is>
      </c>
      <c r="F137" s="17" t="inlineStr">
        <is>
          <t>31210</t>
        </is>
      </c>
      <c r="G137" s="18" t="inlineStr">
        <is>
          <t>Mining Supervisors (한국 표준 직종)</t>
        </is>
      </c>
      <c r="H137" s="17" t="inlineStr">
        <is>
          <t>17-3023.00</t>
        </is>
      </c>
      <c r="I137" s="18" t="inlineStr">
        <is>
          <t>Mining Supervisors</t>
        </is>
      </c>
      <c r="J137" s="17" t="inlineStr">
        <is>
          <t>31210</t>
        </is>
      </c>
      <c r="K137" s="18" t="inlineStr">
        <is>
          <t>Mining Supervisors (CZ-ISCO)</t>
        </is>
      </c>
      <c r="L137" s="18" t="inlineStr">
        <is>
          <t>Mining supervisors oversee mining and quarrying operations and directly supervise and coordinate the activities of miners working in underground and surface mines and quarries.</t>
        </is>
      </c>
    </row>
    <row r="138">
      <c r="A138" s="15" t="inlineStr">
        <is>
          <t>3122</t>
        </is>
      </c>
      <c r="B138" s="16" t="inlineStr">
        <is>
          <t>Manufacturing Supervisors</t>
        </is>
      </c>
      <c r="C138" s="16" t="inlineStr">
        <is>
          <t>반도체 / 전자회로 / 하드웨어</t>
        </is>
      </c>
      <c r="D138" s="15" t="inlineStr">
        <is>
          <t>19010101</t>
        </is>
      </c>
      <c r="E138" s="16" t="inlineStr">
        <is>
          <t>Manufacturing Supervisors 관련 국가직무</t>
        </is>
      </c>
      <c r="F138" s="15" t="inlineStr">
        <is>
          <t>31220</t>
        </is>
      </c>
      <c r="G138" s="16" t="inlineStr">
        <is>
          <t>Manufacturing Supervisors (한국 표준 직종)</t>
        </is>
      </c>
      <c r="H138" s="15" t="inlineStr">
        <is>
          <t>17-3023.00</t>
        </is>
      </c>
      <c r="I138" s="16" t="inlineStr">
        <is>
          <t>Manufacturing Supervisors</t>
        </is>
      </c>
      <c r="J138" s="15" t="inlineStr">
        <is>
          <t>31220</t>
        </is>
      </c>
      <c r="K138" s="16" t="inlineStr">
        <is>
          <t>Manufacturing Supervisors (CZ-ISCO)</t>
        </is>
      </c>
      <c r="L138" s="16" t="inlineStr">
        <is>
          <t>Manufacturing supervisors coordinate and supervise the activities of process control technicians, machine operators, assemblers and other manufacturing labourers.</t>
        </is>
      </c>
    </row>
    <row r="139">
      <c r="A139" s="17" t="inlineStr">
        <is>
          <t>3123</t>
        </is>
      </c>
      <c r="B139" s="18" t="inlineStr">
        <is>
          <t>Construction Supervisors</t>
        </is>
      </c>
      <c r="C139" s="18" t="inlineStr">
        <is>
          <t>반도체 / 전자회로 / 하드웨어</t>
        </is>
      </c>
      <c r="D139" s="17" t="inlineStr">
        <is>
          <t>19010101</t>
        </is>
      </c>
      <c r="E139" s="18" t="inlineStr">
        <is>
          <t>Construction Supervisors 관련 국가직무</t>
        </is>
      </c>
      <c r="F139" s="17" t="inlineStr">
        <is>
          <t>31230</t>
        </is>
      </c>
      <c r="G139" s="18" t="inlineStr">
        <is>
          <t>Construction Supervisors (한국 표준 직종)</t>
        </is>
      </c>
      <c r="H139" s="17" t="inlineStr">
        <is>
          <t>17-3023.00</t>
        </is>
      </c>
      <c r="I139" s="18" t="inlineStr">
        <is>
          <t>Construction Supervisors</t>
        </is>
      </c>
      <c r="J139" s="17" t="inlineStr">
        <is>
          <t>31230</t>
        </is>
      </c>
      <c r="K139" s="18" t="inlineStr">
        <is>
          <t>Construction Supervisors (CZ-ISCO)</t>
        </is>
      </c>
      <c r="L139" s="18" t="inlineStr">
        <is>
          <t>Construction supervisors, coordinate, supervise and schedule the activities of workers engaged in the construction and repair of buildings and structures.</t>
        </is>
      </c>
    </row>
    <row r="140">
      <c r="A140" s="15" t="inlineStr">
        <is>
          <t>3131</t>
        </is>
      </c>
      <c r="B140" s="16" t="inlineStr">
        <is>
          <t>Power Production Plant Operators</t>
        </is>
      </c>
      <c r="C140" s="16" t="inlineStr">
        <is>
          <t>반도체 / 전자회로 / 하드웨어</t>
        </is>
      </c>
      <c r="D140" s="15" t="inlineStr">
        <is>
          <t>19010101</t>
        </is>
      </c>
      <c r="E140" s="16" t="inlineStr">
        <is>
          <t>Power Production Plant Operators 관련 국가직무</t>
        </is>
      </c>
      <c r="F140" s="15" t="inlineStr">
        <is>
          <t>31310</t>
        </is>
      </c>
      <c r="G140" s="16" t="inlineStr">
        <is>
          <t>Power Production Plant Operators (한국 표준 직종)</t>
        </is>
      </c>
      <c r="H140" s="15" t="inlineStr">
        <is>
          <t>17-3023.00</t>
        </is>
      </c>
      <c r="I140" s="16" t="inlineStr">
        <is>
          <t>Power Production Plant Operators</t>
        </is>
      </c>
      <c r="J140" s="15" t="inlineStr">
        <is>
          <t>31310</t>
        </is>
      </c>
      <c r="K140" s="16" t="inlineStr">
        <is>
          <t>Power Production Plant Operators (CZ-ISCO)</t>
        </is>
      </c>
      <c r="L140" s="16"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t>
        </is>
      </c>
    </row>
    <row r="141">
      <c r="A141" s="17" t="inlineStr">
        <is>
          <t>3132</t>
        </is>
      </c>
      <c r="B141" s="18" t="inlineStr">
        <is>
          <t>Incinerator and Water Treatment Plant Operators</t>
        </is>
      </c>
      <c r="C141" s="18" t="inlineStr">
        <is>
          <t>반도체 / 전자회로 / 하드웨어</t>
        </is>
      </c>
      <c r="D141" s="17" t="inlineStr">
        <is>
          <t>19010101</t>
        </is>
      </c>
      <c r="E141" s="18" t="inlineStr">
        <is>
          <t>Incinerator and Water Treatment Plant Operators 관련 국가직무</t>
        </is>
      </c>
      <c r="F141" s="17" t="inlineStr">
        <is>
          <t>31320</t>
        </is>
      </c>
      <c r="G141" s="18" t="inlineStr">
        <is>
          <t>Incinerator and Water Treatment Plant Operators (한국 표준 직종)</t>
        </is>
      </c>
      <c r="H141" s="17" t="inlineStr">
        <is>
          <t>17-3023.00</t>
        </is>
      </c>
      <c r="I141" s="18" t="inlineStr">
        <is>
          <t>Incinerator and Water Treatment Plant Operators</t>
        </is>
      </c>
      <c r="J141" s="17" t="inlineStr">
        <is>
          <t>31320</t>
        </is>
      </c>
      <c r="K141" s="18" t="inlineStr">
        <is>
          <t>Incinerator and Water Treatment Plant Operators (CZ-ISCO)</t>
        </is>
      </c>
      <c r="L141" s="18"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t>
        </is>
      </c>
    </row>
    <row r="142">
      <c r="A142" s="15" t="inlineStr">
        <is>
          <t>3133</t>
        </is>
      </c>
      <c r="B142" s="16" t="inlineStr">
        <is>
          <t>Chemical Processing Plant Controllers</t>
        </is>
      </c>
      <c r="C142" s="16" t="inlineStr">
        <is>
          <t>반도체 / 전자회로 / 하드웨어</t>
        </is>
      </c>
      <c r="D142" s="15" t="inlineStr">
        <is>
          <t>19010101</t>
        </is>
      </c>
      <c r="E142" s="16" t="inlineStr">
        <is>
          <t>Chemical Processing Plant Controllers 관련 국가직무</t>
        </is>
      </c>
      <c r="F142" s="15" t="inlineStr">
        <is>
          <t>31330</t>
        </is>
      </c>
      <c r="G142" s="16" t="inlineStr">
        <is>
          <t>Chemical Processing Plant Controllers (한국 표준 직종)</t>
        </is>
      </c>
      <c r="H142" s="15" t="inlineStr">
        <is>
          <t>17-3023.00</t>
        </is>
      </c>
      <c r="I142" s="16" t="inlineStr">
        <is>
          <t>Chemical Processing Plant Controllers</t>
        </is>
      </c>
      <c r="J142" s="15" t="inlineStr">
        <is>
          <t>31330</t>
        </is>
      </c>
      <c r="K142" s="16" t="inlineStr">
        <is>
          <t>Chemical Processing Plant Controllers (CZ-ISCO)</t>
        </is>
      </c>
      <c r="L142" s="16" t="inlineStr">
        <is>
          <t>Chemical processing plant controllers operate and monitor chemical plants and related multi-function process control machinery, and adjust and maintain processing units and equipment which distil, filter, separate, heat or refine chemicals.</t>
        </is>
      </c>
    </row>
    <row r="143">
      <c r="A143" s="17" t="inlineStr">
        <is>
          <t>3134</t>
        </is>
      </c>
      <c r="B143" s="18" t="inlineStr">
        <is>
          <t>Petroleum and Natural Gas Refining Plant Operators</t>
        </is>
      </c>
      <c r="C143" s="18" t="inlineStr">
        <is>
          <t>반도체 / 전자회로 / 하드웨어</t>
        </is>
      </c>
      <c r="D143" s="17" t="inlineStr">
        <is>
          <t>19010101</t>
        </is>
      </c>
      <c r="E143" s="18" t="inlineStr">
        <is>
          <t>Petroleum and Natural Gas Refining Plant Operators 관련 국가직무</t>
        </is>
      </c>
      <c r="F143" s="17" t="inlineStr">
        <is>
          <t>31340</t>
        </is>
      </c>
      <c r="G143" s="18" t="inlineStr">
        <is>
          <t>Petroleum and Natural Gas Refining Plant Operators (한국 표준 직종)</t>
        </is>
      </c>
      <c r="H143" s="17" t="inlineStr">
        <is>
          <t>17-3023.00</t>
        </is>
      </c>
      <c r="I143" s="18" t="inlineStr">
        <is>
          <t>Petroleum and Natural Gas Refining Plant Operators</t>
        </is>
      </c>
      <c r="J143" s="17" t="inlineStr">
        <is>
          <t>31340</t>
        </is>
      </c>
      <c r="K143" s="18" t="inlineStr">
        <is>
          <t>Petroleum and Natural Gas Refining Plant Operators (CZ-ISCO)</t>
        </is>
      </c>
      <c r="L143" s="18" t="inlineStr">
        <is>
          <t>Petroleum and natural gas refining plant operators operate and monitor plants and adjust and maintain processing units and equipment which refine, distil and treat petroleum, petroleum-based products and by-products, or natural gas.</t>
        </is>
      </c>
    </row>
    <row r="144">
      <c r="A144" s="15" t="inlineStr">
        <is>
          <t>3135</t>
        </is>
      </c>
      <c r="B144" s="16" t="inlineStr">
        <is>
          <t>Metal Production Process Controllers</t>
        </is>
      </c>
      <c r="C144" s="16" t="inlineStr">
        <is>
          <t>반도체 / 전자회로 / 하드웨어</t>
        </is>
      </c>
      <c r="D144" s="15" t="inlineStr">
        <is>
          <t>19010101</t>
        </is>
      </c>
      <c r="E144" s="16" t="inlineStr">
        <is>
          <t>Metal Production Process Controllers 관련 국가직무</t>
        </is>
      </c>
      <c r="F144" s="15" t="inlineStr">
        <is>
          <t>31350</t>
        </is>
      </c>
      <c r="G144" s="16" t="inlineStr">
        <is>
          <t>Metal Production Process Controllers (한국 표준 직종)</t>
        </is>
      </c>
      <c r="H144" s="15" t="inlineStr">
        <is>
          <t>17-3023.00</t>
        </is>
      </c>
      <c r="I144" s="16" t="inlineStr">
        <is>
          <t>Metal Production Process Controllers</t>
        </is>
      </c>
      <c r="J144" s="15" t="inlineStr">
        <is>
          <t>31350</t>
        </is>
      </c>
      <c r="K144" s="16" t="inlineStr">
        <is>
          <t>Metal Production Process Controllers (CZ-ISCO)</t>
        </is>
      </c>
      <c r="L144" s="16" t="inlineStr">
        <is>
          <t>Metal production process controllers operate and monitor multi-function process control machinery and equipment to control the processing of metal converting and refining furnaces, metal-rolling mills, metal heat-treating or metal-extrusion plant.</t>
        </is>
      </c>
    </row>
    <row r="145">
      <c r="A145" s="17" t="inlineStr">
        <is>
          <t>3139</t>
        </is>
      </c>
      <c r="B145" s="18" t="inlineStr">
        <is>
          <t>Process Control Technicians Not Elsewhere Classified</t>
        </is>
      </c>
      <c r="C145" s="18" t="inlineStr">
        <is>
          <t>반도체 / 전자회로 / 하드웨어</t>
        </is>
      </c>
      <c r="D145" s="17" t="inlineStr">
        <is>
          <t>19010101</t>
        </is>
      </c>
      <c r="E145" s="18" t="inlineStr">
        <is>
          <t>Process Control Technicians Not Elsewhere Classified 관련 국가직무</t>
        </is>
      </c>
      <c r="F145" s="17" t="inlineStr">
        <is>
          <t>31390</t>
        </is>
      </c>
      <c r="G145" s="18" t="inlineStr">
        <is>
          <t>Process Control Technicians Not Elsewhere Classified (한국 표준 직종)</t>
        </is>
      </c>
      <c r="H145" s="17" t="inlineStr">
        <is>
          <t>17-3023.00</t>
        </is>
      </c>
      <c r="I145" s="18" t="inlineStr">
        <is>
          <t>Process Control Technicians Not Elsewhere Classified</t>
        </is>
      </c>
      <c r="J145" s="17" t="inlineStr">
        <is>
          <t>31390</t>
        </is>
      </c>
      <c r="K145" s="18" t="inlineStr">
        <is>
          <t>Process Control Technicians Not Elsewhere Classified (CZ-ISCO)</t>
        </is>
      </c>
      <c r="L145" s="18"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c>
    </row>
    <row r="146">
      <c r="A146" s="15" t="inlineStr">
        <is>
          <t>3141</t>
        </is>
      </c>
      <c r="B146" s="16" t="inlineStr">
        <is>
          <t>Life Science Technicians (excluding Medical)</t>
        </is>
      </c>
      <c r="C146" s="16" t="inlineStr">
        <is>
          <t>반도체 / 전자회로 / 하드웨어</t>
        </is>
      </c>
      <c r="D146" s="15" t="inlineStr">
        <is>
          <t>19010101</t>
        </is>
      </c>
      <c r="E146" s="16" t="inlineStr">
        <is>
          <t>Life Science Technicians (excluding Medical) 관련 국가직무</t>
        </is>
      </c>
      <c r="F146" s="15" t="inlineStr">
        <is>
          <t>31410</t>
        </is>
      </c>
      <c r="G146" s="16" t="inlineStr">
        <is>
          <t>Life Science Technicians (excluding Medical) (한국 표준 직종)</t>
        </is>
      </c>
      <c r="H146" s="15" t="inlineStr">
        <is>
          <t>17-3023.00</t>
        </is>
      </c>
      <c r="I146" s="16" t="inlineStr">
        <is>
          <t>Life Science Technicians (excluding Medical)</t>
        </is>
      </c>
      <c r="J146" s="15" t="inlineStr">
        <is>
          <t>31410</t>
        </is>
      </c>
      <c r="K146" s="16" t="inlineStr">
        <is>
          <t>Life Science Technicians (excluding Medical) (CZ-ISCO)</t>
        </is>
      </c>
      <c r="L146" s="16"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t>
        </is>
      </c>
    </row>
    <row r="147">
      <c r="A147" s="17" t="inlineStr">
        <is>
          <t>3142</t>
        </is>
      </c>
      <c r="B147" s="18" t="inlineStr">
        <is>
          <t>Agricultural Technicians</t>
        </is>
      </c>
      <c r="C147" s="18" t="inlineStr">
        <is>
          <t>반도체 / 전자회로 / 하드웨어</t>
        </is>
      </c>
      <c r="D147" s="17" t="inlineStr">
        <is>
          <t>19010101</t>
        </is>
      </c>
      <c r="E147" s="18" t="inlineStr">
        <is>
          <t>Agricultural Technicians 관련 국가직무</t>
        </is>
      </c>
      <c r="F147" s="17" t="inlineStr">
        <is>
          <t>31420</t>
        </is>
      </c>
      <c r="G147" s="18" t="inlineStr">
        <is>
          <t>Agricultural Technicians (한국 표준 직종)</t>
        </is>
      </c>
      <c r="H147" s="17" t="inlineStr">
        <is>
          <t>17-3023.00</t>
        </is>
      </c>
      <c r="I147" s="18" t="inlineStr">
        <is>
          <t>Agricultural Technicians</t>
        </is>
      </c>
      <c r="J147" s="17" t="inlineStr">
        <is>
          <t>31420</t>
        </is>
      </c>
      <c r="K147" s="18" t="inlineStr">
        <is>
          <t>Agricultural Technicians (CZ-ISCO)</t>
        </is>
      </c>
      <c r="L147" s="18" t="inlineStr">
        <is>
          <t>Agricultural technicians perform tests and experiments, and provide technical and scientific support to agricultural scientists, farmers and farm managers.</t>
        </is>
      </c>
    </row>
    <row r="148">
      <c r="A148" s="15" t="inlineStr">
        <is>
          <t>3143</t>
        </is>
      </c>
      <c r="B148" s="16" t="inlineStr">
        <is>
          <t>Forestry Technicians</t>
        </is>
      </c>
      <c r="C148" s="16" t="inlineStr">
        <is>
          <t>반도체 / 전자회로 / 하드웨어</t>
        </is>
      </c>
      <c r="D148" s="15" t="inlineStr">
        <is>
          <t>19010101</t>
        </is>
      </c>
      <c r="E148" s="16" t="inlineStr">
        <is>
          <t>Forestry Technicians 관련 국가직무</t>
        </is>
      </c>
      <c r="F148" s="15" t="inlineStr">
        <is>
          <t>31430</t>
        </is>
      </c>
      <c r="G148" s="16" t="inlineStr">
        <is>
          <t>Forestry Technicians (한국 표준 직종)</t>
        </is>
      </c>
      <c r="H148" s="15" t="inlineStr">
        <is>
          <t>17-3023.00</t>
        </is>
      </c>
      <c r="I148" s="16" t="inlineStr">
        <is>
          <t>Forestry Technicians</t>
        </is>
      </c>
      <c r="J148" s="15" t="inlineStr">
        <is>
          <t>31430</t>
        </is>
      </c>
      <c r="K148" s="16" t="inlineStr">
        <is>
          <t>Forestry Technicians (CZ-ISCO)</t>
        </is>
      </c>
      <c r="L148" s="16" t="inlineStr">
        <is>
          <t>Forestry technicians perform technical and supervisory functions in support of forestry research and forest management, harvesting, resource conservation and environmental protection.</t>
        </is>
      </c>
    </row>
    <row r="149">
      <c r="A149" s="17" t="inlineStr">
        <is>
          <t>3151</t>
        </is>
      </c>
      <c r="B149" s="18" t="inlineStr">
        <is>
          <t>Ships' Engineers</t>
        </is>
      </c>
      <c r="C149" s="18" t="inlineStr">
        <is>
          <t>반도체 / 전자회로 / 하드웨어</t>
        </is>
      </c>
      <c r="D149" s="17" t="inlineStr">
        <is>
          <t>19010101</t>
        </is>
      </c>
      <c r="E149" s="18" t="inlineStr">
        <is>
          <t>Ships' Engineers 관련 국가직무</t>
        </is>
      </c>
      <c r="F149" s="17" t="inlineStr">
        <is>
          <t>31510</t>
        </is>
      </c>
      <c r="G149" s="18" t="inlineStr">
        <is>
          <t>Ships' Engineers (한국 표준 직종)</t>
        </is>
      </c>
      <c r="H149" s="17" t="inlineStr">
        <is>
          <t>17-3023.00</t>
        </is>
      </c>
      <c r="I149" s="18" t="inlineStr">
        <is>
          <t>Ships' Engineers</t>
        </is>
      </c>
      <c r="J149" s="17" t="inlineStr">
        <is>
          <t>31510</t>
        </is>
      </c>
      <c r="K149" s="18" t="inlineStr">
        <is>
          <t>Ships' Engineers (CZ-ISCO)</t>
        </is>
      </c>
      <c r="L149" s="18" t="inlineStr">
        <is>
          <t>Ships’ engineers control and participate in the operation, maintenance and repair of mechanical, electrical and electronic equipment and machinery on board ship, or perform related supporting functions on shore.</t>
        </is>
      </c>
    </row>
    <row r="150">
      <c r="A150" s="15" t="inlineStr">
        <is>
          <t>3152</t>
        </is>
      </c>
      <c r="B150" s="16" t="inlineStr">
        <is>
          <t>Ships' Deck Officers and Pilots</t>
        </is>
      </c>
      <c r="C150" s="16" t="inlineStr">
        <is>
          <t>반도체 / 전자회로 / 하드웨어</t>
        </is>
      </c>
      <c r="D150" s="15" t="inlineStr">
        <is>
          <t>19010101</t>
        </is>
      </c>
      <c r="E150" s="16" t="inlineStr">
        <is>
          <t>Ships' Deck Officers and Pilots 관련 국가직무</t>
        </is>
      </c>
      <c r="F150" s="15" t="inlineStr">
        <is>
          <t>31520</t>
        </is>
      </c>
      <c r="G150" s="16" t="inlineStr">
        <is>
          <t>Ships' Deck Officers and Pilots (한국 표준 직종)</t>
        </is>
      </c>
      <c r="H150" s="15" t="inlineStr">
        <is>
          <t>17-3023.00</t>
        </is>
      </c>
      <c r="I150" s="16" t="inlineStr">
        <is>
          <t>Ships' Deck Officers and Pilots</t>
        </is>
      </c>
      <c r="J150" s="15" t="inlineStr">
        <is>
          <t>31520</t>
        </is>
      </c>
      <c r="K150" s="16" t="inlineStr">
        <is>
          <t>Ships' Deck Officers and Pilots (CZ-ISCO)</t>
        </is>
      </c>
      <c r="L150" s="16" t="inlineStr">
        <is>
          <t>Ships’ deck officers and pilots command and navigate ships and similar vessels, and perform related functions on shore.</t>
        </is>
      </c>
    </row>
    <row r="151">
      <c r="A151" s="17" t="inlineStr">
        <is>
          <t>3153</t>
        </is>
      </c>
      <c r="B151" s="18" t="inlineStr">
        <is>
          <t>Aircraft Pilots and Related Associate Professionals</t>
        </is>
      </c>
      <c r="C151" s="18" t="inlineStr">
        <is>
          <t>반도체 / 전자회로 / 하드웨어</t>
        </is>
      </c>
      <c r="D151" s="17" t="inlineStr">
        <is>
          <t>19010101</t>
        </is>
      </c>
      <c r="E151" s="18" t="inlineStr">
        <is>
          <t>Aircraft Pilots and Related Associate Professionals 관련 국가직무</t>
        </is>
      </c>
      <c r="F151" s="17" t="inlineStr">
        <is>
          <t>31530</t>
        </is>
      </c>
      <c r="G151" s="18" t="inlineStr">
        <is>
          <t>Aircraft Pilots and Related Associate Professionals (한국 표준 직종)</t>
        </is>
      </c>
      <c r="H151" s="17" t="inlineStr">
        <is>
          <t>17-3023.00</t>
        </is>
      </c>
      <c r="I151" s="18" t="inlineStr">
        <is>
          <t>Aircraft Pilots and Related Associate Professionals</t>
        </is>
      </c>
      <c r="J151" s="17" t="inlineStr">
        <is>
          <t>31530</t>
        </is>
      </c>
      <c r="K151" s="18" t="inlineStr">
        <is>
          <t>Aircraft Pilots and Related Associate Professionals (CZ-ISCO)</t>
        </is>
      </c>
      <c r="L151" s="18" t="inlineStr">
        <is>
          <t>Aircraft pilots and related associate professionals control the operation of mechanical, electrical and electronic equipment, in order to navigate aircraft for transporting passengers, mail and freight, and perform related pre-flight and in-flight tasks.</t>
        </is>
      </c>
    </row>
    <row r="152">
      <c r="A152" s="15" t="inlineStr">
        <is>
          <t>3154</t>
        </is>
      </c>
      <c r="B152" s="16" t="inlineStr">
        <is>
          <t>Air Traffic Controllers</t>
        </is>
      </c>
      <c r="C152" s="16" t="inlineStr">
        <is>
          <t>반도체 / 전자회로 / 하드웨어</t>
        </is>
      </c>
      <c r="D152" s="15" t="inlineStr">
        <is>
          <t>19010101</t>
        </is>
      </c>
      <c r="E152" s="16" t="inlineStr">
        <is>
          <t>Air Traffic Controllers 관련 국가직무</t>
        </is>
      </c>
      <c r="F152" s="15" t="inlineStr">
        <is>
          <t>31540</t>
        </is>
      </c>
      <c r="G152" s="16" t="inlineStr">
        <is>
          <t>Air Traffic Controllers (한국 표준 직종)</t>
        </is>
      </c>
      <c r="H152" s="15" t="inlineStr">
        <is>
          <t>17-3023.00</t>
        </is>
      </c>
      <c r="I152" s="16" t="inlineStr">
        <is>
          <t>Air Traffic Controllers</t>
        </is>
      </c>
      <c r="J152" s="15" t="inlineStr">
        <is>
          <t>31540</t>
        </is>
      </c>
      <c r="K152" s="16" t="inlineStr">
        <is>
          <t>Air Traffic Controllers (CZ-ISCO)</t>
        </is>
      </c>
      <c r="L152" s="16" t="inlineStr">
        <is>
          <t>Air traffic controllers direct aircraft movements in airspace and on the ground, using radio, radar and lighting systems, and provide information relevant to the operation of aircraft.</t>
        </is>
      </c>
    </row>
    <row r="153">
      <c r="A153" s="17" t="inlineStr">
        <is>
          <t>3155</t>
        </is>
      </c>
      <c r="B153" s="18" t="inlineStr">
        <is>
          <t>Air Traffic Safety Electronics Technicians</t>
        </is>
      </c>
      <c r="C153" s="18" t="inlineStr">
        <is>
          <t>반도체 / 전자회로 / 하드웨어</t>
        </is>
      </c>
      <c r="D153" s="17" t="inlineStr">
        <is>
          <t>19010101</t>
        </is>
      </c>
      <c r="E153" s="18" t="inlineStr">
        <is>
          <t>Air Traffic Safety Electronics Technicians 관련 국가직무</t>
        </is>
      </c>
      <c r="F153" s="17" t="inlineStr">
        <is>
          <t>31550</t>
        </is>
      </c>
      <c r="G153" s="18" t="inlineStr">
        <is>
          <t>Air Traffic Safety Electronics Technicians (한국 표준 직종)</t>
        </is>
      </c>
      <c r="H153" s="17" t="inlineStr">
        <is>
          <t>17-3023.00</t>
        </is>
      </c>
      <c r="I153" s="18" t="inlineStr">
        <is>
          <t>Air Traffic Safety Electronics Technicians</t>
        </is>
      </c>
      <c r="J153" s="17" t="inlineStr">
        <is>
          <t>31550</t>
        </is>
      </c>
      <c r="K153" s="18" t="inlineStr">
        <is>
          <t>Air Traffic Safety Electronics Technicians (CZ-ISCO)</t>
        </is>
      </c>
      <c r="L153" s="18" t="inlineStr">
        <is>
          <t>Air traffic safety electronics technicians perform technical tasks concerning the design, installation, management, operation, maintenance and repair of air traffic control and air navigation systems.</t>
        </is>
      </c>
    </row>
    <row r="154">
      <c r="A154" s="15" t="inlineStr">
        <is>
          <t>3211</t>
        </is>
      </c>
      <c r="B154" s="16" t="inlineStr">
        <is>
          <t>Medical Imaging and Therapeutic Equipment Technicians</t>
        </is>
      </c>
      <c r="C154" s="16" t="inlineStr">
        <is>
          <t>바이오 / 제약 / 임상헬스케어</t>
        </is>
      </c>
      <c r="D154" s="15" t="inlineStr">
        <is>
          <t>06020101</t>
        </is>
      </c>
      <c r="E154" s="16" t="inlineStr">
        <is>
          <t>Medical Imaging and Therapeutic Equipment Technicians 관련 국가직무</t>
        </is>
      </c>
      <c r="F154" s="15" t="inlineStr">
        <is>
          <t>32110</t>
        </is>
      </c>
      <c r="G154" s="16" t="inlineStr">
        <is>
          <t>Medical Imaging and Therapeutic Equipment Technicians (한국 표준 직종)</t>
        </is>
      </c>
      <c r="H154" s="15" t="inlineStr">
        <is>
          <t>29-2052.00</t>
        </is>
      </c>
      <c r="I154" s="16" t="inlineStr">
        <is>
          <t>Medical Imaging and Therapeutic Equipment Technicians</t>
        </is>
      </c>
      <c r="J154" s="15" t="inlineStr">
        <is>
          <t>32110</t>
        </is>
      </c>
      <c r="K154" s="16" t="inlineStr">
        <is>
          <t>Medical Imaging and Therapeutic Equipment Technicians (CZ-ISCO)</t>
        </is>
      </c>
      <c r="L154" s="16"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t>
        </is>
      </c>
    </row>
    <row r="155">
      <c r="A155" s="17" t="inlineStr">
        <is>
          <t>3212</t>
        </is>
      </c>
      <c r="B155" s="18" t="inlineStr">
        <is>
          <t>Medical and Pathology Laboratory Technicians</t>
        </is>
      </c>
      <c r="C155" s="18" t="inlineStr">
        <is>
          <t>바이오 / 제약 / 임상헬스케어</t>
        </is>
      </c>
      <c r="D155" s="17" t="inlineStr">
        <is>
          <t>06020101</t>
        </is>
      </c>
      <c r="E155" s="18" t="inlineStr">
        <is>
          <t>Medical and Pathology Laboratory Technicians 관련 국가직무</t>
        </is>
      </c>
      <c r="F155" s="17" t="inlineStr">
        <is>
          <t>32120</t>
        </is>
      </c>
      <c r="G155" s="18" t="inlineStr">
        <is>
          <t>Medical and Pathology Laboratory Technicians (한국 표준 직종)</t>
        </is>
      </c>
      <c r="H155" s="17" t="inlineStr">
        <is>
          <t>29-2052.00</t>
        </is>
      </c>
      <c r="I155" s="18" t="inlineStr">
        <is>
          <t>Medical and Pathology Laboratory Technicians</t>
        </is>
      </c>
      <c r="J155" s="17" t="inlineStr">
        <is>
          <t>32120</t>
        </is>
      </c>
      <c r="K155" s="18" t="inlineStr">
        <is>
          <t>Medical and Pathology Laboratory Technicians (CZ-ISCO)</t>
        </is>
      </c>
      <c r="L155" s="18" t="inlineStr">
        <is>
          <t>Medical and pathology laboratory technicians perform clinical tests on specimens of bodily fluids and tissues in order to obtain information about the health of a patient or cause of death.</t>
        </is>
      </c>
    </row>
    <row r="156">
      <c r="A156" s="15" t="inlineStr">
        <is>
          <t>3213</t>
        </is>
      </c>
      <c r="B156" s="16" t="inlineStr">
        <is>
          <t>Pharmaceutical Technicians and Assistants</t>
        </is>
      </c>
      <c r="C156" s="16" t="inlineStr">
        <is>
          <t>바이오 / 제약 / 임상헬스케어</t>
        </is>
      </c>
      <c r="D156" s="15" t="inlineStr">
        <is>
          <t>06020101</t>
        </is>
      </c>
      <c r="E156" s="16" t="inlineStr">
        <is>
          <t>Pharmaceutical Technicians and Assistants 관련 국가직무</t>
        </is>
      </c>
      <c r="F156" s="15" t="inlineStr">
        <is>
          <t>32130</t>
        </is>
      </c>
      <c r="G156" s="16" t="inlineStr">
        <is>
          <t>Pharmaceutical Technicians and Assistants (한국 표준 직종)</t>
        </is>
      </c>
      <c r="H156" s="15" t="inlineStr">
        <is>
          <t>29-2052.00</t>
        </is>
      </c>
      <c r="I156" s="16" t="inlineStr">
        <is>
          <t>Pharmaceutical Technicians and Assistants</t>
        </is>
      </c>
      <c r="J156" s="15" t="inlineStr">
        <is>
          <t>32130</t>
        </is>
      </c>
      <c r="K156" s="16" t="inlineStr">
        <is>
          <t>Pharmaceutical Technicians and Assistants (CZ-ISCO)</t>
        </is>
      </c>
      <c r="L156" s="16" t="inlineStr">
        <is>
          <t>Pharmaceutical technicians and assistants perform a variety of tasks associated with dispensing  medicinal products under the guidance of a pharmacist or other health professional.</t>
        </is>
      </c>
    </row>
    <row r="157">
      <c r="A157" s="17" t="inlineStr">
        <is>
          <t>3214</t>
        </is>
      </c>
      <c r="B157" s="18" t="inlineStr">
        <is>
          <t>Medical and Dental Prosthetic Technicians</t>
        </is>
      </c>
      <c r="C157" s="18" t="inlineStr">
        <is>
          <t>바이오 / 제약 / 임상헬스케어</t>
        </is>
      </c>
      <c r="D157" s="17" t="inlineStr">
        <is>
          <t>06020101</t>
        </is>
      </c>
      <c r="E157" s="18" t="inlineStr">
        <is>
          <t>Medical and Dental Prosthetic Technicians 관련 국가직무</t>
        </is>
      </c>
      <c r="F157" s="17" t="inlineStr">
        <is>
          <t>32140</t>
        </is>
      </c>
      <c r="G157" s="18" t="inlineStr">
        <is>
          <t>Medical and Dental Prosthetic Technicians (한국 표준 직종)</t>
        </is>
      </c>
      <c r="H157" s="17" t="inlineStr">
        <is>
          <t>29-2052.00</t>
        </is>
      </c>
      <c r="I157" s="18" t="inlineStr">
        <is>
          <t>Medical and Dental Prosthetic Technicians</t>
        </is>
      </c>
      <c r="J157" s="17" t="inlineStr">
        <is>
          <t>32140</t>
        </is>
      </c>
      <c r="K157" s="18" t="inlineStr">
        <is>
          <t>Medical and Dental Prosthetic Technicians (CZ-ISCO)</t>
        </is>
      </c>
      <c r="L157" s="18"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t>
        </is>
      </c>
    </row>
    <row r="158">
      <c r="A158" s="15" t="inlineStr">
        <is>
          <t>3221</t>
        </is>
      </c>
      <c r="B158" s="16" t="inlineStr">
        <is>
          <t>Nursing Associate Professionals</t>
        </is>
      </c>
      <c r="C158" s="16" t="inlineStr">
        <is>
          <t>바이오 / 제약 / 임상헬스케어</t>
        </is>
      </c>
      <c r="D158" s="15" t="inlineStr">
        <is>
          <t>06020101</t>
        </is>
      </c>
      <c r="E158" s="16" t="inlineStr">
        <is>
          <t>Nursing Associate Professionals 관련 국가직무</t>
        </is>
      </c>
      <c r="F158" s="15" t="inlineStr">
        <is>
          <t>32210</t>
        </is>
      </c>
      <c r="G158" s="16" t="inlineStr">
        <is>
          <t>Nursing Associate Professionals (한국 표준 직종)</t>
        </is>
      </c>
      <c r="H158" s="15" t="inlineStr">
        <is>
          <t>29-2052.00</t>
        </is>
      </c>
      <c r="I158" s="16" t="inlineStr">
        <is>
          <t>Nursing Associate Professionals</t>
        </is>
      </c>
      <c r="J158" s="15" t="inlineStr">
        <is>
          <t>32210</t>
        </is>
      </c>
      <c r="K158" s="16" t="inlineStr">
        <is>
          <t>Nursing Associate Professionals (CZ-ISCO)</t>
        </is>
      </c>
      <c r="L158" s="16"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t>
        </is>
      </c>
    </row>
    <row r="159">
      <c r="A159" s="17" t="inlineStr">
        <is>
          <t>3222</t>
        </is>
      </c>
      <c r="B159" s="18" t="inlineStr">
        <is>
          <t>Midwifery Associate Professionals</t>
        </is>
      </c>
      <c r="C159" s="18" t="inlineStr">
        <is>
          <t>바이오 / 제약 / 임상헬스케어</t>
        </is>
      </c>
      <c r="D159" s="17" t="inlineStr">
        <is>
          <t>06020101</t>
        </is>
      </c>
      <c r="E159" s="18" t="inlineStr">
        <is>
          <t>Midwifery Associate Professionals 관련 국가직무</t>
        </is>
      </c>
      <c r="F159" s="17" t="inlineStr">
        <is>
          <t>32220</t>
        </is>
      </c>
      <c r="G159" s="18" t="inlineStr">
        <is>
          <t>Midwifery Associate Professionals (한국 표준 직종)</t>
        </is>
      </c>
      <c r="H159" s="17" t="inlineStr">
        <is>
          <t>29-2052.00</t>
        </is>
      </c>
      <c r="I159" s="18" t="inlineStr">
        <is>
          <t>Midwifery Associate Professionals</t>
        </is>
      </c>
      <c r="J159" s="17" t="inlineStr">
        <is>
          <t>32220</t>
        </is>
      </c>
      <c r="K159" s="18" t="inlineStr">
        <is>
          <t>Midwifery Associate Professionals (CZ-ISCO)</t>
        </is>
      </c>
      <c r="L159" s="18" t="inlineStr">
        <is>
          <t>Midwifery associate professionals provide basic health care and advice before, during and after pregnancy and childbirth. They implement care, treatment and referral plans usually established by medical, midwifery and other health professionals.</t>
        </is>
      </c>
    </row>
    <row r="160">
      <c r="A160" s="15" t="inlineStr">
        <is>
          <t>3230</t>
        </is>
      </c>
      <c r="B160" s="16" t="inlineStr">
        <is>
          <t>Traditional and Complementary Medicine Associate Professionals</t>
        </is>
      </c>
      <c r="C160" s="16" t="inlineStr">
        <is>
          <t>바이오 / 제약 / 임상헬스케어</t>
        </is>
      </c>
      <c r="D160" s="15" t="inlineStr">
        <is>
          <t>06020101</t>
        </is>
      </c>
      <c r="E160" s="16" t="inlineStr">
        <is>
          <t>Traditional and Complementary Medicine Associate Professionals 관련 국가직무</t>
        </is>
      </c>
      <c r="F160" s="15" t="inlineStr">
        <is>
          <t>32300</t>
        </is>
      </c>
      <c r="G160" s="16" t="inlineStr">
        <is>
          <t>Traditional and Complementary Medicine Associate Professionals (한국 표준 직종)</t>
        </is>
      </c>
      <c r="H160" s="15" t="inlineStr">
        <is>
          <t>29-2052.00</t>
        </is>
      </c>
      <c r="I160" s="16" t="inlineStr">
        <is>
          <t>Traditional and Complementary Medicine Associate Professionals</t>
        </is>
      </c>
      <c r="J160" s="15" t="inlineStr">
        <is>
          <t>32300</t>
        </is>
      </c>
      <c r="K160" s="16" t="inlineStr">
        <is>
          <t>Traditional and Complementary Medicine Associate Professionals (CZ-ISCO)</t>
        </is>
      </c>
      <c r="L160" s="16"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t>
        </is>
      </c>
    </row>
    <row r="161">
      <c r="A161" s="17" t="inlineStr">
        <is>
          <t>3240</t>
        </is>
      </c>
      <c r="B161" s="18" t="inlineStr">
        <is>
          <t>Veterinary Technicians and Assistants</t>
        </is>
      </c>
      <c r="C161" s="18" t="inlineStr">
        <is>
          <t>바이오 / 제약 / 임상헬스케어</t>
        </is>
      </c>
      <c r="D161" s="17" t="inlineStr">
        <is>
          <t>06020101</t>
        </is>
      </c>
      <c r="E161" s="18" t="inlineStr">
        <is>
          <t>Veterinary Technicians and Assistants 관련 국가직무</t>
        </is>
      </c>
      <c r="F161" s="17" t="inlineStr">
        <is>
          <t>32400</t>
        </is>
      </c>
      <c r="G161" s="18" t="inlineStr">
        <is>
          <t>Veterinary Technicians and Assistants (한국 표준 직종)</t>
        </is>
      </c>
      <c r="H161" s="17" t="inlineStr">
        <is>
          <t>29-2052.00</t>
        </is>
      </c>
      <c r="I161" s="18" t="inlineStr">
        <is>
          <t>Veterinary Technicians and Assistants</t>
        </is>
      </c>
      <c r="J161" s="17" t="inlineStr">
        <is>
          <t>32400</t>
        </is>
      </c>
      <c r="K161" s="18" t="inlineStr">
        <is>
          <t>Veterinary Technicians and Assistants (CZ-ISCO)</t>
        </is>
      </c>
      <c r="L161" s="18"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t>
        </is>
      </c>
    </row>
    <row r="162">
      <c r="A162" s="15" t="inlineStr">
        <is>
          <t>3251</t>
        </is>
      </c>
      <c r="B162" s="16" t="inlineStr">
        <is>
          <t>Dental Assistants and Therapists</t>
        </is>
      </c>
      <c r="C162" s="16" t="inlineStr">
        <is>
          <t>바이오 / 제약 / 임상헬스케어</t>
        </is>
      </c>
      <c r="D162" s="15" t="inlineStr">
        <is>
          <t>06020101</t>
        </is>
      </c>
      <c r="E162" s="16" t="inlineStr">
        <is>
          <t>Dental Assistants and Therapists 관련 국가직무</t>
        </is>
      </c>
      <c r="F162" s="15" t="inlineStr">
        <is>
          <t>32510</t>
        </is>
      </c>
      <c r="G162" s="16" t="inlineStr">
        <is>
          <t>Dental Assistants and Therapists (한국 표준 직종)</t>
        </is>
      </c>
      <c r="H162" s="15" t="inlineStr">
        <is>
          <t>29-2052.00</t>
        </is>
      </c>
      <c r="I162" s="16" t="inlineStr">
        <is>
          <t>Dental Assistants and Therapists</t>
        </is>
      </c>
      <c r="J162" s="15" t="inlineStr">
        <is>
          <t>32510</t>
        </is>
      </c>
      <c r="K162" s="16" t="inlineStr">
        <is>
          <t>Dental Assistants and Therapists (CZ-ISCO)</t>
        </is>
      </c>
      <c r="L162" s="16" t="inlineStr">
        <is>
          <t>Dental assistants and therapists provide basic dental care services for the prevention and treatment of diseases and disorders of the teeth and mouth, according to care plans and procedures established by a dentist or other oral health professional.</t>
        </is>
      </c>
    </row>
    <row r="163">
      <c r="A163" s="17" t="inlineStr">
        <is>
          <t>3252</t>
        </is>
      </c>
      <c r="B163" s="18" t="inlineStr">
        <is>
          <t>Medical Records and Health Information Technicians</t>
        </is>
      </c>
      <c r="C163" s="18" t="inlineStr">
        <is>
          <t>바이오 / 제약 / 임상헬스케어</t>
        </is>
      </c>
      <c r="D163" s="17" t="inlineStr">
        <is>
          <t>06020101</t>
        </is>
      </c>
      <c r="E163" s="18" t="inlineStr">
        <is>
          <t>Medical Records and Health Information Technicians 관련 국가직무</t>
        </is>
      </c>
      <c r="F163" s="17" t="inlineStr">
        <is>
          <t>32520</t>
        </is>
      </c>
      <c r="G163" s="18" t="inlineStr">
        <is>
          <t>Medical Records and Health Information Technicians (한국 표준 직종)</t>
        </is>
      </c>
      <c r="H163" s="17" t="inlineStr">
        <is>
          <t>29-2052.00</t>
        </is>
      </c>
      <c r="I163" s="18" t="inlineStr">
        <is>
          <t>Medical Records and Health Information Technicians</t>
        </is>
      </c>
      <c r="J163" s="17" t="inlineStr">
        <is>
          <t>32520</t>
        </is>
      </c>
      <c r="K163" s="18" t="inlineStr">
        <is>
          <t>Medical Records and Health Information Technicians (CZ-ISCO)</t>
        </is>
      </c>
      <c r="L163" s="18" t="inlineStr">
        <is>
          <t xml:space="preserve">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t>
        </is>
      </c>
    </row>
    <row r="164">
      <c r="A164" s="15" t="inlineStr">
        <is>
          <t>3253</t>
        </is>
      </c>
      <c r="B164" s="16" t="inlineStr">
        <is>
          <t>Community Health Workers</t>
        </is>
      </c>
      <c r="C164" s="16" t="inlineStr">
        <is>
          <t>바이오 / 제약 / 임상헬스케어</t>
        </is>
      </c>
      <c r="D164" s="15" t="inlineStr">
        <is>
          <t>06020101</t>
        </is>
      </c>
      <c r="E164" s="16" t="inlineStr">
        <is>
          <t>Community Health Workers 관련 국가직무</t>
        </is>
      </c>
      <c r="F164" s="15" t="inlineStr">
        <is>
          <t>32530</t>
        </is>
      </c>
      <c r="G164" s="16" t="inlineStr">
        <is>
          <t>Community Health Workers (한국 표준 직종)</t>
        </is>
      </c>
      <c r="H164" s="15" t="inlineStr">
        <is>
          <t>29-2052.00</t>
        </is>
      </c>
      <c r="I164" s="16" t="inlineStr">
        <is>
          <t>Community Health Workers</t>
        </is>
      </c>
      <c r="J164" s="15" t="inlineStr">
        <is>
          <t>32530</t>
        </is>
      </c>
      <c r="K164" s="16" t="inlineStr">
        <is>
          <t>Community Health Workers (CZ-ISCO)</t>
        </is>
      </c>
      <c r="L164" s="16"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c>
    </row>
    <row r="165">
      <c r="A165" s="17" t="inlineStr">
        <is>
          <t>3254</t>
        </is>
      </c>
      <c r="B165" s="18" t="inlineStr">
        <is>
          <t>Dispensing Opticians</t>
        </is>
      </c>
      <c r="C165" s="18" t="inlineStr">
        <is>
          <t>바이오 / 제약 / 임상헬스케어</t>
        </is>
      </c>
      <c r="D165" s="17" t="inlineStr">
        <is>
          <t>06020101</t>
        </is>
      </c>
      <c r="E165" s="18" t="inlineStr">
        <is>
          <t>Dispensing Opticians 관련 국가직무</t>
        </is>
      </c>
      <c r="F165" s="17" t="inlineStr">
        <is>
          <t>32540</t>
        </is>
      </c>
      <c r="G165" s="18" t="inlineStr">
        <is>
          <t>Dispensing Opticians (한국 표준 직종)</t>
        </is>
      </c>
      <c r="H165" s="17" t="inlineStr">
        <is>
          <t>29-2052.00</t>
        </is>
      </c>
      <c r="I165" s="18" t="inlineStr">
        <is>
          <t>Dispensing Opticians</t>
        </is>
      </c>
      <c r="J165" s="17" t="inlineStr">
        <is>
          <t>32540</t>
        </is>
      </c>
      <c r="K165" s="18" t="inlineStr">
        <is>
          <t>Dispensing Opticians (CZ-ISCO)</t>
        </is>
      </c>
      <c r="L165" s="18" t="inlineStr">
        <is>
          <t>Dispensing opticians design, fit and dispense optical lenses based on a prescription from an ophthalmologist or optometrist for the correction of reduced visual acuity. They service corrective eyeglasses, contact lenses, low-vision aids and other optical devices.</t>
        </is>
      </c>
    </row>
    <row r="166">
      <c r="A166" s="15" t="inlineStr">
        <is>
          <t>3255</t>
        </is>
      </c>
      <c r="B166" s="16" t="inlineStr">
        <is>
          <t>Physiotherapy Technicians and Assistants</t>
        </is>
      </c>
      <c r="C166" s="16" t="inlineStr">
        <is>
          <t>바이오 / 제약 / 임상헬스케어</t>
        </is>
      </c>
      <c r="D166" s="15" t="inlineStr">
        <is>
          <t>06020101</t>
        </is>
      </c>
      <c r="E166" s="16" t="inlineStr">
        <is>
          <t>Physiotherapy Technicians and Assistants 관련 국가직무</t>
        </is>
      </c>
      <c r="F166" s="15" t="inlineStr">
        <is>
          <t>32550</t>
        </is>
      </c>
      <c r="G166" s="16" t="inlineStr">
        <is>
          <t>Physiotherapy Technicians and Assistants (한국 표준 직종)</t>
        </is>
      </c>
      <c r="H166" s="15" t="inlineStr">
        <is>
          <t>29-2052.00</t>
        </is>
      </c>
      <c r="I166" s="16" t="inlineStr">
        <is>
          <t>Physiotherapy Technicians and Assistants</t>
        </is>
      </c>
      <c r="J166" s="15" t="inlineStr">
        <is>
          <t>32550</t>
        </is>
      </c>
      <c r="K166" s="16" t="inlineStr">
        <is>
          <t>Physiotherapy Technicians and Assistants (CZ-ISCO)</t>
        </is>
      </c>
      <c r="L166" s="16"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t>
        </is>
      </c>
    </row>
    <row r="167">
      <c r="A167" s="17" t="inlineStr">
        <is>
          <t>3256</t>
        </is>
      </c>
      <c r="B167" s="18" t="inlineStr">
        <is>
          <t>Medical Assistants</t>
        </is>
      </c>
      <c r="C167" s="18" t="inlineStr">
        <is>
          <t>바이오 / 제약 / 임상헬스케어</t>
        </is>
      </c>
      <c r="D167" s="17" t="inlineStr">
        <is>
          <t>06020101</t>
        </is>
      </c>
      <c r="E167" s="18" t="inlineStr">
        <is>
          <t>Medical Assistants 관련 국가직무</t>
        </is>
      </c>
      <c r="F167" s="17" t="inlineStr">
        <is>
          <t>32560</t>
        </is>
      </c>
      <c r="G167" s="18" t="inlineStr">
        <is>
          <t>Medical Assistants (한국 표준 직종)</t>
        </is>
      </c>
      <c r="H167" s="17" t="inlineStr">
        <is>
          <t>29-2052.00</t>
        </is>
      </c>
      <c r="I167" s="18" t="inlineStr">
        <is>
          <t>Medical Assistants</t>
        </is>
      </c>
      <c r="J167" s="17" t="inlineStr">
        <is>
          <t>32560</t>
        </is>
      </c>
      <c r="K167" s="18" t="inlineStr">
        <is>
          <t>Medical Assistants (CZ-ISCO)</t>
        </is>
      </c>
      <c r="L167" s="18" t="inlineStr">
        <is>
          <t>Medical assistants perform basic clinical and administrative tasks to support patient care under the direct supervision of a medical practitioner or other health professional.</t>
        </is>
      </c>
    </row>
    <row r="168">
      <c r="A168" s="15" t="inlineStr">
        <is>
          <t>3257</t>
        </is>
      </c>
      <c r="B168" s="16" t="inlineStr">
        <is>
          <t>Environmental and Occupational Health Inspectors and Associates</t>
        </is>
      </c>
      <c r="C168" s="16" t="inlineStr">
        <is>
          <t>바이오 / 제약 / 임상헬스케어</t>
        </is>
      </c>
      <c r="D168" s="15" t="inlineStr">
        <is>
          <t>06020101</t>
        </is>
      </c>
      <c r="E168" s="16" t="inlineStr">
        <is>
          <t>Environmental and Occupational Health Inspectors and Associates 관련 국가직무</t>
        </is>
      </c>
      <c r="F168" s="15" t="inlineStr">
        <is>
          <t>32570</t>
        </is>
      </c>
      <c r="G168" s="16" t="inlineStr">
        <is>
          <t>Environmental and Occupational Health Inspectors and Associates (한국 표준 직종)</t>
        </is>
      </c>
      <c r="H168" s="15" t="inlineStr">
        <is>
          <t>29-2052.00</t>
        </is>
      </c>
      <c r="I168" s="16" t="inlineStr">
        <is>
          <t>Environmental and Occupational Health Inspectors and Associates</t>
        </is>
      </c>
      <c r="J168" s="15" t="inlineStr">
        <is>
          <t>32570</t>
        </is>
      </c>
      <c r="K168" s="16" t="inlineStr">
        <is>
          <t>Environmental and Occupational Health Inspectors and Associates (CZ-ISCO)</t>
        </is>
      </c>
      <c r="L168" s="16"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t>
        </is>
      </c>
    </row>
    <row r="169">
      <c r="A169" s="17" t="inlineStr">
        <is>
          <t>3258</t>
        </is>
      </c>
      <c r="B169" s="18" t="inlineStr">
        <is>
          <t>Ambulance Workers</t>
        </is>
      </c>
      <c r="C169" s="18" t="inlineStr">
        <is>
          <t>바이오 / 제약 / 임상헬스케어</t>
        </is>
      </c>
      <c r="D169" s="17" t="inlineStr">
        <is>
          <t>06020101</t>
        </is>
      </c>
      <c r="E169" s="18" t="inlineStr">
        <is>
          <t>Ambulance Workers 관련 국가직무</t>
        </is>
      </c>
      <c r="F169" s="17" t="inlineStr">
        <is>
          <t>32580</t>
        </is>
      </c>
      <c r="G169" s="18" t="inlineStr">
        <is>
          <t>Ambulance Workers (한국 표준 직종)</t>
        </is>
      </c>
      <c r="H169" s="17" t="inlineStr">
        <is>
          <t>29-2052.00</t>
        </is>
      </c>
      <c r="I169" s="18" t="inlineStr">
        <is>
          <t>Ambulance Workers</t>
        </is>
      </c>
      <c r="J169" s="17" t="inlineStr">
        <is>
          <t>32580</t>
        </is>
      </c>
      <c r="K169" s="18" t="inlineStr">
        <is>
          <t>Ambulance Workers (CZ-ISCO)</t>
        </is>
      </c>
      <c r="L169" s="18" t="inlineStr">
        <is>
          <t>Ambulance workers provide emergency health care to patients who are injured, sick, infirm, or otherwise physically or mentally impaired prior to and during transport to medical facilities.</t>
        </is>
      </c>
    </row>
    <row r="170">
      <c r="A170" s="15" t="inlineStr">
        <is>
          <t>3259</t>
        </is>
      </c>
      <c r="B170" s="16" t="inlineStr">
        <is>
          <t>Health Associate Professionals Not Elsewhere Classified</t>
        </is>
      </c>
      <c r="C170" s="16" t="inlineStr">
        <is>
          <t>바이오 / 제약 / 임상헬스케어</t>
        </is>
      </c>
      <c r="D170" s="15" t="inlineStr">
        <is>
          <t>06020101</t>
        </is>
      </c>
      <c r="E170" s="16" t="inlineStr">
        <is>
          <t>Health Associate Professionals Not Elsewhere Classified 관련 국가직무</t>
        </is>
      </c>
      <c r="F170" s="15" t="inlineStr">
        <is>
          <t>32590</t>
        </is>
      </c>
      <c r="G170" s="16" t="inlineStr">
        <is>
          <t>Health Associate Professionals Not Elsewhere Classified (한국 표준 직종)</t>
        </is>
      </c>
      <c r="H170" s="15" t="inlineStr">
        <is>
          <t>29-2052.00</t>
        </is>
      </c>
      <c r="I170" s="16" t="inlineStr">
        <is>
          <t>Health Associate Professionals Not Elsewhere Classified</t>
        </is>
      </c>
      <c r="J170" s="15" t="inlineStr">
        <is>
          <t>32590</t>
        </is>
      </c>
      <c r="K170" s="16" t="inlineStr">
        <is>
          <t>Health Associate Professionals Not Elsewhere Classified (CZ-ISCO)</t>
        </is>
      </c>
      <c r="L170" s="16"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c>
    </row>
    <row r="171">
      <c r="A171" s="17" t="inlineStr">
        <is>
          <t>3311</t>
        </is>
      </c>
      <c r="B171" s="18" t="inlineStr">
        <is>
          <t>Securities and Finance Dealers and Brokers</t>
        </is>
      </c>
      <c r="C171" s="18" t="inlineStr">
        <is>
          <t>금융투자 / 핀테크 / 리스크</t>
        </is>
      </c>
      <c r="D171" s="17" t="inlineStr">
        <is>
          <t>02020101</t>
        </is>
      </c>
      <c r="E171" s="18" t="inlineStr">
        <is>
          <t>Securities and Finance Dealers and Brokers 관련 국가직무</t>
        </is>
      </c>
      <c r="F171" s="17" t="inlineStr">
        <is>
          <t>33110</t>
        </is>
      </c>
      <c r="G171" s="18" t="inlineStr">
        <is>
          <t>Securities and Finance Dealers and Brokers (한국 표준 직종)</t>
        </is>
      </c>
      <c r="H171" s="17" t="inlineStr">
        <is>
          <t>13-1071.00</t>
        </is>
      </c>
      <c r="I171" s="18" t="inlineStr">
        <is>
          <t>Securities and Finance Dealers and Brokers</t>
        </is>
      </c>
      <c r="J171" s="17" t="inlineStr">
        <is>
          <t>33110</t>
        </is>
      </c>
      <c r="K171" s="18" t="inlineStr">
        <is>
          <t>Securities and Finance Dealers and Brokers (CZ-ISCO)</t>
        </is>
      </c>
      <c r="L171" s="18"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t>
        </is>
      </c>
    </row>
    <row r="172">
      <c r="A172" s="15" t="inlineStr">
        <is>
          <t>3312</t>
        </is>
      </c>
      <c r="B172" s="16" t="inlineStr">
        <is>
          <t>Credit and Loans Officers</t>
        </is>
      </c>
      <c r="C172" s="16" t="inlineStr">
        <is>
          <t>금융투자 / 핀테크 / 리스크</t>
        </is>
      </c>
      <c r="D172" s="15" t="inlineStr">
        <is>
          <t>02020101</t>
        </is>
      </c>
      <c r="E172" s="16" t="inlineStr">
        <is>
          <t>Credit and Loans Officers 관련 국가직무</t>
        </is>
      </c>
      <c r="F172" s="15" t="inlineStr">
        <is>
          <t>33120</t>
        </is>
      </c>
      <c r="G172" s="16" t="inlineStr">
        <is>
          <t>Credit and Loans Officers (한국 표준 직종)</t>
        </is>
      </c>
      <c r="H172" s="15" t="inlineStr">
        <is>
          <t>13-1071.00</t>
        </is>
      </c>
      <c r="I172" s="16" t="inlineStr">
        <is>
          <t>Credit and Loans Officers</t>
        </is>
      </c>
      <c r="J172" s="15" t="inlineStr">
        <is>
          <t>33120</t>
        </is>
      </c>
      <c r="K172" s="16" t="inlineStr">
        <is>
          <t>Credit and Loans Officers (CZ-ISCO)</t>
        </is>
      </c>
      <c r="L172" s="16" t="inlineStr">
        <is>
          <t>Credit and loans officers analyse and evaluate financial information on applications for credit and loans and determine approval or disapproval of the client for the credit or loan, or recommend to management approval or disapproval.</t>
        </is>
      </c>
    </row>
    <row r="173">
      <c r="A173" s="17" t="inlineStr">
        <is>
          <t>3313</t>
        </is>
      </c>
      <c r="B173" s="18" t="inlineStr">
        <is>
          <t>Accounting Associate Professionals</t>
        </is>
      </c>
      <c r="C173" s="18" t="inlineStr">
        <is>
          <t>금융투자 / 핀테크 / 리스크</t>
        </is>
      </c>
      <c r="D173" s="17" t="inlineStr">
        <is>
          <t>02020101</t>
        </is>
      </c>
      <c r="E173" s="18" t="inlineStr">
        <is>
          <t>Accounting Associate Professionals 관련 국가직무</t>
        </is>
      </c>
      <c r="F173" s="17" t="inlineStr">
        <is>
          <t>33130</t>
        </is>
      </c>
      <c r="G173" s="18" t="inlineStr">
        <is>
          <t>Accounting Associate Professionals (한국 표준 직종)</t>
        </is>
      </c>
      <c r="H173" s="17" t="inlineStr">
        <is>
          <t>13-1071.00</t>
        </is>
      </c>
      <c r="I173" s="18" t="inlineStr">
        <is>
          <t>Accounting Associate Professionals</t>
        </is>
      </c>
      <c r="J173" s="17" t="inlineStr">
        <is>
          <t>33130</t>
        </is>
      </c>
      <c r="K173" s="18" t="inlineStr">
        <is>
          <t>Accounting Associate Professionals (CZ-ISCO)</t>
        </is>
      </c>
      <c r="L173" s="18" t="inlineStr">
        <is>
          <t>Accounting associate professionals maintain complete records of financial transactions of an undertaking and verify accuracy of documents and records relating to such transactions.</t>
        </is>
      </c>
    </row>
    <row r="174">
      <c r="A174" s="15" t="inlineStr">
        <is>
          <t>3314</t>
        </is>
      </c>
      <c r="B174" s="16" t="inlineStr">
        <is>
          <t>Statistical, Mathematical and Related Associate Professionals</t>
        </is>
      </c>
      <c r="C174" s="16" t="inlineStr">
        <is>
          <t>금융투자 / 핀테크 / 리스크</t>
        </is>
      </c>
      <c r="D174" s="15" t="inlineStr">
        <is>
          <t>02020101</t>
        </is>
      </c>
      <c r="E174" s="16" t="inlineStr">
        <is>
          <t>Statistical, Mathematical and Related Associate Professionals 관련 국가직무</t>
        </is>
      </c>
      <c r="F174" s="15" t="inlineStr">
        <is>
          <t>33140</t>
        </is>
      </c>
      <c r="G174" s="16" t="inlineStr">
        <is>
          <t>Statistical, Mathematical and Related Associate Professionals (한국 표준 직종)</t>
        </is>
      </c>
      <c r="H174" s="15" t="inlineStr">
        <is>
          <t>13-1071.00</t>
        </is>
      </c>
      <c r="I174" s="16" t="inlineStr">
        <is>
          <t>Statistical, Mathematical and Related Associate Professionals</t>
        </is>
      </c>
      <c r="J174" s="15" t="inlineStr">
        <is>
          <t>33140</t>
        </is>
      </c>
      <c r="K174" s="16" t="inlineStr">
        <is>
          <t>Statistical, Mathematical and Related Associate Professionals (CZ-ISCO)</t>
        </is>
      </c>
      <c r="L174" s="16"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c>
    </row>
    <row r="175">
      <c r="A175" s="17" t="inlineStr">
        <is>
          <t>3315</t>
        </is>
      </c>
      <c r="B175" s="18" t="inlineStr">
        <is>
          <t>Valuers and Loss Assessors</t>
        </is>
      </c>
      <c r="C175" s="18" t="inlineStr">
        <is>
          <t>금융투자 / 핀테크 / 리스크</t>
        </is>
      </c>
      <c r="D175" s="17" t="inlineStr">
        <is>
          <t>02020101</t>
        </is>
      </c>
      <c r="E175" s="18" t="inlineStr">
        <is>
          <t>Valuers and Loss Assessors 관련 국가직무</t>
        </is>
      </c>
      <c r="F175" s="17" t="inlineStr">
        <is>
          <t>33150</t>
        </is>
      </c>
      <c r="G175" s="18" t="inlineStr">
        <is>
          <t>Valuers and Loss Assessors (한국 표준 직종)</t>
        </is>
      </c>
      <c r="H175" s="17" t="inlineStr">
        <is>
          <t>13-1071.00</t>
        </is>
      </c>
      <c r="I175" s="18" t="inlineStr">
        <is>
          <t>Valuers and Loss Assessors</t>
        </is>
      </c>
      <c r="J175" s="17" t="inlineStr">
        <is>
          <t>33150</t>
        </is>
      </c>
      <c r="K175" s="18" t="inlineStr">
        <is>
          <t>Valuers and Loss Assessors (CZ-ISCO)</t>
        </is>
      </c>
      <c r="L175" s="18" t="inlineStr">
        <is>
          <t>Valuers and loss assessors value property and various goods and assess losses covered by insurance policies.</t>
        </is>
      </c>
    </row>
    <row r="176">
      <c r="A176" s="15" t="inlineStr">
        <is>
          <t>3321</t>
        </is>
      </c>
      <c r="B176" s="16" t="inlineStr">
        <is>
          <t>Insurance Representatives</t>
        </is>
      </c>
      <c r="C176" s="16" t="inlineStr">
        <is>
          <t>금융투자 / 핀테크 / 리스크</t>
        </is>
      </c>
      <c r="D176" s="15" t="inlineStr">
        <is>
          <t>02020101</t>
        </is>
      </c>
      <c r="E176" s="16" t="inlineStr">
        <is>
          <t>Insurance Representatives 관련 국가직무</t>
        </is>
      </c>
      <c r="F176" s="15" t="inlineStr">
        <is>
          <t>33210</t>
        </is>
      </c>
      <c r="G176" s="16" t="inlineStr">
        <is>
          <t>Insurance Representatives (한국 표준 직종)</t>
        </is>
      </c>
      <c r="H176" s="15" t="inlineStr">
        <is>
          <t>13-1071.00</t>
        </is>
      </c>
      <c r="I176" s="16" t="inlineStr">
        <is>
          <t>Insurance Representatives</t>
        </is>
      </c>
      <c r="J176" s="15" t="inlineStr">
        <is>
          <t>33210</t>
        </is>
      </c>
      <c r="K176" s="16" t="inlineStr">
        <is>
          <t>Insurance Representatives (CZ-ISCO)</t>
        </is>
      </c>
      <c r="L176" s="16" t="inlineStr">
        <is>
          <t>Insurance representatives advise on and sell life, accident, automobile, liability, endowment, fire, marine and other types of insurance to new and established clients.</t>
        </is>
      </c>
    </row>
    <row r="177">
      <c r="A177" s="17" t="inlineStr">
        <is>
          <t>3322</t>
        </is>
      </c>
      <c r="B177" s="18" t="inlineStr">
        <is>
          <t>Commercial Sales Representatives</t>
        </is>
      </c>
      <c r="C177" s="18" t="inlineStr">
        <is>
          <t>금융투자 / 핀테크 / 리스크</t>
        </is>
      </c>
      <c r="D177" s="17" t="inlineStr">
        <is>
          <t>02020101</t>
        </is>
      </c>
      <c r="E177" s="18" t="inlineStr">
        <is>
          <t>Commercial Sales Representatives 관련 국가직무</t>
        </is>
      </c>
      <c r="F177" s="17" t="inlineStr">
        <is>
          <t>33220</t>
        </is>
      </c>
      <c r="G177" s="18" t="inlineStr">
        <is>
          <t>Commercial Sales Representatives (한국 표준 직종)</t>
        </is>
      </c>
      <c r="H177" s="17" t="inlineStr">
        <is>
          <t>13-1071.00</t>
        </is>
      </c>
      <c r="I177" s="18" t="inlineStr">
        <is>
          <t>Commercial Sales Representatives</t>
        </is>
      </c>
      <c r="J177" s="17" t="inlineStr">
        <is>
          <t>33220</t>
        </is>
      </c>
      <c r="K177" s="18" t="inlineStr">
        <is>
          <t>Commercial Sales Representatives (CZ-ISCO)</t>
        </is>
      </c>
      <c r="L177" s="18" t="inlineStr">
        <is>
          <t>Commercial sales representatives represent companies to sell various goods and services to businesses and other organizations and provide product-specific information as required.</t>
        </is>
      </c>
    </row>
    <row r="178">
      <c r="A178" s="15" t="inlineStr">
        <is>
          <t>3323</t>
        </is>
      </c>
      <c r="B178" s="16" t="inlineStr">
        <is>
          <t>Buyers</t>
        </is>
      </c>
      <c r="C178" s="16" t="inlineStr">
        <is>
          <t>금융투자 / 핀테크 / 리스크</t>
        </is>
      </c>
      <c r="D178" s="15" t="inlineStr">
        <is>
          <t>02020101</t>
        </is>
      </c>
      <c r="E178" s="16" t="inlineStr">
        <is>
          <t>Buyers 관련 국가직무</t>
        </is>
      </c>
      <c r="F178" s="15" t="inlineStr">
        <is>
          <t>33230</t>
        </is>
      </c>
      <c r="G178" s="16" t="inlineStr">
        <is>
          <t>Buyers (한국 표준 직종)</t>
        </is>
      </c>
      <c r="H178" s="15" t="inlineStr">
        <is>
          <t>13-1071.00</t>
        </is>
      </c>
      <c r="I178" s="16" t="inlineStr">
        <is>
          <t>Buyers</t>
        </is>
      </c>
      <c r="J178" s="15" t="inlineStr">
        <is>
          <t>33230</t>
        </is>
      </c>
      <c r="K178" s="16" t="inlineStr">
        <is>
          <t>Buyers (CZ-ISCO)</t>
        </is>
      </c>
      <c r="L178" s="16" t="inlineStr">
        <is>
          <t>Buyers buy goods and services for use or resale on behalf of industrial, commercial, government or other establishments and organizations.</t>
        </is>
      </c>
    </row>
    <row r="179">
      <c r="A179" s="17" t="inlineStr">
        <is>
          <t>3324</t>
        </is>
      </c>
      <c r="B179" s="18" t="inlineStr">
        <is>
          <t>Trade Brokers</t>
        </is>
      </c>
      <c r="C179" s="18" t="inlineStr">
        <is>
          <t>금융투자 / 핀테크 / 리스크</t>
        </is>
      </c>
      <c r="D179" s="17" t="inlineStr">
        <is>
          <t>02020101</t>
        </is>
      </c>
      <c r="E179" s="18" t="inlineStr">
        <is>
          <t>Trade Brokers 관련 국가직무</t>
        </is>
      </c>
      <c r="F179" s="17" t="inlineStr">
        <is>
          <t>33240</t>
        </is>
      </c>
      <c r="G179" s="18" t="inlineStr">
        <is>
          <t>Trade Brokers (한국 표준 직종)</t>
        </is>
      </c>
      <c r="H179" s="17" t="inlineStr">
        <is>
          <t>13-1071.00</t>
        </is>
      </c>
      <c r="I179" s="18" t="inlineStr">
        <is>
          <t>Trade Brokers</t>
        </is>
      </c>
      <c r="J179" s="17" t="inlineStr">
        <is>
          <t>33240</t>
        </is>
      </c>
      <c r="K179" s="18" t="inlineStr">
        <is>
          <t>Trade Brokers (CZ-ISCO)</t>
        </is>
      </c>
      <c r="L179" s="18" t="inlineStr">
        <is>
          <t>Trade brokers buy and sell commodities and shipping services, usually in bulk, on behalf of their own company or for customers on a commission basis.</t>
        </is>
      </c>
    </row>
    <row r="180">
      <c r="A180" s="15" t="inlineStr">
        <is>
          <t>3331</t>
        </is>
      </c>
      <c r="B180" s="16" t="inlineStr">
        <is>
          <t>Clearing and Forwarding Aents</t>
        </is>
      </c>
      <c r="C180" s="16" t="inlineStr">
        <is>
          <t>금융투자 / 핀테크 / 리스크</t>
        </is>
      </c>
      <c r="D180" s="15" t="inlineStr">
        <is>
          <t>02020101</t>
        </is>
      </c>
      <c r="E180" s="16" t="inlineStr">
        <is>
          <t>Clearing and Forwarding Aents 관련 국가직무</t>
        </is>
      </c>
      <c r="F180" s="15" t="inlineStr">
        <is>
          <t>33310</t>
        </is>
      </c>
      <c r="G180" s="16" t="inlineStr">
        <is>
          <t>Clearing and Forwarding Aents (한국 표준 직종)</t>
        </is>
      </c>
      <c r="H180" s="15" t="inlineStr">
        <is>
          <t>13-1071.00</t>
        </is>
      </c>
      <c r="I180" s="16" t="inlineStr">
        <is>
          <t>Clearing and Forwarding Aents</t>
        </is>
      </c>
      <c r="J180" s="15" t="inlineStr">
        <is>
          <t>33310</t>
        </is>
      </c>
      <c r="K180" s="16" t="inlineStr">
        <is>
          <t>Clearing and Forwarding Aents (CZ-ISCO)</t>
        </is>
      </c>
      <c r="L180" s="16" t="inlineStr">
        <is>
          <t>Clearing and forwarding agents carry out customs clearing procedures and ensure that insurance, export/import licences and other formalities are in order.</t>
        </is>
      </c>
    </row>
    <row r="181">
      <c r="A181" s="17" t="inlineStr">
        <is>
          <t>3332</t>
        </is>
      </c>
      <c r="B181" s="18" t="inlineStr">
        <is>
          <t>Conference and Event Planners</t>
        </is>
      </c>
      <c r="C181" s="18" t="inlineStr">
        <is>
          <t>금융투자 / 핀테크 / 리스크</t>
        </is>
      </c>
      <c r="D181" s="17" t="inlineStr">
        <is>
          <t>02020101</t>
        </is>
      </c>
      <c r="E181" s="18" t="inlineStr">
        <is>
          <t>Conference and Event Planners 관련 국가직무</t>
        </is>
      </c>
      <c r="F181" s="17" t="inlineStr">
        <is>
          <t>33320</t>
        </is>
      </c>
      <c r="G181" s="18" t="inlineStr">
        <is>
          <t>Conference and Event Planners (한국 표준 직종)</t>
        </is>
      </c>
      <c r="H181" s="17" t="inlineStr">
        <is>
          <t>13-1071.00</t>
        </is>
      </c>
      <c r="I181" s="18" t="inlineStr">
        <is>
          <t>Conference and Event Planners</t>
        </is>
      </c>
      <c r="J181" s="17" t="inlineStr">
        <is>
          <t>33320</t>
        </is>
      </c>
      <c r="K181" s="18" t="inlineStr">
        <is>
          <t>Conference and Event Planners (CZ-ISCO)</t>
        </is>
      </c>
      <c r="L181" s="18" t="inlineStr">
        <is>
          <t>Conference and event planners organize and coordinate services for conferences, events, functions, banquets and seminars.</t>
        </is>
      </c>
    </row>
    <row r="182">
      <c r="A182" s="15" t="inlineStr">
        <is>
          <t>3333</t>
        </is>
      </c>
      <c r="B182" s="16" t="inlineStr">
        <is>
          <t>Employment agents and contractors</t>
        </is>
      </c>
      <c r="C182" s="16" t="inlineStr">
        <is>
          <t>금융투자 / 핀테크 / 리스크</t>
        </is>
      </c>
      <c r="D182" s="15" t="inlineStr">
        <is>
          <t>02020101</t>
        </is>
      </c>
      <c r="E182" s="16" t="inlineStr">
        <is>
          <t>Employment agents and contractors 관련 국가직무</t>
        </is>
      </c>
      <c r="F182" s="15" t="inlineStr">
        <is>
          <t>33330</t>
        </is>
      </c>
      <c r="G182" s="16" t="inlineStr">
        <is>
          <t>Employment agents and contractors (한국 표준 직종)</t>
        </is>
      </c>
      <c r="H182" s="15" t="inlineStr">
        <is>
          <t>13-1071.00</t>
        </is>
      </c>
      <c r="I182" s="16" t="inlineStr">
        <is>
          <t>Employment agents and contractors</t>
        </is>
      </c>
      <c r="J182" s="15" t="inlineStr">
        <is>
          <t>33330</t>
        </is>
      </c>
      <c r="K182" s="16" t="inlineStr">
        <is>
          <t>Employment agents and contractors (CZ-ISCO)</t>
        </is>
      </c>
      <c r="L182" s="16"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c>
    </row>
    <row r="183">
      <c r="A183" s="17" t="inlineStr">
        <is>
          <t>3334</t>
        </is>
      </c>
      <c r="B183" s="18" t="inlineStr">
        <is>
          <t>Real Estate Agents and Property Managers</t>
        </is>
      </c>
      <c r="C183" s="18" t="inlineStr">
        <is>
          <t>금융투자 / 핀테크 / 리스크</t>
        </is>
      </c>
      <c r="D183" s="17" t="inlineStr">
        <is>
          <t>02020101</t>
        </is>
      </c>
      <c r="E183" s="18" t="inlineStr">
        <is>
          <t>Real Estate Agents and Property Managers 관련 국가직무</t>
        </is>
      </c>
      <c r="F183" s="17" t="inlineStr">
        <is>
          <t>33340</t>
        </is>
      </c>
      <c r="G183" s="18" t="inlineStr">
        <is>
          <t>Real Estate Agents and Property Managers (한국 표준 직종)</t>
        </is>
      </c>
      <c r="H183" s="17" t="inlineStr">
        <is>
          <t>13-1071.00</t>
        </is>
      </c>
      <c r="I183" s="18" t="inlineStr">
        <is>
          <t>Real Estate Agents and Property Managers</t>
        </is>
      </c>
      <c r="J183" s="17" t="inlineStr">
        <is>
          <t>33340</t>
        </is>
      </c>
      <c r="K183" s="18" t="inlineStr">
        <is>
          <t>Real Estate Agents and Property Managers (CZ-ISCO)</t>
        </is>
      </c>
      <c r="L183" s="18" t="inlineStr">
        <is>
          <t>Real estate agents and property managers arrange the sale, purchase, rental and lease of real property, usually on behalf of clients and on a commission basis.</t>
        </is>
      </c>
    </row>
    <row r="184">
      <c r="A184" s="15" t="inlineStr">
        <is>
          <t>3339</t>
        </is>
      </c>
      <c r="B184" s="16" t="inlineStr">
        <is>
          <t>Business Services Agents Not Elsewhere Classified</t>
        </is>
      </c>
      <c r="C184" s="16" t="inlineStr">
        <is>
          <t>금융투자 / 핀테크 / 리스크</t>
        </is>
      </c>
      <c r="D184" s="15" t="inlineStr">
        <is>
          <t>02020101</t>
        </is>
      </c>
      <c r="E184" s="16" t="inlineStr">
        <is>
          <t>Business Services Agents Not Elsewhere Classified 관련 국가직무</t>
        </is>
      </c>
      <c r="F184" s="15" t="inlineStr">
        <is>
          <t>33390</t>
        </is>
      </c>
      <c r="G184" s="16" t="inlineStr">
        <is>
          <t>Business Services Agents Not Elsewhere Classified (한국 표준 직종)</t>
        </is>
      </c>
      <c r="H184" s="15" t="inlineStr">
        <is>
          <t>13-1071.00</t>
        </is>
      </c>
      <c r="I184" s="16" t="inlineStr">
        <is>
          <t>Business Services Agents Not Elsewhere Classified</t>
        </is>
      </c>
      <c r="J184" s="15" t="inlineStr">
        <is>
          <t>33390</t>
        </is>
      </c>
      <c r="K184" s="16" t="inlineStr">
        <is>
          <t>Business Services Agents Not Elsewhere Classified (CZ-ISCO)</t>
        </is>
      </c>
      <c r="L184" s="16"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t>
        </is>
      </c>
    </row>
    <row r="185">
      <c r="A185" s="17" t="inlineStr">
        <is>
          <t>3341</t>
        </is>
      </c>
      <c r="B185" s="18" t="inlineStr">
        <is>
          <t>Office Supervisors</t>
        </is>
      </c>
      <c r="C185" s="18" t="inlineStr">
        <is>
          <t>금융투자 / 핀테크 / 리스크</t>
        </is>
      </c>
      <c r="D185" s="17" t="inlineStr">
        <is>
          <t>02020101</t>
        </is>
      </c>
      <c r="E185" s="18" t="inlineStr">
        <is>
          <t>Office Supervisors 관련 국가직무</t>
        </is>
      </c>
      <c r="F185" s="17" t="inlineStr">
        <is>
          <t>33410</t>
        </is>
      </c>
      <c r="G185" s="18" t="inlineStr">
        <is>
          <t>Office Supervisors (한국 표준 직종)</t>
        </is>
      </c>
      <c r="H185" s="17" t="inlineStr">
        <is>
          <t>13-1071.00</t>
        </is>
      </c>
      <c r="I185" s="18" t="inlineStr">
        <is>
          <t>Office Supervisors</t>
        </is>
      </c>
      <c r="J185" s="17" t="inlineStr">
        <is>
          <t>33410</t>
        </is>
      </c>
      <c r="K185" s="18" t="inlineStr">
        <is>
          <t>Office Supervisors (CZ-ISCO)</t>
        </is>
      </c>
      <c r="L185" s="18" t="inlineStr">
        <is>
          <t>Office supervisors supervise and coordinate the activities of workers in Major Group 4: Clerical Support Workers.</t>
        </is>
      </c>
    </row>
    <row r="186">
      <c r="A186" s="15" t="inlineStr">
        <is>
          <t>3342</t>
        </is>
      </c>
      <c r="B186" s="16" t="inlineStr">
        <is>
          <t>Legal Secretaries</t>
        </is>
      </c>
      <c r="C186" s="16" t="inlineStr">
        <is>
          <t>금융투자 / 핀테크 / 리스크</t>
        </is>
      </c>
      <c r="D186" s="15" t="inlineStr">
        <is>
          <t>02020101</t>
        </is>
      </c>
      <c r="E186" s="16" t="inlineStr">
        <is>
          <t>Legal Secretaries 관련 국가직무</t>
        </is>
      </c>
      <c r="F186" s="15" t="inlineStr">
        <is>
          <t>33420</t>
        </is>
      </c>
      <c r="G186" s="16" t="inlineStr">
        <is>
          <t>Legal Secretaries (한국 표준 직종)</t>
        </is>
      </c>
      <c r="H186" s="15" t="inlineStr">
        <is>
          <t>13-1071.00</t>
        </is>
      </c>
      <c r="I186" s="16" t="inlineStr">
        <is>
          <t>Legal Secretaries</t>
        </is>
      </c>
      <c r="J186" s="15" t="inlineStr">
        <is>
          <t>33420</t>
        </is>
      </c>
      <c r="K186" s="16" t="inlineStr">
        <is>
          <t>Legal Secretaries (CZ-ISCO)</t>
        </is>
      </c>
      <c r="L186" s="16"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c>
    </row>
    <row r="187">
      <c r="A187" s="17" t="inlineStr">
        <is>
          <t>3343</t>
        </is>
      </c>
      <c r="B187" s="18" t="inlineStr">
        <is>
          <t>Administrative and Executive Secretaries</t>
        </is>
      </c>
      <c r="C187" s="18" t="inlineStr">
        <is>
          <t>금융투자 / 핀테크 / 리스크</t>
        </is>
      </c>
      <c r="D187" s="17" t="inlineStr">
        <is>
          <t>02020101</t>
        </is>
      </c>
      <c r="E187" s="18" t="inlineStr">
        <is>
          <t>Administrative and Executive Secretaries 관련 국가직무</t>
        </is>
      </c>
      <c r="F187" s="17" t="inlineStr">
        <is>
          <t>33430</t>
        </is>
      </c>
      <c r="G187" s="18" t="inlineStr">
        <is>
          <t>Administrative and Executive Secretaries (한국 표준 직종)</t>
        </is>
      </c>
      <c r="H187" s="17" t="inlineStr">
        <is>
          <t>13-1071.00</t>
        </is>
      </c>
      <c r="I187" s="18" t="inlineStr">
        <is>
          <t>Administrative and Executive Secretaries</t>
        </is>
      </c>
      <c r="J187" s="17" t="inlineStr">
        <is>
          <t>33430</t>
        </is>
      </c>
      <c r="K187" s="18" t="inlineStr">
        <is>
          <t>Administrative and Executive Secretaries (CZ-ISCO)</t>
        </is>
      </c>
      <c r="L187" s="18" t="inlineStr">
        <is>
          <t>Administrative and executive secretaries perform liaison, coordination and organizational tasks in support of managers and professionals and/or prepare correspondence, reports and records of proceedings and other specialized documentation.</t>
        </is>
      </c>
    </row>
    <row r="188">
      <c r="A188" s="15" t="inlineStr">
        <is>
          <t>3344</t>
        </is>
      </c>
      <c r="B188" s="16" t="inlineStr">
        <is>
          <t>Medical Secretaries</t>
        </is>
      </c>
      <c r="C188" s="16" t="inlineStr">
        <is>
          <t>금융투자 / 핀테크 / 리스크</t>
        </is>
      </c>
      <c r="D188" s="15" t="inlineStr">
        <is>
          <t>02020101</t>
        </is>
      </c>
      <c r="E188" s="16" t="inlineStr">
        <is>
          <t>Medical Secretaries 관련 국가직무</t>
        </is>
      </c>
      <c r="F188" s="15" t="inlineStr">
        <is>
          <t>33440</t>
        </is>
      </c>
      <c r="G188" s="16" t="inlineStr">
        <is>
          <t>Medical Secretaries (한국 표준 직종)</t>
        </is>
      </c>
      <c r="H188" s="15" t="inlineStr">
        <is>
          <t>13-1071.00</t>
        </is>
      </c>
      <c r="I188" s="16" t="inlineStr">
        <is>
          <t>Medical Secretaries</t>
        </is>
      </c>
      <c r="J188" s="15" t="inlineStr">
        <is>
          <t>33440</t>
        </is>
      </c>
      <c r="K188" s="16" t="inlineStr">
        <is>
          <t>Medical Secretaries (CZ-ISCO)</t>
        </is>
      </c>
      <c r="L188" s="16"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t>
        </is>
      </c>
    </row>
    <row r="189">
      <c r="A189" s="17" t="inlineStr">
        <is>
          <t>3351</t>
        </is>
      </c>
      <c r="B189" s="18" t="inlineStr">
        <is>
          <t>Customs and Border Inspectors</t>
        </is>
      </c>
      <c r="C189" s="18" t="inlineStr">
        <is>
          <t>금융투자 / 핀테크 / 리스크</t>
        </is>
      </c>
      <c r="D189" s="17" t="inlineStr">
        <is>
          <t>02020101</t>
        </is>
      </c>
      <c r="E189" s="18" t="inlineStr">
        <is>
          <t>Customs and Border Inspectors 관련 국가직무</t>
        </is>
      </c>
      <c r="F189" s="17" t="inlineStr">
        <is>
          <t>33510</t>
        </is>
      </c>
      <c r="G189" s="18" t="inlineStr">
        <is>
          <t>Customs and Border Inspectors (한국 표준 직종)</t>
        </is>
      </c>
      <c r="H189" s="17" t="inlineStr">
        <is>
          <t>13-1071.00</t>
        </is>
      </c>
      <c r="I189" s="18" t="inlineStr">
        <is>
          <t>Customs and Border Inspectors</t>
        </is>
      </c>
      <c r="J189" s="17" t="inlineStr">
        <is>
          <t>33510</t>
        </is>
      </c>
      <c r="K189" s="18" t="inlineStr">
        <is>
          <t>Customs and Border Inspectors (CZ-ISCO)</t>
        </is>
      </c>
      <c r="L189" s="18" t="inlineStr">
        <is>
          <t>Customs and border inspectors check persons and vehicles crossing national borders to administer and enforce relevant government rules and regulations.</t>
        </is>
      </c>
    </row>
    <row r="190">
      <c r="A190" s="15" t="inlineStr">
        <is>
          <t>3352</t>
        </is>
      </c>
      <c r="B190" s="16" t="inlineStr">
        <is>
          <t>Government Tax and Excise Officials</t>
        </is>
      </c>
      <c r="C190" s="16" t="inlineStr">
        <is>
          <t>금융투자 / 핀테크 / 리스크</t>
        </is>
      </c>
      <c r="D190" s="15" t="inlineStr">
        <is>
          <t>02020101</t>
        </is>
      </c>
      <c r="E190" s="16" t="inlineStr">
        <is>
          <t>Government Tax and Excise Officials 관련 국가직무</t>
        </is>
      </c>
      <c r="F190" s="15" t="inlineStr">
        <is>
          <t>33520</t>
        </is>
      </c>
      <c r="G190" s="16" t="inlineStr">
        <is>
          <t>Government Tax and Excise Officials (한국 표준 직종)</t>
        </is>
      </c>
      <c r="H190" s="15" t="inlineStr">
        <is>
          <t>13-1071.00</t>
        </is>
      </c>
      <c r="I190" s="16" t="inlineStr">
        <is>
          <t>Government Tax and Excise Officials</t>
        </is>
      </c>
      <c r="J190" s="15" t="inlineStr">
        <is>
          <t>33520</t>
        </is>
      </c>
      <c r="K190" s="16" t="inlineStr">
        <is>
          <t>Government Tax and Excise Officials (CZ-ISCO)</t>
        </is>
      </c>
      <c r="L190" s="16"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t>
        </is>
      </c>
    </row>
    <row r="191">
      <c r="A191" s="17" t="inlineStr">
        <is>
          <t>3353</t>
        </is>
      </c>
      <c r="B191" s="18" t="inlineStr">
        <is>
          <t>Government Social Benefits Officials</t>
        </is>
      </c>
      <c r="C191" s="18" t="inlineStr">
        <is>
          <t>금융투자 / 핀테크 / 리스크</t>
        </is>
      </c>
      <c r="D191" s="17" t="inlineStr">
        <is>
          <t>02020101</t>
        </is>
      </c>
      <c r="E191" s="18" t="inlineStr">
        <is>
          <t>Government Social Benefits Officials 관련 국가직무</t>
        </is>
      </c>
      <c r="F191" s="17" t="inlineStr">
        <is>
          <t>33530</t>
        </is>
      </c>
      <c r="G191" s="18" t="inlineStr">
        <is>
          <t>Government Social Benefits Officials (한국 표준 직종)</t>
        </is>
      </c>
      <c r="H191" s="17" t="inlineStr">
        <is>
          <t>13-1071.00</t>
        </is>
      </c>
      <c r="I191" s="18" t="inlineStr">
        <is>
          <t>Government Social Benefits Officials</t>
        </is>
      </c>
      <c r="J191" s="17" t="inlineStr">
        <is>
          <t>33530</t>
        </is>
      </c>
      <c r="K191" s="18" t="inlineStr">
        <is>
          <t>Government Social Benefits Officials (CZ-ISCO)</t>
        </is>
      </c>
      <c r="L191" s="18"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c>
    </row>
    <row r="192">
      <c r="A192" s="15" t="inlineStr">
        <is>
          <t>3354</t>
        </is>
      </c>
      <c r="B192" s="16" t="inlineStr">
        <is>
          <t>Government Licensing Officials</t>
        </is>
      </c>
      <c r="C192" s="16" t="inlineStr">
        <is>
          <t>금융투자 / 핀테크 / 리스크</t>
        </is>
      </c>
      <c r="D192" s="15" t="inlineStr">
        <is>
          <t>02020101</t>
        </is>
      </c>
      <c r="E192" s="16" t="inlineStr">
        <is>
          <t>Government Licensing Officials 관련 국가직무</t>
        </is>
      </c>
      <c r="F192" s="15" t="inlineStr">
        <is>
          <t>33540</t>
        </is>
      </c>
      <c r="G192" s="16" t="inlineStr">
        <is>
          <t>Government Licensing Officials (한국 표준 직종)</t>
        </is>
      </c>
      <c r="H192" s="15" t="inlineStr">
        <is>
          <t>13-1071.00</t>
        </is>
      </c>
      <c r="I192" s="16" t="inlineStr">
        <is>
          <t>Government Licensing Officials</t>
        </is>
      </c>
      <c r="J192" s="15" t="inlineStr">
        <is>
          <t>33540</t>
        </is>
      </c>
      <c r="K192" s="16" t="inlineStr">
        <is>
          <t>Government Licensing Officials (CZ-ISCO)</t>
        </is>
      </c>
      <c r="L192" s="16"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t>
        </is>
      </c>
    </row>
    <row r="193">
      <c r="A193" s="17" t="inlineStr">
        <is>
          <t>3355</t>
        </is>
      </c>
      <c r="B193" s="18" t="inlineStr">
        <is>
          <t>Police Inspectors and Detectives</t>
        </is>
      </c>
      <c r="C193" s="18" t="inlineStr">
        <is>
          <t>금융투자 / 핀테크 / 리스크</t>
        </is>
      </c>
      <c r="D193" s="17" t="inlineStr">
        <is>
          <t>02020101</t>
        </is>
      </c>
      <c r="E193" s="18" t="inlineStr">
        <is>
          <t>Police Inspectors and Detectives 관련 국가직무</t>
        </is>
      </c>
      <c r="F193" s="17" t="inlineStr">
        <is>
          <t>33550</t>
        </is>
      </c>
      <c r="G193" s="18" t="inlineStr">
        <is>
          <t>Police Inspectors and Detectives (한국 표준 직종)</t>
        </is>
      </c>
      <c r="H193" s="17" t="inlineStr">
        <is>
          <t>13-1071.00</t>
        </is>
      </c>
      <c r="I193" s="18" t="inlineStr">
        <is>
          <t>Police Inspectors and Detectives</t>
        </is>
      </c>
      <c r="J193" s="17" t="inlineStr">
        <is>
          <t>33550</t>
        </is>
      </c>
      <c r="K193" s="18" t="inlineStr">
        <is>
          <t>Police Inspectors and Detectives (CZ-ISCO)</t>
        </is>
      </c>
      <c r="L193" s="18"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t>
        </is>
      </c>
    </row>
    <row r="194">
      <c r="A194" s="15" t="inlineStr">
        <is>
          <t>3359</t>
        </is>
      </c>
      <c r="B194" s="16" t="inlineStr">
        <is>
          <t>Government Regulatory AssociatePprofessionals Not Elsewhere Classified</t>
        </is>
      </c>
      <c r="C194" s="16" t="inlineStr">
        <is>
          <t>금융투자 / 핀테크 / 리스크</t>
        </is>
      </c>
      <c r="D194" s="15" t="inlineStr">
        <is>
          <t>02020101</t>
        </is>
      </c>
      <c r="E194" s="16" t="inlineStr">
        <is>
          <t>Government Regulatory AssociatePprofessionals Not Elsewhere Classified 관련 국가직무</t>
        </is>
      </c>
      <c r="F194" s="15" t="inlineStr">
        <is>
          <t>33590</t>
        </is>
      </c>
      <c r="G194" s="16" t="inlineStr">
        <is>
          <t>Government Regulatory AssociatePprofessionals Not Elsewhere Classified (한국 표준 직종)</t>
        </is>
      </c>
      <c r="H194" s="15" t="inlineStr">
        <is>
          <t>13-1071.00</t>
        </is>
      </c>
      <c r="I194" s="16" t="inlineStr">
        <is>
          <t>Government Regulatory AssociatePprofessionals Not Elsewhere Classified</t>
        </is>
      </c>
      <c r="J194" s="15" t="inlineStr">
        <is>
          <t>33590</t>
        </is>
      </c>
      <c r="K194" s="16" t="inlineStr">
        <is>
          <t>Government Regulatory AssociatePprofessionals Not Elsewhere Classified (CZ-ISCO)</t>
        </is>
      </c>
      <c r="L194" s="16" t="inlineStr">
        <is>
          <t>This unit group covers government regulatory associate professionals not classified elsewhere. For instance the group includes agricultural, fisheries, forestry, prices, wages and weights and measures inspectors.</t>
        </is>
      </c>
    </row>
    <row r="195">
      <c r="A195" s="17" t="inlineStr">
        <is>
          <t>3411</t>
        </is>
      </c>
      <c r="B195" s="18" t="inlineStr">
        <is>
          <t>Legal and Related Associate Professionals</t>
        </is>
      </c>
      <c r="C195" s="18" t="inlineStr">
        <is>
          <t>법률 / 지식재산권 / 변리</t>
        </is>
      </c>
      <c r="D195" s="17" t="inlineStr">
        <is>
          <t>02340101</t>
        </is>
      </c>
      <c r="E195" s="18" t="inlineStr">
        <is>
          <t>Legal and Related Associate Professionals 관련 국가직무</t>
        </is>
      </c>
      <c r="F195" s="17" t="inlineStr">
        <is>
          <t>34110</t>
        </is>
      </c>
      <c r="G195" s="18" t="inlineStr">
        <is>
          <t>Legal and Related Associate Professionals (한국 표준 직종)</t>
        </is>
      </c>
      <c r="H195" s="17" t="inlineStr">
        <is>
          <t>15-3411.00</t>
        </is>
      </c>
      <c r="I195" s="18" t="inlineStr">
        <is>
          <t>Legal and Related Associate Professionals</t>
        </is>
      </c>
      <c r="J195" s="17" t="inlineStr">
        <is>
          <t>34110</t>
        </is>
      </c>
      <c r="K195" s="18" t="inlineStr">
        <is>
          <t>Legal and Related Associate Professionals (CZ-ISCO)</t>
        </is>
      </c>
      <c r="L195" s="18"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c>
    </row>
    <row r="196">
      <c r="A196" s="15" t="inlineStr">
        <is>
          <t>3412</t>
        </is>
      </c>
      <c r="B196" s="16" t="inlineStr">
        <is>
          <t>Social Work Associate Professionals</t>
        </is>
      </c>
      <c r="C196" s="16" t="inlineStr">
        <is>
          <t>법률 / 지식재산권 / 변리</t>
        </is>
      </c>
      <c r="D196" s="15" t="inlineStr">
        <is>
          <t>02340101</t>
        </is>
      </c>
      <c r="E196" s="16" t="inlineStr">
        <is>
          <t>Social Work Associate Professionals 관련 국가직무</t>
        </is>
      </c>
      <c r="F196" s="15" t="inlineStr">
        <is>
          <t>34120</t>
        </is>
      </c>
      <c r="G196" s="16" t="inlineStr">
        <is>
          <t>Social Work Associate Professionals (한국 표준 직종)</t>
        </is>
      </c>
      <c r="H196" s="15" t="inlineStr">
        <is>
          <t>15-3411.00</t>
        </is>
      </c>
      <c r="I196" s="16" t="inlineStr">
        <is>
          <t>Social Work Associate Professionals</t>
        </is>
      </c>
      <c r="J196" s="15" t="inlineStr">
        <is>
          <t>34120</t>
        </is>
      </c>
      <c r="K196" s="16" t="inlineStr">
        <is>
          <t>Social Work Associate Professionals (CZ-ISCO)</t>
        </is>
      </c>
      <c r="L196" s="16" t="inlineStr">
        <is>
          <t>Social work associate professionals administer and implement social assistance programmes and community services and assist clients to deal with personal and social problems.</t>
        </is>
      </c>
    </row>
    <row r="197">
      <c r="A197" s="17" t="inlineStr">
        <is>
          <t>3413</t>
        </is>
      </c>
      <c r="B197" s="18" t="inlineStr">
        <is>
          <t>Religious Associate Professionals</t>
        </is>
      </c>
      <c r="C197" s="18" t="inlineStr">
        <is>
          <t>법률 / 지식재산권 / 변리</t>
        </is>
      </c>
      <c r="D197" s="17" t="inlineStr">
        <is>
          <t>02340101</t>
        </is>
      </c>
      <c r="E197" s="18" t="inlineStr">
        <is>
          <t>Religious Associate Professionals 관련 국가직무</t>
        </is>
      </c>
      <c r="F197" s="17" t="inlineStr">
        <is>
          <t>34130</t>
        </is>
      </c>
      <c r="G197" s="18" t="inlineStr">
        <is>
          <t>Religious Associate Professionals (한국 표준 직종)</t>
        </is>
      </c>
      <c r="H197" s="17" t="inlineStr">
        <is>
          <t>15-3411.00</t>
        </is>
      </c>
      <c r="I197" s="18" t="inlineStr">
        <is>
          <t>Religious Associate Professionals</t>
        </is>
      </c>
      <c r="J197" s="17" t="inlineStr">
        <is>
          <t>34130</t>
        </is>
      </c>
      <c r="K197" s="18" t="inlineStr">
        <is>
          <t>Religious Associate Professionals (CZ-ISCO)</t>
        </is>
      </c>
      <c r="L197" s="18"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c>
    </row>
    <row r="198">
      <c r="A198" s="15" t="inlineStr">
        <is>
          <t>3421</t>
        </is>
      </c>
      <c r="B198" s="16" t="inlineStr">
        <is>
          <t>Athletes and Sports Players</t>
        </is>
      </c>
      <c r="C198" s="16" t="inlineStr">
        <is>
          <t>법률 / 지식재산권 / 변리</t>
        </is>
      </c>
      <c r="D198" s="15" t="inlineStr">
        <is>
          <t>02340101</t>
        </is>
      </c>
      <c r="E198" s="16" t="inlineStr">
        <is>
          <t>Athletes and Sports Players 관련 국가직무</t>
        </is>
      </c>
      <c r="F198" s="15" t="inlineStr">
        <is>
          <t>34210</t>
        </is>
      </c>
      <c r="G198" s="16" t="inlineStr">
        <is>
          <t>Athletes and Sports Players (한국 표준 직종)</t>
        </is>
      </c>
      <c r="H198" s="15" t="inlineStr">
        <is>
          <t>15-3411.00</t>
        </is>
      </c>
      <c r="I198" s="16" t="inlineStr">
        <is>
          <t>Athletes and Sports Players</t>
        </is>
      </c>
      <c r="J198" s="15" t="inlineStr">
        <is>
          <t>34210</t>
        </is>
      </c>
      <c r="K198" s="16" t="inlineStr">
        <is>
          <t>Athletes and Sports Players (CZ-ISCO)</t>
        </is>
      </c>
      <c r="L198" s="16" t="inlineStr">
        <is>
          <t>Athletes and sport players participate in competitive sporting events. They train and compete, either individually or as part of a team, in their chosen sport.</t>
        </is>
      </c>
    </row>
    <row r="199">
      <c r="A199" s="17" t="inlineStr">
        <is>
          <t>3422</t>
        </is>
      </c>
      <c r="B199" s="18" t="inlineStr">
        <is>
          <t>Sports Coaches, Instructors and Officials</t>
        </is>
      </c>
      <c r="C199" s="18" t="inlineStr">
        <is>
          <t>법률 / 지식재산권 / 변리</t>
        </is>
      </c>
      <c r="D199" s="17" t="inlineStr">
        <is>
          <t>02340101</t>
        </is>
      </c>
      <c r="E199" s="18" t="inlineStr">
        <is>
          <t>Sports Coaches, Instructors and Officials 관련 국가직무</t>
        </is>
      </c>
      <c r="F199" s="17" t="inlineStr">
        <is>
          <t>34220</t>
        </is>
      </c>
      <c r="G199" s="18" t="inlineStr">
        <is>
          <t>Sports Coaches, Instructors and Officials (한국 표준 직종)</t>
        </is>
      </c>
      <c r="H199" s="17" t="inlineStr">
        <is>
          <t>15-3411.00</t>
        </is>
      </c>
      <c r="I199" s="18" t="inlineStr">
        <is>
          <t>Sports Coaches, Instructors and Officials</t>
        </is>
      </c>
      <c r="J199" s="17" t="inlineStr">
        <is>
          <t>34220</t>
        </is>
      </c>
      <c r="K199" s="18" t="inlineStr">
        <is>
          <t>Sports Coaches, Instructors and Officials (CZ-ISCO)</t>
        </is>
      </c>
      <c r="L199" s="18" t="inlineStr">
        <is>
          <t>Sports coaches, instructors and officials work with amateur and professional sportspersons to enhance performance, encourage greater participation in sport, and organize and officiate in sporting events according to established rules.</t>
        </is>
      </c>
    </row>
    <row r="200">
      <c r="A200" s="15" t="inlineStr">
        <is>
          <t>3423</t>
        </is>
      </c>
      <c r="B200" s="16" t="inlineStr">
        <is>
          <t>Fitness and Recreation Instructors and Programme Leaders</t>
        </is>
      </c>
      <c r="C200" s="16" t="inlineStr">
        <is>
          <t>법률 / 지식재산권 / 변리</t>
        </is>
      </c>
      <c r="D200" s="15" t="inlineStr">
        <is>
          <t>02340101</t>
        </is>
      </c>
      <c r="E200" s="16" t="inlineStr">
        <is>
          <t>Fitness and Recreation Instructors and Programme Leaders 관련 국가직무</t>
        </is>
      </c>
      <c r="F200" s="15" t="inlineStr">
        <is>
          <t>34230</t>
        </is>
      </c>
      <c r="G200" s="16" t="inlineStr">
        <is>
          <t>Fitness and Recreation Instructors and Programme Leaders (한국 표준 직종)</t>
        </is>
      </c>
      <c r="H200" s="15" t="inlineStr">
        <is>
          <t>15-3411.00</t>
        </is>
      </c>
      <c r="I200" s="16" t="inlineStr">
        <is>
          <t>Fitness and Recreation Instructors and Programme Leaders</t>
        </is>
      </c>
      <c r="J200" s="15" t="inlineStr">
        <is>
          <t>34230</t>
        </is>
      </c>
      <c r="K200" s="16" t="inlineStr">
        <is>
          <t>Fitness and Recreation Instructors and Programme Leaders (CZ-ISCO)</t>
        </is>
      </c>
      <c r="L200" s="16" t="inlineStr">
        <is>
          <t>Fitness and recreation instructors and programme leaders lead, guide and instruct groups and individuals in recreational, fitness or outdoor adventure activities.</t>
        </is>
      </c>
    </row>
    <row r="201">
      <c r="A201" s="17" t="inlineStr">
        <is>
          <t>3431</t>
        </is>
      </c>
      <c r="B201" s="18" t="inlineStr">
        <is>
          <t>Photographers</t>
        </is>
      </c>
      <c r="C201" s="18" t="inlineStr">
        <is>
          <t>법률 / 지식재산권 / 변리</t>
        </is>
      </c>
      <c r="D201" s="17" t="inlineStr">
        <is>
          <t>02340101</t>
        </is>
      </c>
      <c r="E201" s="18" t="inlineStr">
        <is>
          <t>Photographers 관련 국가직무</t>
        </is>
      </c>
      <c r="F201" s="17" t="inlineStr">
        <is>
          <t>34310</t>
        </is>
      </c>
      <c r="G201" s="18" t="inlineStr">
        <is>
          <t>Photographers (한국 표준 직종)</t>
        </is>
      </c>
      <c r="H201" s="17" t="inlineStr">
        <is>
          <t>15-3411.00</t>
        </is>
      </c>
      <c r="I201" s="18" t="inlineStr">
        <is>
          <t>Photographers</t>
        </is>
      </c>
      <c r="J201" s="17" t="inlineStr">
        <is>
          <t>34310</t>
        </is>
      </c>
      <c r="K201" s="18" t="inlineStr">
        <is>
          <t>Photographers (CZ-ISCO)</t>
        </is>
      </c>
      <c r="L201" s="18" t="inlineStr">
        <is>
          <t>Photographers operate still cameras to photograph people, events, scenes, materials, products and other subjects.</t>
        </is>
      </c>
    </row>
    <row r="202">
      <c r="A202" s="15" t="inlineStr">
        <is>
          <t>3432</t>
        </is>
      </c>
      <c r="B202" s="16" t="inlineStr">
        <is>
          <t>Interior Designers and Decorators</t>
        </is>
      </c>
      <c r="C202" s="16" t="inlineStr">
        <is>
          <t>법률 / 지식재산권 / 변리</t>
        </is>
      </c>
      <c r="D202" s="15" t="inlineStr">
        <is>
          <t>02340101</t>
        </is>
      </c>
      <c r="E202" s="16" t="inlineStr">
        <is>
          <t>Interior Designers and Decorators 관련 국가직무</t>
        </is>
      </c>
      <c r="F202" s="15" t="inlineStr">
        <is>
          <t>34320</t>
        </is>
      </c>
      <c r="G202" s="16" t="inlineStr">
        <is>
          <t>Interior Designers and Decorators (한국 표준 직종)</t>
        </is>
      </c>
      <c r="H202" s="15" t="inlineStr">
        <is>
          <t>15-3411.00</t>
        </is>
      </c>
      <c r="I202" s="16" t="inlineStr">
        <is>
          <t>Interior Designers and Decorators</t>
        </is>
      </c>
      <c r="J202" s="15" t="inlineStr">
        <is>
          <t>34320</t>
        </is>
      </c>
      <c r="K202" s="16" t="inlineStr">
        <is>
          <t>Interior Designers and Decorators (CZ-ISCO)</t>
        </is>
      </c>
      <c r="L202" s="16"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t>
        </is>
      </c>
    </row>
    <row r="203">
      <c r="A203" s="17" t="inlineStr">
        <is>
          <t>3433</t>
        </is>
      </c>
      <c r="B203" s="18" t="inlineStr">
        <is>
          <t>Gallery, Museum and Library Technicians</t>
        </is>
      </c>
      <c r="C203" s="18" t="inlineStr">
        <is>
          <t>법률 / 지식재산권 / 변리</t>
        </is>
      </c>
      <c r="D203" s="17" t="inlineStr">
        <is>
          <t>02340101</t>
        </is>
      </c>
      <c r="E203" s="18" t="inlineStr">
        <is>
          <t>Gallery, Museum and Library Technicians 관련 국가직무</t>
        </is>
      </c>
      <c r="F203" s="17" t="inlineStr">
        <is>
          <t>34330</t>
        </is>
      </c>
      <c r="G203" s="18" t="inlineStr">
        <is>
          <t>Gallery, Museum and Library Technicians (한국 표준 직종)</t>
        </is>
      </c>
      <c r="H203" s="17" t="inlineStr">
        <is>
          <t>15-3411.00</t>
        </is>
      </c>
      <c r="I203" s="18" t="inlineStr">
        <is>
          <t>Gallery, Museum and Library Technicians</t>
        </is>
      </c>
      <c r="J203" s="17" t="inlineStr">
        <is>
          <t>34330</t>
        </is>
      </c>
      <c r="K203" s="18" t="inlineStr">
        <is>
          <t>Gallery, Museum and Library Technicians (CZ-ISCO)</t>
        </is>
      </c>
      <c r="L203" s="18" t="inlineStr">
        <is>
          <t>Gallery, museum and library technicians prepare artworks, specimens and artefacts for collections, arrange and construct gallery exhibits, and assist librarians to organize and operate systems for handling recorded material and files.</t>
        </is>
      </c>
    </row>
    <row r="204">
      <c r="A204" s="15" t="inlineStr">
        <is>
          <t>3434</t>
        </is>
      </c>
      <c r="B204" s="16" t="inlineStr">
        <is>
          <t>Chefs</t>
        </is>
      </c>
      <c r="C204" s="16" t="inlineStr">
        <is>
          <t>법률 / 지식재산권 / 변리</t>
        </is>
      </c>
      <c r="D204" s="15" t="inlineStr">
        <is>
          <t>02340101</t>
        </is>
      </c>
      <c r="E204" s="16" t="inlineStr">
        <is>
          <t>Chefs 관련 국가직무</t>
        </is>
      </c>
      <c r="F204" s="15" t="inlineStr">
        <is>
          <t>34340</t>
        </is>
      </c>
      <c r="G204" s="16" t="inlineStr">
        <is>
          <t>Chefs (한국 표준 직종)</t>
        </is>
      </c>
      <c r="H204" s="15" t="inlineStr">
        <is>
          <t>15-3411.00</t>
        </is>
      </c>
      <c r="I204" s="16" t="inlineStr">
        <is>
          <t>Chefs</t>
        </is>
      </c>
      <c r="J204" s="15" t="inlineStr">
        <is>
          <t>34340</t>
        </is>
      </c>
      <c r="K204" s="16" t="inlineStr">
        <is>
          <t>Chefs (CZ-ISCO)</t>
        </is>
      </c>
      <c r="L204" s="16" t="inlineStr">
        <is>
          <t>Chefs design menus, create dishes and oversee the planning, organization preparation and cooking of meals in hotels, restaurants and other eating places, on board ships, on passenger trains and in private households.</t>
        </is>
      </c>
    </row>
    <row r="205">
      <c r="A205" s="17" t="inlineStr">
        <is>
          <t>3435</t>
        </is>
      </c>
      <c r="B205" s="18" t="inlineStr">
        <is>
          <t>Other Artistic and Cultural Associate Professionals</t>
        </is>
      </c>
      <c r="C205" s="18" t="inlineStr">
        <is>
          <t>법률 / 지식재산권 / 변리</t>
        </is>
      </c>
      <c r="D205" s="17" t="inlineStr">
        <is>
          <t>02340101</t>
        </is>
      </c>
      <c r="E205" s="18" t="inlineStr">
        <is>
          <t>Other Artistic and Cultural Associate Professionals 관련 국가직무</t>
        </is>
      </c>
      <c r="F205" s="17" t="inlineStr">
        <is>
          <t>34350</t>
        </is>
      </c>
      <c r="G205" s="18" t="inlineStr">
        <is>
          <t>Other Artistic and Cultural Associate Professionals (한국 표준 직종)</t>
        </is>
      </c>
      <c r="H205" s="17" t="inlineStr">
        <is>
          <t>15-3411.00</t>
        </is>
      </c>
      <c r="I205" s="18" t="inlineStr">
        <is>
          <t>Other Artistic and Cultural Associate Professionals</t>
        </is>
      </c>
      <c r="J205" s="17" t="inlineStr">
        <is>
          <t>34350</t>
        </is>
      </c>
      <c r="K205" s="18" t="inlineStr">
        <is>
          <t>Other Artistic and Cultural Associate Professionals (CZ-ISCO)</t>
        </is>
      </c>
      <c r="L205" s="18"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t>
        </is>
      </c>
    </row>
    <row r="206">
      <c r="A206" s="15" t="inlineStr">
        <is>
          <t>3511</t>
        </is>
      </c>
      <c r="B206" s="16" t="inlineStr">
        <is>
          <t>Information and Communications Technology Operations Technicians</t>
        </is>
      </c>
      <c r="C206" s="16" t="inlineStr">
        <is>
          <t>ICT / Software &amp; Data / AI</t>
        </is>
      </c>
      <c r="D206" s="15" t="inlineStr">
        <is>
          <t>20020101</t>
        </is>
      </c>
      <c r="E206" s="16" t="inlineStr">
        <is>
          <t>Information and Communications Technology Operations Technicians 관련 국가직무</t>
        </is>
      </c>
      <c r="F206" s="15" t="inlineStr">
        <is>
          <t>35110</t>
        </is>
      </c>
      <c r="G206" s="16" t="inlineStr">
        <is>
          <t>Information and Communications Technology Operations Technicians (한국 표준 직종)</t>
        </is>
      </c>
      <c r="H206" s="15" t="inlineStr">
        <is>
          <t>15-1232.00</t>
        </is>
      </c>
      <c r="I206" s="16" t="inlineStr">
        <is>
          <t>Information and Communications Technology Operations Technicians</t>
        </is>
      </c>
      <c r="J206" s="15" t="inlineStr">
        <is>
          <t>35110</t>
        </is>
      </c>
      <c r="K206" s="16" t="inlineStr">
        <is>
          <t>Information and Communications Technology Operations Technicians (CZ-ISCO)</t>
        </is>
      </c>
      <c r="L206" s="16"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c>
    </row>
    <row r="207">
      <c r="A207" s="17" t="inlineStr">
        <is>
          <t>3512</t>
        </is>
      </c>
      <c r="B207" s="18" t="inlineStr">
        <is>
          <t>Information and Communications Technology User Support Technicians</t>
        </is>
      </c>
      <c r="C207" s="18" t="inlineStr">
        <is>
          <t>ICT / Software &amp; Data / AI</t>
        </is>
      </c>
      <c r="D207" s="17" t="inlineStr">
        <is>
          <t>20020101</t>
        </is>
      </c>
      <c r="E207" s="18" t="inlineStr">
        <is>
          <t>Information and Communications Technology User Support Technicians 관련 국가직무</t>
        </is>
      </c>
      <c r="F207" s="17" t="inlineStr">
        <is>
          <t>35120</t>
        </is>
      </c>
      <c r="G207" s="18" t="inlineStr">
        <is>
          <t>Information and Communications Technology User Support Technicians (한국 표준 직종)</t>
        </is>
      </c>
      <c r="H207" s="17" t="inlineStr">
        <is>
          <t>15-1232.00</t>
        </is>
      </c>
      <c r="I207" s="18" t="inlineStr">
        <is>
          <t>Information and Communications Technology User Support Technicians</t>
        </is>
      </c>
      <c r="J207" s="17" t="inlineStr">
        <is>
          <t>35120</t>
        </is>
      </c>
      <c r="K207" s="18" t="inlineStr">
        <is>
          <t>Information and Communications Technology User Support Technicians (CZ-ISCO)</t>
        </is>
      </c>
      <c r="L207" s="18"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t>
        </is>
      </c>
    </row>
    <row r="208">
      <c r="A208" s="15" t="inlineStr">
        <is>
          <t>3513</t>
        </is>
      </c>
      <c r="B208" s="16" t="inlineStr">
        <is>
          <t>Computer Network and Systems Technicians</t>
        </is>
      </c>
      <c r="C208" s="16" t="inlineStr">
        <is>
          <t>ICT / Software &amp; Data / AI</t>
        </is>
      </c>
      <c r="D208" s="15" t="inlineStr">
        <is>
          <t>20020101</t>
        </is>
      </c>
      <c r="E208" s="16" t="inlineStr">
        <is>
          <t>Computer Network and Systems Technicians 관련 국가직무</t>
        </is>
      </c>
      <c r="F208" s="15" t="inlineStr">
        <is>
          <t>35130</t>
        </is>
      </c>
      <c r="G208" s="16" t="inlineStr">
        <is>
          <t>Computer Network and Systems Technicians (한국 표준 직종)</t>
        </is>
      </c>
      <c r="H208" s="15" t="inlineStr">
        <is>
          <t>15-1232.00</t>
        </is>
      </c>
      <c r="I208" s="16" t="inlineStr">
        <is>
          <t>Computer Network and Systems Technicians</t>
        </is>
      </c>
      <c r="J208" s="15" t="inlineStr">
        <is>
          <t>35130</t>
        </is>
      </c>
      <c r="K208" s="16" t="inlineStr">
        <is>
          <t>Computer Network and Systems Technicians (CZ-ISCO)</t>
        </is>
      </c>
      <c r="L208" s="16" t="inlineStr">
        <is>
          <t>Computer network and systems technicians establish, operate and maintain network and other data communications systems.</t>
        </is>
      </c>
    </row>
    <row r="209">
      <c r="A209" s="17" t="inlineStr">
        <is>
          <t>3514</t>
        </is>
      </c>
      <c r="B209" s="18" t="inlineStr">
        <is>
          <t>Web Technicians</t>
        </is>
      </c>
      <c r="C209" s="18" t="inlineStr">
        <is>
          <t>ICT / Software &amp; Data / AI</t>
        </is>
      </c>
      <c r="D209" s="17" t="inlineStr">
        <is>
          <t>20020101</t>
        </is>
      </c>
      <c r="E209" s="18" t="inlineStr">
        <is>
          <t>Web Technicians 관련 국가직무</t>
        </is>
      </c>
      <c r="F209" s="17" t="inlineStr">
        <is>
          <t>35140</t>
        </is>
      </c>
      <c r="G209" s="18" t="inlineStr">
        <is>
          <t>Web Technicians (한국 표준 직종)</t>
        </is>
      </c>
      <c r="H209" s="17" t="inlineStr">
        <is>
          <t>15-1232.00</t>
        </is>
      </c>
      <c r="I209" s="18" t="inlineStr">
        <is>
          <t>Web Technicians</t>
        </is>
      </c>
      <c r="J209" s="17" t="inlineStr">
        <is>
          <t>35140</t>
        </is>
      </c>
      <c r="K209" s="18" t="inlineStr">
        <is>
          <t>Web Technicians (CZ-ISCO)</t>
        </is>
      </c>
      <c r="L209" s="18" t="inlineStr">
        <is>
          <t>Web technicians maintain, monitor and support the optimal functioning of Internet and Intranet websites and web server hardware and software.</t>
        </is>
      </c>
    </row>
    <row r="210">
      <c r="A210" s="15" t="inlineStr">
        <is>
          <t>3521</t>
        </is>
      </c>
      <c r="B210" s="16" t="inlineStr">
        <is>
          <t>Broadcasting and Audio-visual Technicians</t>
        </is>
      </c>
      <c r="C210" s="16" t="inlineStr">
        <is>
          <t>ICT / Software &amp; Data / AI</t>
        </is>
      </c>
      <c r="D210" s="15" t="inlineStr">
        <is>
          <t>20020101</t>
        </is>
      </c>
      <c r="E210" s="16" t="inlineStr">
        <is>
          <t>Broadcasting and Audio-visual Technicians 관련 국가직무</t>
        </is>
      </c>
      <c r="F210" s="15" t="inlineStr">
        <is>
          <t>35210</t>
        </is>
      </c>
      <c r="G210" s="16" t="inlineStr">
        <is>
          <t>Broadcasting and Audio-visual Technicians (한국 표준 직종)</t>
        </is>
      </c>
      <c r="H210" s="15" t="inlineStr">
        <is>
          <t>15-1232.00</t>
        </is>
      </c>
      <c r="I210" s="16" t="inlineStr">
        <is>
          <t>Broadcasting and Audio-visual Technicians</t>
        </is>
      </c>
      <c r="J210" s="15" t="inlineStr">
        <is>
          <t>35210</t>
        </is>
      </c>
      <c r="K210" s="16" t="inlineStr">
        <is>
          <t>Broadcasting and Audio-visual Technicians (CZ-ISCO)</t>
        </is>
      </c>
      <c r="L210" s="16"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c>
    </row>
    <row r="211">
      <c r="A211" s="17" t="inlineStr">
        <is>
          <t>3522</t>
        </is>
      </c>
      <c r="B211" s="18" t="inlineStr">
        <is>
          <t>Telecommunications Engineering Technicians</t>
        </is>
      </c>
      <c r="C211" s="18" t="inlineStr">
        <is>
          <t>ICT / Software &amp; Data / AI</t>
        </is>
      </c>
      <c r="D211" s="17" t="inlineStr">
        <is>
          <t>20020101</t>
        </is>
      </c>
      <c r="E211" s="18" t="inlineStr">
        <is>
          <t>Telecommunications Engineering Technicians 관련 국가직무</t>
        </is>
      </c>
      <c r="F211" s="17" t="inlineStr">
        <is>
          <t>35220</t>
        </is>
      </c>
      <c r="G211" s="18" t="inlineStr">
        <is>
          <t>Telecommunications Engineering Technicians (한국 표준 직종)</t>
        </is>
      </c>
      <c r="H211" s="17" t="inlineStr">
        <is>
          <t>15-1232.00</t>
        </is>
      </c>
      <c r="I211" s="18" t="inlineStr">
        <is>
          <t>Telecommunications Engineering Technicians</t>
        </is>
      </c>
      <c r="J211" s="17" t="inlineStr">
        <is>
          <t>35220</t>
        </is>
      </c>
      <c r="K211" s="18" t="inlineStr">
        <is>
          <t>Telecommunications Engineering Technicians (CZ-ISCO)</t>
        </is>
      </c>
      <c r="L211" s="18" t="inlineStr">
        <is>
          <t>Telecommunications engineering technicians perform technical tasks connected with telecommunications engineering research, as well as with the design, manufacture, assembly, construction, operation, maintenance and repair of telecommunications systems.</t>
        </is>
      </c>
    </row>
    <row r="212">
      <c r="A212" s="15" t="inlineStr">
        <is>
          <t>4110</t>
        </is>
      </c>
      <c r="B212" s="16" t="inlineStr">
        <is>
          <t>General Office Clerks</t>
        </is>
      </c>
      <c r="C212" s="16" t="inlineStr">
        <is>
          <t>경영전략 / 인사 / 사업개발</t>
        </is>
      </c>
      <c r="D212" s="15" t="inlineStr">
        <is>
          <t>02030101</t>
        </is>
      </c>
      <c r="E212" s="16" t="inlineStr">
        <is>
          <t>General Office Clerks 관련 국가직무</t>
        </is>
      </c>
      <c r="F212" s="15" t="inlineStr">
        <is>
          <t>41100</t>
        </is>
      </c>
      <c r="G212" s="16" t="inlineStr">
        <is>
          <t>General Office Clerks (한국 표준 직종)</t>
        </is>
      </c>
      <c r="H212" s="15" t="inlineStr">
        <is>
          <t>43-3031.00</t>
        </is>
      </c>
      <c r="I212" s="16" t="inlineStr">
        <is>
          <t>General Office Clerks</t>
        </is>
      </c>
      <c r="J212" s="15" t="inlineStr">
        <is>
          <t>41100</t>
        </is>
      </c>
      <c r="K212" s="16" t="inlineStr">
        <is>
          <t>General Office Clerks (CZ-ISCO)</t>
        </is>
      </c>
      <c r="L212" s="16" t="inlineStr">
        <is>
          <t>General office clerks perform a range of clerical and administrative tasks according to established procedures.</t>
        </is>
      </c>
    </row>
    <row r="213">
      <c r="A213" s="17" t="inlineStr">
        <is>
          <t>4120</t>
        </is>
      </c>
      <c r="B213" s="18" t="inlineStr">
        <is>
          <t>Secretaries (general)</t>
        </is>
      </c>
      <c r="C213" s="18" t="inlineStr">
        <is>
          <t>경영전략 / 인사 / 사업개발</t>
        </is>
      </c>
      <c r="D213" s="17" t="inlineStr">
        <is>
          <t>02030101</t>
        </is>
      </c>
      <c r="E213" s="18" t="inlineStr">
        <is>
          <t>Secretaries (general) 관련 국가직무</t>
        </is>
      </c>
      <c r="F213" s="17" t="inlineStr">
        <is>
          <t>41200</t>
        </is>
      </c>
      <c r="G213" s="18" t="inlineStr">
        <is>
          <t>Secretaries (general) (한국 표준 직종)</t>
        </is>
      </c>
      <c r="H213" s="17" t="inlineStr">
        <is>
          <t>43-3031.00</t>
        </is>
      </c>
      <c r="I213" s="18" t="inlineStr">
        <is>
          <t>Secretaries (general)</t>
        </is>
      </c>
      <c r="J213" s="17" t="inlineStr">
        <is>
          <t>41200</t>
        </is>
      </c>
      <c r="K213" s="18" t="inlineStr">
        <is>
          <t>Secretaries (general) (CZ-ISCO)</t>
        </is>
      </c>
      <c r="L213" s="18"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t>
        </is>
      </c>
    </row>
    <row r="214">
      <c r="A214" s="15" t="inlineStr">
        <is>
          <t>4131</t>
        </is>
      </c>
      <c r="B214" s="16" t="inlineStr">
        <is>
          <t>Typists and Word Processing Operators</t>
        </is>
      </c>
      <c r="C214" s="16" t="inlineStr">
        <is>
          <t>경영전략 / 인사 / 사업개발</t>
        </is>
      </c>
      <c r="D214" s="15" t="inlineStr">
        <is>
          <t>02030101</t>
        </is>
      </c>
      <c r="E214" s="16" t="inlineStr">
        <is>
          <t>Typists and Word Processing Operators 관련 국가직무</t>
        </is>
      </c>
      <c r="F214" s="15" t="inlineStr">
        <is>
          <t>41310</t>
        </is>
      </c>
      <c r="G214" s="16" t="inlineStr">
        <is>
          <t>Typists and Word Processing Operators (한국 표준 직종)</t>
        </is>
      </c>
      <c r="H214" s="15" t="inlineStr">
        <is>
          <t>43-3031.00</t>
        </is>
      </c>
      <c r="I214" s="16" t="inlineStr">
        <is>
          <t>Typists and Word Processing Operators</t>
        </is>
      </c>
      <c r="J214" s="15" t="inlineStr">
        <is>
          <t>41310</t>
        </is>
      </c>
      <c r="K214" s="16" t="inlineStr">
        <is>
          <t>Typists and Word Processing Operators (CZ-ISCO)</t>
        </is>
      </c>
      <c r="L214" s="16" t="inlineStr">
        <is>
          <t>Typists and word processing operators type, edit and print text using typewriters, personal computers or other word processors, and record oral or written matter in shorthand.</t>
        </is>
      </c>
    </row>
    <row r="215">
      <c r="A215" s="17" t="inlineStr">
        <is>
          <t>4132</t>
        </is>
      </c>
      <c r="B215" s="18" t="inlineStr">
        <is>
          <t>Data Entry Clerks</t>
        </is>
      </c>
      <c r="C215" s="18" t="inlineStr">
        <is>
          <t>경영전략 / 인사 / 사업개발</t>
        </is>
      </c>
      <c r="D215" s="17" t="inlineStr">
        <is>
          <t>02030101</t>
        </is>
      </c>
      <c r="E215" s="18" t="inlineStr">
        <is>
          <t>Data Entry Clerks 관련 국가직무</t>
        </is>
      </c>
      <c r="F215" s="17" t="inlineStr">
        <is>
          <t>41320</t>
        </is>
      </c>
      <c r="G215" s="18" t="inlineStr">
        <is>
          <t>Data Entry Clerks (한국 표준 직종)</t>
        </is>
      </c>
      <c r="H215" s="17" t="inlineStr">
        <is>
          <t>43-3031.00</t>
        </is>
      </c>
      <c r="I215" s="18" t="inlineStr">
        <is>
          <t>Data Entry Clerks</t>
        </is>
      </c>
      <c r="J215" s="17" t="inlineStr">
        <is>
          <t>41320</t>
        </is>
      </c>
      <c r="K215" s="18" t="inlineStr">
        <is>
          <t>Data Entry Clerks (CZ-ISCO)</t>
        </is>
      </c>
      <c r="L215" s="18"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t>
        </is>
      </c>
    </row>
    <row r="216">
      <c r="A216" s="15" t="inlineStr">
        <is>
          <t>4211</t>
        </is>
      </c>
      <c r="B216" s="16" t="inlineStr">
        <is>
          <t>Bank Tellers and Related Clerks</t>
        </is>
      </c>
      <c r="C216" s="16" t="inlineStr">
        <is>
          <t>B2B영업 / 마케팅 / GTM</t>
        </is>
      </c>
      <c r="D216" s="15" t="inlineStr">
        <is>
          <t>02040101</t>
        </is>
      </c>
      <c r="E216" s="16" t="inlineStr">
        <is>
          <t>Bank Tellers and Related Clerks 관련 국가직무</t>
        </is>
      </c>
      <c r="F216" s="15" t="inlineStr">
        <is>
          <t>42110</t>
        </is>
      </c>
      <c r="G216" s="16" t="inlineStr">
        <is>
          <t>Bank Tellers and Related Clerks (한국 표준 직종)</t>
        </is>
      </c>
      <c r="H216" s="15" t="inlineStr">
        <is>
          <t>43-4051.00</t>
        </is>
      </c>
      <c r="I216" s="16" t="inlineStr">
        <is>
          <t>Bank Tellers and Related Clerks</t>
        </is>
      </c>
      <c r="J216" s="15" t="inlineStr">
        <is>
          <t>42110</t>
        </is>
      </c>
      <c r="K216" s="16" t="inlineStr">
        <is>
          <t>Bank Tellers and Related Clerks (CZ-ISCO)</t>
        </is>
      </c>
      <c r="L216" s="16" t="inlineStr">
        <is>
          <t>Bank tellers and related clerks deal directly with clients of banks or post offices in connection with receiving, changing and paying out money, or providing mail services.</t>
        </is>
      </c>
    </row>
    <row r="217">
      <c r="A217" s="17" t="inlineStr">
        <is>
          <t>4212</t>
        </is>
      </c>
      <c r="B217" s="18" t="inlineStr">
        <is>
          <t>Bookmakers, Croupiers and Related Gaming Workers</t>
        </is>
      </c>
      <c r="C217" s="18" t="inlineStr">
        <is>
          <t>B2B영업 / 마케팅 / GTM</t>
        </is>
      </c>
      <c r="D217" s="17" t="inlineStr">
        <is>
          <t>02040101</t>
        </is>
      </c>
      <c r="E217" s="18" t="inlineStr">
        <is>
          <t>Bookmakers, Croupiers and Related Gaming Workers 관련 국가직무</t>
        </is>
      </c>
      <c r="F217" s="17" t="inlineStr">
        <is>
          <t>42120</t>
        </is>
      </c>
      <c r="G217" s="18" t="inlineStr">
        <is>
          <t>Bookmakers, Croupiers and Related Gaming Workers (한국 표준 직종)</t>
        </is>
      </c>
      <c r="H217" s="17" t="inlineStr">
        <is>
          <t>43-4051.00</t>
        </is>
      </c>
      <c r="I217" s="18" t="inlineStr">
        <is>
          <t>Bookmakers, Croupiers and Related Gaming Workers</t>
        </is>
      </c>
      <c r="J217" s="17" t="inlineStr">
        <is>
          <t>42120</t>
        </is>
      </c>
      <c r="K217" s="18" t="inlineStr">
        <is>
          <t>Bookmakers, Croupiers and Related Gaming Workers (CZ-ISCO)</t>
        </is>
      </c>
      <c r="L217" s="18" t="inlineStr">
        <is>
          <t>Bookmakers and croupiers and related gambling workers determine odds and receive and pay off bets on results of sporting or other events, or conduct games of chance in gambling establishments.</t>
        </is>
      </c>
    </row>
    <row r="218">
      <c r="A218" s="15" t="inlineStr">
        <is>
          <t>4213</t>
        </is>
      </c>
      <c r="B218" s="16" t="inlineStr">
        <is>
          <t>Pawnbrokers and Money-lenders</t>
        </is>
      </c>
      <c r="C218" s="16" t="inlineStr">
        <is>
          <t>B2B영업 / 마케팅 / GTM</t>
        </is>
      </c>
      <c r="D218" s="15" t="inlineStr">
        <is>
          <t>02040101</t>
        </is>
      </c>
      <c r="E218" s="16" t="inlineStr">
        <is>
          <t>Pawnbrokers and Money-lenders 관련 국가직무</t>
        </is>
      </c>
      <c r="F218" s="15" t="inlineStr">
        <is>
          <t>42130</t>
        </is>
      </c>
      <c r="G218" s="16" t="inlineStr">
        <is>
          <t>Pawnbrokers and Money-lenders (한국 표준 직종)</t>
        </is>
      </c>
      <c r="H218" s="15" t="inlineStr">
        <is>
          <t>43-4051.00</t>
        </is>
      </c>
      <c r="I218" s="16" t="inlineStr">
        <is>
          <t>Pawnbrokers and Money-lenders</t>
        </is>
      </c>
      <c r="J218" s="15" t="inlineStr">
        <is>
          <t>42130</t>
        </is>
      </c>
      <c r="K218" s="16" t="inlineStr">
        <is>
          <t>Pawnbrokers and Money-lenders (CZ-ISCO)</t>
        </is>
      </c>
      <c r="L218" s="16" t="inlineStr">
        <is>
          <t>Pawnbrokers and money-lenders lend money against articles deposited as pledges, or against property or other security.</t>
        </is>
      </c>
    </row>
    <row r="219">
      <c r="A219" s="17" t="inlineStr">
        <is>
          <t>4214</t>
        </is>
      </c>
      <c r="B219" s="18" t="inlineStr">
        <is>
          <t>Debt Collectors and Related Workers</t>
        </is>
      </c>
      <c r="C219" s="18" t="inlineStr">
        <is>
          <t>B2B영업 / 마케팅 / GTM</t>
        </is>
      </c>
      <c r="D219" s="17" t="inlineStr">
        <is>
          <t>02040101</t>
        </is>
      </c>
      <c r="E219" s="18" t="inlineStr">
        <is>
          <t>Debt Collectors and Related Workers 관련 국가직무</t>
        </is>
      </c>
      <c r="F219" s="17" t="inlineStr">
        <is>
          <t>42140</t>
        </is>
      </c>
      <c r="G219" s="18" t="inlineStr">
        <is>
          <t>Debt Collectors and Related Workers (한국 표준 직종)</t>
        </is>
      </c>
      <c r="H219" s="17" t="inlineStr">
        <is>
          <t>43-4051.00</t>
        </is>
      </c>
      <c r="I219" s="18" t="inlineStr">
        <is>
          <t>Debt Collectors and Related Workers</t>
        </is>
      </c>
      <c r="J219" s="17" t="inlineStr">
        <is>
          <t>42140</t>
        </is>
      </c>
      <c r="K219" s="18" t="inlineStr">
        <is>
          <t>Debt Collectors and Related Workers (CZ-ISCO)</t>
        </is>
      </c>
      <c r="L219" s="18" t="inlineStr">
        <is>
          <t>Debt collectors and related workers collect payments on overdue accounts and bad cheques and collect charity payments.</t>
        </is>
      </c>
    </row>
    <row r="220">
      <c r="A220" s="15" t="inlineStr">
        <is>
          <t>4221</t>
        </is>
      </c>
      <c r="B220" s="16" t="inlineStr">
        <is>
          <t>Travel Consultants and Clerks</t>
        </is>
      </c>
      <c r="C220" s="16" t="inlineStr">
        <is>
          <t>B2B영업 / 마케팅 / GTM</t>
        </is>
      </c>
      <c r="D220" s="15" t="inlineStr">
        <is>
          <t>02040101</t>
        </is>
      </c>
      <c r="E220" s="16" t="inlineStr">
        <is>
          <t>Travel Consultants and Clerks 관련 국가직무</t>
        </is>
      </c>
      <c r="F220" s="15" t="inlineStr">
        <is>
          <t>42210</t>
        </is>
      </c>
      <c r="G220" s="16" t="inlineStr">
        <is>
          <t>Travel Consultants and Clerks (한국 표준 직종)</t>
        </is>
      </c>
      <c r="H220" s="15" t="inlineStr">
        <is>
          <t>43-4051.00</t>
        </is>
      </c>
      <c r="I220" s="16" t="inlineStr">
        <is>
          <t>Travel Consultants and Clerks</t>
        </is>
      </c>
      <c r="J220" s="15" t="inlineStr">
        <is>
          <t>42210</t>
        </is>
      </c>
      <c r="K220" s="16" t="inlineStr">
        <is>
          <t>Travel Consultants and Clerks (CZ-ISCO)</t>
        </is>
      </c>
      <c r="L220" s="16" t="inlineStr">
        <is>
          <t>Travel consultants and clerks provide information about travel destinations, arrange travel itineraries, obtain travel and accommodation reservations and register passengers at check-in and departure.</t>
        </is>
      </c>
    </row>
    <row r="221">
      <c r="A221" s="17" t="inlineStr">
        <is>
          <t>4222</t>
        </is>
      </c>
      <c r="B221" s="18" t="inlineStr">
        <is>
          <t>Contact Centre Information Clerks</t>
        </is>
      </c>
      <c r="C221" s="18" t="inlineStr">
        <is>
          <t>B2B영업 / 마케팅 / GTM</t>
        </is>
      </c>
      <c r="D221" s="17" t="inlineStr">
        <is>
          <t>02040101</t>
        </is>
      </c>
      <c r="E221" s="18" t="inlineStr">
        <is>
          <t>Contact Centre Information Clerks 관련 국가직무</t>
        </is>
      </c>
      <c r="F221" s="17" t="inlineStr">
        <is>
          <t>42220</t>
        </is>
      </c>
      <c r="G221" s="18" t="inlineStr">
        <is>
          <t>Contact Centre Information Clerks (한국 표준 직종)</t>
        </is>
      </c>
      <c r="H221" s="17" t="inlineStr">
        <is>
          <t>43-4051.00</t>
        </is>
      </c>
      <c r="I221" s="18" t="inlineStr">
        <is>
          <t>Contact Centre Information Clerks</t>
        </is>
      </c>
      <c r="J221" s="17" t="inlineStr">
        <is>
          <t>42220</t>
        </is>
      </c>
      <c r="K221" s="18" t="inlineStr">
        <is>
          <t>Contact Centre Information Clerks (CZ-ISCO)</t>
        </is>
      </c>
      <c r="L221" s="18"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t>
        </is>
      </c>
    </row>
    <row r="222">
      <c r="A222" s="15" t="inlineStr">
        <is>
          <t>4223</t>
        </is>
      </c>
      <c r="B222" s="16" t="inlineStr">
        <is>
          <t>Telephone Switchboard Operators</t>
        </is>
      </c>
      <c r="C222" s="16" t="inlineStr">
        <is>
          <t>B2B영업 / 마케팅 / GTM</t>
        </is>
      </c>
      <c r="D222" s="15" t="inlineStr">
        <is>
          <t>02040101</t>
        </is>
      </c>
      <c r="E222" s="16" t="inlineStr">
        <is>
          <t>Telephone Switchboard Operators 관련 국가직무</t>
        </is>
      </c>
      <c r="F222" s="15" t="inlineStr">
        <is>
          <t>42230</t>
        </is>
      </c>
      <c r="G222" s="16" t="inlineStr">
        <is>
          <t>Telephone Switchboard Operators (한국 표준 직종)</t>
        </is>
      </c>
      <c r="H222" s="15" t="inlineStr">
        <is>
          <t>43-4051.00</t>
        </is>
      </c>
      <c r="I222" s="16" t="inlineStr">
        <is>
          <t>Telephone Switchboard Operators</t>
        </is>
      </c>
      <c r="J222" s="15" t="inlineStr">
        <is>
          <t>42230</t>
        </is>
      </c>
      <c r="K222" s="16" t="inlineStr">
        <is>
          <t>Telephone Switchboard Operators (CZ-ISCO)</t>
        </is>
      </c>
      <c r="L222" s="16" t="inlineStr">
        <is>
          <t>Telephone switchboard operators operate telephone communications switchboards and consoles to establish telephone connections, receive caller inquiries and service problem reports, and record and relay messages to staff or clients.</t>
        </is>
      </c>
    </row>
    <row r="223">
      <c r="A223" s="17" t="inlineStr">
        <is>
          <t>4224</t>
        </is>
      </c>
      <c r="B223" s="18" t="inlineStr">
        <is>
          <t>Hotel Receptionists</t>
        </is>
      </c>
      <c r="C223" s="18" t="inlineStr">
        <is>
          <t>B2B영업 / 마케팅 / GTM</t>
        </is>
      </c>
      <c r="D223" s="17" t="inlineStr">
        <is>
          <t>02040101</t>
        </is>
      </c>
      <c r="E223" s="18" t="inlineStr">
        <is>
          <t>Hotel Receptionists 관련 국가직무</t>
        </is>
      </c>
      <c r="F223" s="17" t="inlineStr">
        <is>
          <t>42240</t>
        </is>
      </c>
      <c r="G223" s="18" t="inlineStr">
        <is>
          <t>Hotel Receptionists (한국 표준 직종)</t>
        </is>
      </c>
      <c r="H223" s="17" t="inlineStr">
        <is>
          <t>43-4051.00</t>
        </is>
      </c>
      <c r="I223" s="18" t="inlineStr">
        <is>
          <t>Hotel Receptionists</t>
        </is>
      </c>
      <c r="J223" s="17" t="inlineStr">
        <is>
          <t>42240</t>
        </is>
      </c>
      <c r="K223" s="18" t="inlineStr">
        <is>
          <t>Hotel Receptionists (CZ-ISCO)</t>
        </is>
      </c>
      <c r="L223" s="18"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t>
        </is>
      </c>
    </row>
    <row r="224">
      <c r="A224" s="15" t="inlineStr">
        <is>
          <t>4225</t>
        </is>
      </c>
      <c r="B224" s="16" t="inlineStr">
        <is>
          <t>Inquiry Clerks</t>
        </is>
      </c>
      <c r="C224" s="16" t="inlineStr">
        <is>
          <t>B2B영업 / 마케팅 / GTM</t>
        </is>
      </c>
      <c r="D224" s="15" t="inlineStr">
        <is>
          <t>02040101</t>
        </is>
      </c>
      <c r="E224" s="16" t="inlineStr">
        <is>
          <t>Inquiry Clerks 관련 국가직무</t>
        </is>
      </c>
      <c r="F224" s="15" t="inlineStr">
        <is>
          <t>42250</t>
        </is>
      </c>
      <c r="G224" s="16" t="inlineStr">
        <is>
          <t>Inquiry Clerks (한국 표준 직종)</t>
        </is>
      </c>
      <c r="H224" s="15" t="inlineStr">
        <is>
          <t>43-4051.00</t>
        </is>
      </c>
      <c r="I224" s="16" t="inlineStr">
        <is>
          <t>Inquiry Clerks</t>
        </is>
      </c>
      <c r="J224" s="15" t="inlineStr">
        <is>
          <t>42250</t>
        </is>
      </c>
      <c r="K224" s="16" t="inlineStr">
        <is>
          <t>Inquiry Clerks (CZ-ISCO)</t>
        </is>
      </c>
      <c r="L224" s="16" t="inlineStr">
        <is>
          <t xml:space="preserve">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t>
        </is>
      </c>
    </row>
    <row r="225">
      <c r="A225" s="17" t="inlineStr">
        <is>
          <t>4226</t>
        </is>
      </c>
      <c r="B225" s="18" t="inlineStr">
        <is>
          <t>Receptionists (general)</t>
        </is>
      </c>
      <c r="C225" s="18" t="inlineStr">
        <is>
          <t>B2B영업 / 마케팅 / GTM</t>
        </is>
      </c>
      <c r="D225" s="17" t="inlineStr">
        <is>
          <t>02040101</t>
        </is>
      </c>
      <c r="E225" s="18" t="inlineStr">
        <is>
          <t>Receptionists (general) 관련 국가직무</t>
        </is>
      </c>
      <c r="F225" s="17" t="inlineStr">
        <is>
          <t>42260</t>
        </is>
      </c>
      <c r="G225" s="18" t="inlineStr">
        <is>
          <t>Receptionists (general) (한국 표준 직종)</t>
        </is>
      </c>
      <c r="H225" s="17" t="inlineStr">
        <is>
          <t>43-4051.00</t>
        </is>
      </c>
      <c r="I225" s="18" t="inlineStr">
        <is>
          <t>Receptionists (general)</t>
        </is>
      </c>
      <c r="J225" s="17" t="inlineStr">
        <is>
          <t>42260</t>
        </is>
      </c>
      <c r="K225" s="18" t="inlineStr">
        <is>
          <t>Receptionists (general) (CZ-ISCO)</t>
        </is>
      </c>
      <c r="L225" s="18" t="inlineStr">
        <is>
          <t>Receptionists (general) receive and welcome visitors, clients or guests and respond to inquiries and requests including arranging for appointments.</t>
        </is>
      </c>
    </row>
    <row r="226">
      <c r="A226" s="15" t="inlineStr">
        <is>
          <t>4227</t>
        </is>
      </c>
      <c r="B226" s="16" t="inlineStr">
        <is>
          <t>Survey and Market Research Interviewers</t>
        </is>
      </c>
      <c r="C226" s="16" t="inlineStr">
        <is>
          <t>B2B영업 / 마케팅 / GTM</t>
        </is>
      </c>
      <c r="D226" s="15" t="inlineStr">
        <is>
          <t>02040101</t>
        </is>
      </c>
      <c r="E226" s="16" t="inlineStr">
        <is>
          <t>Survey and Market Research Interviewers 관련 국가직무</t>
        </is>
      </c>
      <c r="F226" s="15" t="inlineStr">
        <is>
          <t>42270</t>
        </is>
      </c>
      <c r="G226" s="16" t="inlineStr">
        <is>
          <t>Survey and Market Research Interviewers (한국 표준 직종)</t>
        </is>
      </c>
      <c r="H226" s="15" t="inlineStr">
        <is>
          <t>43-4051.00</t>
        </is>
      </c>
      <c r="I226" s="16" t="inlineStr">
        <is>
          <t>Survey and Market Research Interviewers</t>
        </is>
      </c>
      <c r="J226" s="15" t="inlineStr">
        <is>
          <t>42270</t>
        </is>
      </c>
      <c r="K226" s="16" t="inlineStr">
        <is>
          <t>Survey and Market Research Interviewers (CZ-ISCO)</t>
        </is>
      </c>
      <c r="L226" s="16" t="inlineStr">
        <is>
          <t>Survey and market research interviewers interview people and record their responses to survey and market research questions on a range of topics.</t>
        </is>
      </c>
    </row>
    <row r="227">
      <c r="A227" s="17" t="inlineStr">
        <is>
          <t>4229</t>
        </is>
      </c>
      <c r="B227" s="18" t="inlineStr">
        <is>
          <t>Client Information Workers Not Elsewhere Classified</t>
        </is>
      </c>
      <c r="C227" s="18" t="inlineStr">
        <is>
          <t>B2B영업 / 마케팅 / GTM</t>
        </is>
      </c>
      <c r="D227" s="17" t="inlineStr">
        <is>
          <t>02040101</t>
        </is>
      </c>
      <c r="E227" s="18" t="inlineStr">
        <is>
          <t>Client Information Workers Not Elsewhere Classified 관련 국가직무</t>
        </is>
      </c>
      <c r="F227" s="17" t="inlineStr">
        <is>
          <t>42290</t>
        </is>
      </c>
      <c r="G227" s="18" t="inlineStr">
        <is>
          <t>Client Information Workers Not Elsewhere Classified (한국 표준 직종)</t>
        </is>
      </c>
      <c r="H227" s="17" t="inlineStr">
        <is>
          <t>43-4051.00</t>
        </is>
      </c>
      <c r="I227" s="18" t="inlineStr">
        <is>
          <t>Client Information Workers Not Elsewhere Classified</t>
        </is>
      </c>
      <c r="J227" s="17" t="inlineStr">
        <is>
          <t>42290</t>
        </is>
      </c>
      <c r="K227" s="18" t="inlineStr">
        <is>
          <t>Client Information Workers Not Elsewhere Classified (CZ-ISCO)</t>
        </is>
      </c>
      <c r="L227" s="18" t="inlineStr">
        <is>
          <t>This unit group includes client information workers not included elsewhere in Minor Group 422: Client information workers. For instance, it includes workers who obtain and process information from clients needed to determine eligibility for services.</t>
        </is>
      </c>
    </row>
    <row r="228">
      <c r="A228" s="15" t="inlineStr">
        <is>
          <t>4311</t>
        </is>
      </c>
      <c r="B228" s="16" t="inlineStr">
        <is>
          <t>Accounting and Bookkeeping Clerks</t>
        </is>
      </c>
      <c r="C228" s="16" t="inlineStr">
        <is>
          <t>경영전략 / 인사 / 사업개발</t>
        </is>
      </c>
      <c r="D228" s="15" t="inlineStr">
        <is>
          <t>02430101</t>
        </is>
      </c>
      <c r="E228" s="16" t="inlineStr">
        <is>
          <t>Accounting and Bookkeeping Clerks 관련 국가직무</t>
        </is>
      </c>
      <c r="F228" s="15" t="inlineStr">
        <is>
          <t>43110</t>
        </is>
      </c>
      <c r="G228" s="16" t="inlineStr">
        <is>
          <t>Accounting and Bookkeeping Clerks (한국 표준 직종)</t>
        </is>
      </c>
      <c r="H228" s="15" t="inlineStr">
        <is>
          <t>15-4311.00</t>
        </is>
      </c>
      <c r="I228" s="16" t="inlineStr">
        <is>
          <t>Accounting and Bookkeeping Clerks</t>
        </is>
      </c>
      <c r="J228" s="15" t="inlineStr">
        <is>
          <t>43110</t>
        </is>
      </c>
      <c r="K228" s="16" t="inlineStr">
        <is>
          <t>Accounting and Bookkeeping Clerks (CZ-ISCO)</t>
        </is>
      </c>
      <c r="L228" s="16"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c>
    </row>
    <row r="229">
      <c r="A229" s="17" t="inlineStr">
        <is>
          <t>4312</t>
        </is>
      </c>
      <c r="B229" s="18" t="inlineStr">
        <is>
          <t>Statistical, Finance and Insurance Clerks</t>
        </is>
      </c>
      <c r="C229" s="18" t="inlineStr">
        <is>
          <t>경영전략 / 인사 / 사업개발</t>
        </is>
      </c>
      <c r="D229" s="17" t="inlineStr">
        <is>
          <t>02430101</t>
        </is>
      </c>
      <c r="E229" s="18" t="inlineStr">
        <is>
          <t>Statistical, Finance and Insurance Clerks 관련 국가직무</t>
        </is>
      </c>
      <c r="F229" s="17" t="inlineStr">
        <is>
          <t>43120</t>
        </is>
      </c>
      <c r="G229" s="18" t="inlineStr">
        <is>
          <t>Statistical, Finance and Insurance Clerks (한국 표준 직종)</t>
        </is>
      </c>
      <c r="H229" s="17" t="inlineStr">
        <is>
          <t>15-4311.00</t>
        </is>
      </c>
      <c r="I229" s="18" t="inlineStr">
        <is>
          <t>Statistical, Finance and Insurance Clerks</t>
        </is>
      </c>
      <c r="J229" s="17" t="inlineStr">
        <is>
          <t>43120</t>
        </is>
      </c>
      <c r="K229" s="18" t="inlineStr">
        <is>
          <t>Statistical, Finance and Insurance Clerks (CZ-ISCO)</t>
        </is>
      </c>
      <c r="L229" s="18" t="inlineStr">
        <is>
          <t>Statistical, finance and insurance clerks obtain, compile and compute statistical or actuarial data or perform clerical tasks relating to the transactions of insurance establishments, banks and other financial establishments.</t>
        </is>
      </c>
    </row>
    <row r="230">
      <c r="A230" s="15" t="inlineStr">
        <is>
          <t>4313</t>
        </is>
      </c>
      <c r="B230" s="16" t="inlineStr">
        <is>
          <t>Payroll Clerks</t>
        </is>
      </c>
      <c r="C230" s="16" t="inlineStr">
        <is>
          <t>경영전략 / 인사 / 사업개발</t>
        </is>
      </c>
      <c r="D230" s="15" t="inlineStr">
        <is>
          <t>02430101</t>
        </is>
      </c>
      <c r="E230" s="16" t="inlineStr">
        <is>
          <t>Payroll Clerks 관련 국가직무</t>
        </is>
      </c>
      <c r="F230" s="15" t="inlineStr">
        <is>
          <t>43130</t>
        </is>
      </c>
      <c r="G230" s="16" t="inlineStr">
        <is>
          <t>Payroll Clerks (한국 표준 직종)</t>
        </is>
      </c>
      <c r="H230" s="15" t="inlineStr">
        <is>
          <t>15-4311.00</t>
        </is>
      </c>
      <c r="I230" s="16" t="inlineStr">
        <is>
          <t>Payroll Clerks</t>
        </is>
      </c>
      <c r="J230" s="15" t="inlineStr">
        <is>
          <t>43130</t>
        </is>
      </c>
      <c r="K230" s="16" t="inlineStr">
        <is>
          <t>Payroll Clerks (CZ-ISCO)</t>
        </is>
      </c>
      <c r="L230" s="16" t="inlineStr">
        <is>
          <t>Payroll clerks collect, verify and process payroll information and compute pay and benefit entitlements for employees within a department, company or other establishment.</t>
        </is>
      </c>
    </row>
    <row r="231">
      <c r="A231" s="17" t="inlineStr">
        <is>
          <t>4321</t>
        </is>
      </c>
      <c r="B231" s="18" t="inlineStr">
        <is>
          <t>Stock Clerks</t>
        </is>
      </c>
      <c r="C231" s="18" t="inlineStr">
        <is>
          <t>경영전략 / 인사 / 사업개발</t>
        </is>
      </c>
      <c r="D231" s="17" t="inlineStr">
        <is>
          <t>02430101</t>
        </is>
      </c>
      <c r="E231" s="18" t="inlineStr">
        <is>
          <t>Stock Clerks 관련 국가직무</t>
        </is>
      </c>
      <c r="F231" s="17" t="inlineStr">
        <is>
          <t>43210</t>
        </is>
      </c>
      <c r="G231" s="18" t="inlineStr">
        <is>
          <t>Stock Clerks (한국 표준 직종)</t>
        </is>
      </c>
      <c r="H231" s="17" t="inlineStr">
        <is>
          <t>15-4311.00</t>
        </is>
      </c>
      <c r="I231" s="18" t="inlineStr">
        <is>
          <t>Stock Clerks</t>
        </is>
      </c>
      <c r="J231" s="17" t="inlineStr">
        <is>
          <t>43210</t>
        </is>
      </c>
      <c r="K231" s="18" t="inlineStr">
        <is>
          <t>Stock Clerks (CZ-ISCO)</t>
        </is>
      </c>
      <c r="L231" s="18" t="inlineStr">
        <is>
          <t>Stock clerks maintain records of goods produced and production materials received, weighed, issued, dispatched or put into stock.</t>
        </is>
      </c>
    </row>
    <row r="232">
      <c r="A232" s="15" t="inlineStr">
        <is>
          <t>4322</t>
        </is>
      </c>
      <c r="B232" s="16" t="inlineStr">
        <is>
          <t>Production Clerks</t>
        </is>
      </c>
      <c r="C232" s="16" t="inlineStr">
        <is>
          <t>경영전략 / 인사 / 사업개발</t>
        </is>
      </c>
      <c r="D232" s="15" t="inlineStr">
        <is>
          <t>02430101</t>
        </is>
      </c>
      <c r="E232" s="16" t="inlineStr">
        <is>
          <t>Production Clerks 관련 국가직무</t>
        </is>
      </c>
      <c r="F232" s="15" t="inlineStr">
        <is>
          <t>43220</t>
        </is>
      </c>
      <c r="G232" s="16" t="inlineStr">
        <is>
          <t>Production Clerks (한국 표준 직종)</t>
        </is>
      </c>
      <c r="H232" s="15" t="inlineStr">
        <is>
          <t>15-4311.00</t>
        </is>
      </c>
      <c r="I232" s="16" t="inlineStr">
        <is>
          <t>Production Clerks</t>
        </is>
      </c>
      <c r="J232" s="15" t="inlineStr">
        <is>
          <t>43220</t>
        </is>
      </c>
      <c r="K232" s="16" t="inlineStr">
        <is>
          <t>Production Clerks (CZ-ISCO)</t>
        </is>
      </c>
      <c r="L232" s="16" t="inlineStr">
        <is>
          <t>Production clerks compute quantities of materials required at specified dates for manufacturing, construction and similar production programmes, and prepare and check production operation schedules.</t>
        </is>
      </c>
    </row>
    <row r="233">
      <c r="A233" s="17" t="inlineStr">
        <is>
          <t>4323</t>
        </is>
      </c>
      <c r="B233" s="18" t="inlineStr">
        <is>
          <t>Transport Clerks</t>
        </is>
      </c>
      <c r="C233" s="18" t="inlineStr">
        <is>
          <t>경영전략 / 인사 / 사업개발</t>
        </is>
      </c>
      <c r="D233" s="17" t="inlineStr">
        <is>
          <t>02430101</t>
        </is>
      </c>
      <c r="E233" s="18" t="inlineStr">
        <is>
          <t>Transport Clerks 관련 국가직무</t>
        </is>
      </c>
      <c r="F233" s="17" t="inlineStr">
        <is>
          <t>43230</t>
        </is>
      </c>
      <c r="G233" s="18" t="inlineStr">
        <is>
          <t>Transport Clerks (한국 표준 직종)</t>
        </is>
      </c>
      <c r="H233" s="17" t="inlineStr">
        <is>
          <t>15-4311.00</t>
        </is>
      </c>
      <c r="I233" s="18" t="inlineStr">
        <is>
          <t>Transport Clerks</t>
        </is>
      </c>
      <c r="J233" s="17" t="inlineStr">
        <is>
          <t>43230</t>
        </is>
      </c>
      <c r="K233" s="18" t="inlineStr">
        <is>
          <t>Transport Clerks (CZ-ISCO)</t>
        </is>
      </c>
      <c r="L233" s="18" t="inlineStr">
        <is>
          <t>Transport clerks keep records of operational aspects and coordinate the timing of train, road and air passenger and freight transport, and prepare reports for management.</t>
        </is>
      </c>
    </row>
    <row r="234">
      <c r="A234" s="15" t="inlineStr">
        <is>
          <t>4411</t>
        </is>
      </c>
      <c r="B234" s="16" t="inlineStr">
        <is>
          <t>Library Clerks</t>
        </is>
      </c>
      <c r="C234" s="16" t="inlineStr">
        <is>
          <t>경영전략 / 인사 / 사업개발</t>
        </is>
      </c>
      <c r="D234" s="15" t="inlineStr">
        <is>
          <t>02440101</t>
        </is>
      </c>
      <c r="E234" s="16" t="inlineStr">
        <is>
          <t>Library Clerks 관련 국가직무</t>
        </is>
      </c>
      <c r="F234" s="15" t="inlineStr">
        <is>
          <t>44110</t>
        </is>
      </c>
      <c r="G234" s="16" t="inlineStr">
        <is>
          <t>Library Clerks (한국 표준 직종)</t>
        </is>
      </c>
      <c r="H234" s="15" t="inlineStr">
        <is>
          <t>15-4411.00</t>
        </is>
      </c>
      <c r="I234" s="16" t="inlineStr">
        <is>
          <t>Library Clerks</t>
        </is>
      </c>
      <c r="J234" s="15" t="inlineStr">
        <is>
          <t>44110</t>
        </is>
      </c>
      <c r="K234" s="16" t="inlineStr">
        <is>
          <t>Library Clerks (CZ-ISCO)</t>
        </is>
      </c>
      <c r="L234" s="16" t="inlineStr">
        <is>
          <t>Library clerks issue and receive library materials, sort and shelve books, sound and vision recordings, periodicals, journals, magazines and newspapers and provide general library information to library users.</t>
        </is>
      </c>
    </row>
    <row r="235">
      <c r="A235" s="17" t="inlineStr">
        <is>
          <t>4412</t>
        </is>
      </c>
      <c r="B235" s="18" t="inlineStr">
        <is>
          <t>Mail Carriers and Sorting Clerks</t>
        </is>
      </c>
      <c r="C235" s="18" t="inlineStr">
        <is>
          <t>경영전략 / 인사 / 사업개발</t>
        </is>
      </c>
      <c r="D235" s="17" t="inlineStr">
        <is>
          <t>02440101</t>
        </is>
      </c>
      <c r="E235" s="18" t="inlineStr">
        <is>
          <t>Mail Carriers and Sorting Clerks 관련 국가직무</t>
        </is>
      </c>
      <c r="F235" s="17" t="inlineStr">
        <is>
          <t>44120</t>
        </is>
      </c>
      <c r="G235" s="18" t="inlineStr">
        <is>
          <t>Mail Carriers and Sorting Clerks (한국 표준 직종)</t>
        </is>
      </c>
      <c r="H235" s="17" t="inlineStr">
        <is>
          <t>15-4411.00</t>
        </is>
      </c>
      <c r="I235" s="18" t="inlineStr">
        <is>
          <t>Mail Carriers and Sorting Clerks</t>
        </is>
      </c>
      <c r="J235" s="17" t="inlineStr">
        <is>
          <t>44120</t>
        </is>
      </c>
      <c r="K235" s="18" t="inlineStr">
        <is>
          <t>Mail Carriers and Sorting Clerks (CZ-ISCO)</t>
        </is>
      </c>
      <c r="L235" s="18" t="inlineStr">
        <is>
          <t>Mail carriers and sorting clerks perform sorting, recording, delivery and other duties in connection with mail services from post offices or related organizations, as well as from or within an establishment.</t>
        </is>
      </c>
    </row>
    <row r="236">
      <c r="A236" s="15" t="inlineStr">
        <is>
          <t>4413</t>
        </is>
      </c>
      <c r="B236" s="16" t="inlineStr">
        <is>
          <t>Coding, Proofreading and Related Clerks</t>
        </is>
      </c>
      <c r="C236" s="16" t="inlineStr">
        <is>
          <t>경영전략 / 인사 / 사업개발</t>
        </is>
      </c>
      <c r="D236" s="15" t="inlineStr">
        <is>
          <t>02440101</t>
        </is>
      </c>
      <c r="E236" s="16" t="inlineStr">
        <is>
          <t>Coding, Proofreading and Related Clerks 관련 국가직무</t>
        </is>
      </c>
      <c r="F236" s="15" t="inlineStr">
        <is>
          <t>44130</t>
        </is>
      </c>
      <c r="G236" s="16" t="inlineStr">
        <is>
          <t>Coding, Proofreading and Related Clerks (한국 표준 직종)</t>
        </is>
      </c>
      <c r="H236" s="15" t="inlineStr">
        <is>
          <t>15-4411.00</t>
        </is>
      </c>
      <c r="I236" s="16" t="inlineStr">
        <is>
          <t>Coding, Proofreading and Related Clerks</t>
        </is>
      </c>
      <c r="J236" s="15" t="inlineStr">
        <is>
          <t>44130</t>
        </is>
      </c>
      <c r="K236" s="16" t="inlineStr">
        <is>
          <t>Coding, Proofreading and Related Clerks (CZ-ISCO)</t>
        </is>
      </c>
      <c r="L236" s="16" t="inlineStr">
        <is>
          <t>Coding, proofreading and related clerks convert information into codes, verify and correct proofs, and perform a number of miscellaneous clerical duties.</t>
        </is>
      </c>
    </row>
    <row r="237">
      <c r="A237" s="17" t="inlineStr">
        <is>
          <t>4414</t>
        </is>
      </c>
      <c r="B237" s="18" t="inlineStr">
        <is>
          <t>Scribes and Related Workers</t>
        </is>
      </c>
      <c r="C237" s="18" t="inlineStr">
        <is>
          <t>경영전략 / 인사 / 사업개발</t>
        </is>
      </c>
      <c r="D237" s="17" t="inlineStr">
        <is>
          <t>02440101</t>
        </is>
      </c>
      <c r="E237" s="18" t="inlineStr">
        <is>
          <t>Scribes and Related Workers 관련 국가직무</t>
        </is>
      </c>
      <c r="F237" s="17" t="inlineStr">
        <is>
          <t>44140</t>
        </is>
      </c>
      <c r="G237" s="18" t="inlineStr">
        <is>
          <t>Scribes and Related Workers (한국 표준 직종)</t>
        </is>
      </c>
      <c r="H237" s="17" t="inlineStr">
        <is>
          <t>15-4411.00</t>
        </is>
      </c>
      <c r="I237" s="18" t="inlineStr">
        <is>
          <t>Scribes and Related Workers</t>
        </is>
      </c>
      <c r="J237" s="17" t="inlineStr">
        <is>
          <t>44140</t>
        </is>
      </c>
      <c r="K237" s="18" t="inlineStr">
        <is>
          <t>Scribes and Related Workers (CZ-ISCO)</t>
        </is>
      </c>
      <c r="L237" s="18" t="inlineStr">
        <is>
          <t>Scribes and related workers write letters and complete forms on behalf of  persons who are unable to read or write.</t>
        </is>
      </c>
    </row>
    <row r="238">
      <c r="A238" s="15" t="inlineStr">
        <is>
          <t>4415</t>
        </is>
      </c>
      <c r="B238" s="16" t="inlineStr">
        <is>
          <t>Filing and Copying Clerks</t>
        </is>
      </c>
      <c r="C238" s="16" t="inlineStr">
        <is>
          <t>경영전략 / 인사 / 사업개발</t>
        </is>
      </c>
      <c r="D238" s="15" t="inlineStr">
        <is>
          <t>02440101</t>
        </is>
      </c>
      <c r="E238" s="16" t="inlineStr">
        <is>
          <t>Filing and Copying Clerks 관련 국가직무</t>
        </is>
      </c>
      <c r="F238" s="15" t="inlineStr">
        <is>
          <t>44150</t>
        </is>
      </c>
      <c r="G238" s="16" t="inlineStr">
        <is>
          <t>Filing and Copying Clerks (한국 표준 직종)</t>
        </is>
      </c>
      <c r="H238" s="15" t="inlineStr">
        <is>
          <t>15-4411.00</t>
        </is>
      </c>
      <c r="I238" s="16" t="inlineStr">
        <is>
          <t>Filing and Copying Clerks</t>
        </is>
      </c>
      <c r="J238" s="15" t="inlineStr">
        <is>
          <t>44150</t>
        </is>
      </c>
      <c r="K238" s="16" t="inlineStr">
        <is>
          <t>Filing and Copying Clerks (CZ-ISCO)</t>
        </is>
      </c>
      <c r="L238" s="16" t="inlineStr">
        <is>
          <t>Filing and copying clerks file correspondence, cards, invoices, receipts and other records in alphabetical or numerical order or according to the filing system used. They locate and remove material from file when requested and photocopy, scan or fax documents.</t>
        </is>
      </c>
    </row>
    <row r="239">
      <c r="A239" s="17" t="inlineStr">
        <is>
          <t>4416</t>
        </is>
      </c>
      <c r="B239" s="18" t="inlineStr">
        <is>
          <t>Personnel Clerks</t>
        </is>
      </c>
      <c r="C239" s="18" t="inlineStr">
        <is>
          <t>경영전략 / 인사 / 사업개발</t>
        </is>
      </c>
      <c r="D239" s="17" t="inlineStr">
        <is>
          <t>02440101</t>
        </is>
      </c>
      <c r="E239" s="18" t="inlineStr">
        <is>
          <t>Personnel Clerks 관련 국가직무</t>
        </is>
      </c>
      <c r="F239" s="17" t="inlineStr">
        <is>
          <t>44160</t>
        </is>
      </c>
      <c r="G239" s="18" t="inlineStr">
        <is>
          <t>Personnel Clerks (한국 표준 직종)</t>
        </is>
      </c>
      <c r="H239" s="17" t="inlineStr">
        <is>
          <t>15-4411.00</t>
        </is>
      </c>
      <c r="I239" s="18" t="inlineStr">
        <is>
          <t>Personnel Clerks</t>
        </is>
      </c>
      <c r="J239" s="17" t="inlineStr">
        <is>
          <t>44160</t>
        </is>
      </c>
      <c r="K239" s="18" t="inlineStr">
        <is>
          <t>Personnel Clerks (CZ-ISCO)</t>
        </is>
      </c>
      <c r="L239" s="18" t="inlineStr">
        <is>
          <t>Personnel clerks maintain and update personnel records such as information on transfers and promotions, performance evaluations, employee leave taken and accumulated, salaries, qualifications and training.</t>
        </is>
      </c>
    </row>
    <row r="240">
      <c r="A240" s="15" t="inlineStr">
        <is>
          <t>4419</t>
        </is>
      </c>
      <c r="B240" s="16" t="inlineStr">
        <is>
          <t>Clerical Support Workers Not Elsewhere Classified</t>
        </is>
      </c>
      <c r="C240" s="16" t="inlineStr">
        <is>
          <t>경영전략 / 인사 / 사업개발</t>
        </is>
      </c>
      <c r="D240" s="15" t="inlineStr">
        <is>
          <t>02440101</t>
        </is>
      </c>
      <c r="E240" s="16" t="inlineStr">
        <is>
          <t>Clerical Support Workers Not Elsewhere Classified 관련 국가직무</t>
        </is>
      </c>
      <c r="F240" s="15" t="inlineStr">
        <is>
          <t>44190</t>
        </is>
      </c>
      <c r="G240" s="16" t="inlineStr">
        <is>
          <t>Clerical Support Workers Not Elsewhere Classified (한국 표준 직종)</t>
        </is>
      </c>
      <c r="H240" s="15" t="inlineStr">
        <is>
          <t>15-4411.00</t>
        </is>
      </c>
      <c r="I240" s="16" t="inlineStr">
        <is>
          <t>Clerical Support Workers Not Elsewhere Classified</t>
        </is>
      </c>
      <c r="J240" s="15" t="inlineStr">
        <is>
          <t>44190</t>
        </is>
      </c>
      <c r="K240" s="16" t="inlineStr">
        <is>
          <t>Clerical Support Workers Not Elsewhere Classified (CZ-ISCO)</t>
        </is>
      </c>
      <c r="L240" s="16" t="inlineStr">
        <is>
          <t>This unit group covers clerical support workers not classified elsewhere in Major Group 4: Clerical Support Workers. For instance, the group includes, correspondence clerks, press clippers and publication clerks.</t>
        </is>
      </c>
    </row>
    <row r="241">
      <c r="A241" s="17" t="inlineStr">
        <is>
          <t>5111</t>
        </is>
      </c>
      <c r="B241" s="18" t="inlineStr">
        <is>
          <t>Travel Attendants and Travel Stewards</t>
        </is>
      </c>
      <c r="C241" s="18" t="inlineStr">
        <is>
          <t>B2B영업 / 마케팅 / GTM</t>
        </is>
      </c>
      <c r="D241" s="17" t="inlineStr">
        <is>
          <t>10020101</t>
        </is>
      </c>
      <c r="E241" s="18" t="inlineStr">
        <is>
          <t>Travel Attendants and Travel Stewards 관련 국가직무</t>
        </is>
      </c>
      <c r="F241" s="17" t="inlineStr">
        <is>
          <t>51110</t>
        </is>
      </c>
      <c r="G241" s="18" t="inlineStr">
        <is>
          <t>Travel Attendants and Travel Stewards (한국 표준 직종)</t>
        </is>
      </c>
      <c r="H241" s="17" t="inlineStr">
        <is>
          <t>39-9011.00</t>
        </is>
      </c>
      <c r="I241" s="18" t="inlineStr">
        <is>
          <t>Travel Attendants and Travel Stewards</t>
        </is>
      </c>
      <c r="J241" s="17" t="inlineStr">
        <is>
          <t>51110</t>
        </is>
      </c>
      <c r="K241" s="18" t="inlineStr">
        <is>
          <t>Travel Attendants and Travel Stewards (CZ-ISCO)</t>
        </is>
      </c>
      <c r="L241" s="18" t="inlineStr">
        <is>
          <t>Travel attendants and travel stewards ensure the comfort and safety of passengers, serve meals and beverages and render personal services, usually on aircraft and on board ships. They may plan and coordinate housekeeping and social activities on ships.</t>
        </is>
      </c>
    </row>
    <row r="242">
      <c r="A242" s="15" t="inlineStr">
        <is>
          <t>5112</t>
        </is>
      </c>
      <c r="B242" s="16" t="inlineStr">
        <is>
          <t>Transport Conductors</t>
        </is>
      </c>
      <c r="C242" s="16" t="inlineStr">
        <is>
          <t>B2B영업 / 마케팅 / GTM</t>
        </is>
      </c>
      <c r="D242" s="15" t="inlineStr">
        <is>
          <t>10020101</t>
        </is>
      </c>
      <c r="E242" s="16" t="inlineStr">
        <is>
          <t>Transport Conductors 관련 국가직무</t>
        </is>
      </c>
      <c r="F242" s="15" t="inlineStr">
        <is>
          <t>51120</t>
        </is>
      </c>
      <c r="G242" s="16" t="inlineStr">
        <is>
          <t>Transport Conductors (한국 표준 직종)</t>
        </is>
      </c>
      <c r="H242" s="15" t="inlineStr">
        <is>
          <t>39-9011.00</t>
        </is>
      </c>
      <c r="I242" s="16" t="inlineStr">
        <is>
          <t>Transport Conductors</t>
        </is>
      </c>
      <c r="J242" s="15" t="inlineStr">
        <is>
          <t>51120</t>
        </is>
      </c>
      <c r="K242" s="16" t="inlineStr">
        <is>
          <t>Transport Conductors (CZ-ISCO)</t>
        </is>
      </c>
      <c r="L242" s="16" t="inlineStr">
        <is>
          <t>Transport conductors check and issue tickets and ensure the safety and comfort of passengers on trains, trams, buses and other public transport vehicles.</t>
        </is>
      </c>
    </row>
    <row r="243">
      <c r="A243" s="17" t="inlineStr">
        <is>
          <t>5113</t>
        </is>
      </c>
      <c r="B243" s="18" t="inlineStr">
        <is>
          <t>Travel Guides</t>
        </is>
      </c>
      <c r="C243" s="18" t="inlineStr">
        <is>
          <t>B2B영업 / 마케팅 / GTM</t>
        </is>
      </c>
      <c r="D243" s="17" t="inlineStr">
        <is>
          <t>10020101</t>
        </is>
      </c>
      <c r="E243" s="18" t="inlineStr">
        <is>
          <t>Travel Guides 관련 국가직무</t>
        </is>
      </c>
      <c r="F243" s="17" t="inlineStr">
        <is>
          <t>51130</t>
        </is>
      </c>
      <c r="G243" s="18" t="inlineStr">
        <is>
          <t>Travel Guides (한국 표준 직종)</t>
        </is>
      </c>
      <c r="H243" s="17" t="inlineStr">
        <is>
          <t>39-9011.00</t>
        </is>
      </c>
      <c r="I243" s="18" t="inlineStr">
        <is>
          <t>Travel Guides</t>
        </is>
      </c>
      <c r="J243" s="17" t="inlineStr">
        <is>
          <t>51130</t>
        </is>
      </c>
      <c r="K243" s="18" t="inlineStr">
        <is>
          <t>Travel Guides (CZ-ISCO)</t>
        </is>
      </c>
      <c r="L243" s="18"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c>
    </row>
    <row r="244">
      <c r="A244" s="15" t="inlineStr">
        <is>
          <t>5120</t>
        </is>
      </c>
      <c r="B244" s="16" t="inlineStr">
        <is>
          <t>Cooks</t>
        </is>
      </c>
      <c r="C244" s="16" t="inlineStr">
        <is>
          <t>B2B영업 / 마케팅 / GTM</t>
        </is>
      </c>
      <c r="D244" s="15" t="inlineStr">
        <is>
          <t>10020101</t>
        </is>
      </c>
      <c r="E244" s="16" t="inlineStr">
        <is>
          <t>Cooks 관련 국가직무</t>
        </is>
      </c>
      <c r="F244" s="15" t="inlineStr">
        <is>
          <t>51200</t>
        </is>
      </c>
      <c r="G244" s="16" t="inlineStr">
        <is>
          <t>Cooks (한국 표준 직종)</t>
        </is>
      </c>
      <c r="H244" s="15" t="inlineStr">
        <is>
          <t>39-9011.00</t>
        </is>
      </c>
      <c r="I244" s="16" t="inlineStr">
        <is>
          <t>Cooks</t>
        </is>
      </c>
      <c r="J244" s="15" t="inlineStr">
        <is>
          <t>51200</t>
        </is>
      </c>
      <c r="K244" s="16" t="inlineStr">
        <is>
          <t>Cooks (CZ-ISCO)</t>
        </is>
      </c>
      <c r="L244" s="16" t="inlineStr">
        <is>
          <t>Cooks plan, organize, prepare and cook meals, according to recipes or under the supervision of chefs, in hotels, restaurants and other eating places, on board ships, on passenger trains and in private households.</t>
        </is>
      </c>
    </row>
    <row r="245">
      <c r="A245" s="17" t="inlineStr">
        <is>
          <t>5131</t>
        </is>
      </c>
      <c r="B245" s="18" t="inlineStr">
        <is>
          <t>Waiters</t>
        </is>
      </c>
      <c r="C245" s="18" t="inlineStr">
        <is>
          <t>B2B영업 / 마케팅 / GTM</t>
        </is>
      </c>
      <c r="D245" s="17" t="inlineStr">
        <is>
          <t>10020101</t>
        </is>
      </c>
      <c r="E245" s="18" t="inlineStr">
        <is>
          <t>Waiters 관련 국가직무</t>
        </is>
      </c>
      <c r="F245" s="17" t="inlineStr">
        <is>
          <t>51310</t>
        </is>
      </c>
      <c r="G245" s="18" t="inlineStr">
        <is>
          <t>Waiters (한국 표준 직종)</t>
        </is>
      </c>
      <c r="H245" s="17" t="inlineStr">
        <is>
          <t>39-9011.00</t>
        </is>
      </c>
      <c r="I245" s="18" t="inlineStr">
        <is>
          <t>Waiters</t>
        </is>
      </c>
      <c r="J245" s="17" t="inlineStr">
        <is>
          <t>51310</t>
        </is>
      </c>
      <c r="K245" s="18" t="inlineStr">
        <is>
          <t>Waiters (CZ-ISCO)</t>
        </is>
      </c>
      <c r="L245" s="18" t="inlineStr">
        <is>
          <t>Waiters serve food and beverages at tables in dining and drinking places, clubs, institutions and canteens, on board ships and on passenger trains.</t>
        </is>
      </c>
    </row>
    <row r="246">
      <c r="A246" s="15" t="inlineStr">
        <is>
          <t>5132</t>
        </is>
      </c>
      <c r="B246" s="16" t="inlineStr">
        <is>
          <t>Bartenders</t>
        </is>
      </c>
      <c r="C246" s="16" t="inlineStr">
        <is>
          <t>B2B영업 / 마케팅 / GTM</t>
        </is>
      </c>
      <c r="D246" s="15" t="inlineStr">
        <is>
          <t>10020101</t>
        </is>
      </c>
      <c r="E246" s="16" t="inlineStr">
        <is>
          <t>Bartenders 관련 국가직무</t>
        </is>
      </c>
      <c r="F246" s="15" t="inlineStr">
        <is>
          <t>51320</t>
        </is>
      </c>
      <c r="G246" s="16" t="inlineStr">
        <is>
          <t>Bartenders (한국 표준 직종)</t>
        </is>
      </c>
      <c r="H246" s="15" t="inlineStr">
        <is>
          <t>39-9011.00</t>
        </is>
      </c>
      <c r="I246" s="16" t="inlineStr">
        <is>
          <t>Bartenders</t>
        </is>
      </c>
      <c r="J246" s="15" t="inlineStr">
        <is>
          <t>51320</t>
        </is>
      </c>
      <c r="K246" s="16" t="inlineStr">
        <is>
          <t>Bartenders (CZ-ISCO)</t>
        </is>
      </c>
      <c r="L246" s="16" t="inlineStr">
        <is>
          <t>Bartenders prepare, mix and serve alcoholic and non-alcoholic drinks directly to customers over a bar or counter, or through waiters.</t>
        </is>
      </c>
    </row>
    <row r="247">
      <c r="A247" s="17" t="inlineStr">
        <is>
          <t>5141</t>
        </is>
      </c>
      <c r="B247" s="18" t="inlineStr">
        <is>
          <t>Hairdressers</t>
        </is>
      </c>
      <c r="C247" s="18" t="inlineStr">
        <is>
          <t>B2B영업 / 마케팅 / GTM</t>
        </is>
      </c>
      <c r="D247" s="17" t="inlineStr">
        <is>
          <t>10020101</t>
        </is>
      </c>
      <c r="E247" s="18" t="inlineStr">
        <is>
          <t>Hairdressers 관련 국가직무</t>
        </is>
      </c>
      <c r="F247" s="17" t="inlineStr">
        <is>
          <t>51410</t>
        </is>
      </c>
      <c r="G247" s="18" t="inlineStr">
        <is>
          <t>Hairdressers (한국 표준 직종)</t>
        </is>
      </c>
      <c r="H247" s="17" t="inlineStr">
        <is>
          <t>39-9011.00</t>
        </is>
      </c>
      <c r="I247" s="18" t="inlineStr">
        <is>
          <t>Hairdressers</t>
        </is>
      </c>
      <c r="J247" s="17" t="inlineStr">
        <is>
          <t>51410</t>
        </is>
      </c>
      <c r="K247" s="18" t="inlineStr">
        <is>
          <t>Hairdressers (CZ-ISCO)</t>
        </is>
      </c>
      <c r="L247" s="18" t="inlineStr">
        <is>
          <t>Hairdressers cut, style, colour, straighten and permanently wave hair, shave or trim facial hair and treat scalp conditions.</t>
        </is>
      </c>
    </row>
    <row r="248">
      <c r="A248" s="15" t="inlineStr">
        <is>
          <t>5142</t>
        </is>
      </c>
      <c r="B248" s="16" t="inlineStr">
        <is>
          <t>Beauticians and Related Workers</t>
        </is>
      </c>
      <c r="C248" s="16" t="inlineStr">
        <is>
          <t>B2B영업 / 마케팅 / GTM</t>
        </is>
      </c>
      <c r="D248" s="15" t="inlineStr">
        <is>
          <t>10020101</t>
        </is>
      </c>
      <c r="E248" s="16" t="inlineStr">
        <is>
          <t>Beauticians and Related Workers 관련 국가직무</t>
        </is>
      </c>
      <c r="F248" s="15" t="inlineStr">
        <is>
          <t>51420</t>
        </is>
      </c>
      <c r="G248" s="16" t="inlineStr">
        <is>
          <t>Beauticians and Related Workers (한국 표준 직종)</t>
        </is>
      </c>
      <c r="H248" s="15" t="inlineStr">
        <is>
          <t>39-9011.00</t>
        </is>
      </c>
      <c r="I248" s="16" t="inlineStr">
        <is>
          <t>Beauticians and Related Workers</t>
        </is>
      </c>
      <c r="J248" s="15" t="inlineStr">
        <is>
          <t>51420</t>
        </is>
      </c>
      <c r="K248" s="16" t="inlineStr">
        <is>
          <t>Beauticians and Related Workers (CZ-ISCO)</t>
        </is>
      </c>
      <c r="L248" s="16" t="inlineStr">
        <is>
          <t>Beauticians and related workers, give facial and body beauty treatments, apply cosmetics and make-up and give other kinds of treatment to individuals in order to improve their appearance.</t>
        </is>
      </c>
    </row>
    <row r="249">
      <c r="A249" s="17" t="inlineStr">
        <is>
          <t>5151</t>
        </is>
      </c>
      <c r="B249" s="18" t="inlineStr">
        <is>
          <t>Cleaning and Housekeeping Supervisors in Offices, Hotels and Other Establishments</t>
        </is>
      </c>
      <c r="C249" s="18" t="inlineStr">
        <is>
          <t>B2B영업 / 마케팅 / GTM</t>
        </is>
      </c>
      <c r="D249" s="17" t="inlineStr">
        <is>
          <t>10020101</t>
        </is>
      </c>
      <c r="E249" s="18" t="inlineStr">
        <is>
          <t>Cleaning and Housekeeping Supervisors in Offices, Hotels and Other Establishments 관련 국가직무</t>
        </is>
      </c>
      <c r="F249" s="17" t="inlineStr">
        <is>
          <t>51510</t>
        </is>
      </c>
      <c r="G249" s="18" t="inlineStr">
        <is>
          <t>Cleaning and Housekeeping Supervisors in Offices, Hotels and Other Establishments (한국 표준 직종)</t>
        </is>
      </c>
      <c r="H249" s="17" t="inlineStr">
        <is>
          <t>39-9011.00</t>
        </is>
      </c>
      <c r="I249" s="18" t="inlineStr">
        <is>
          <t>Cleaning and Housekeeping Supervisors in Offices, Hotels and Other Establishments</t>
        </is>
      </c>
      <c r="J249" s="17" t="inlineStr">
        <is>
          <t>51510</t>
        </is>
      </c>
      <c r="K249" s="18" t="inlineStr">
        <is>
          <t>Cleaning and Housekeeping Supervisors in Offices, Hotels and Other Establishments (CZ-ISCO)</t>
        </is>
      </c>
      <c r="L249" s="18" t="inlineStr">
        <is>
          <t>Cleaning and housekeeping supervisors in offices, hotels and other establishments organize, supervise and carry out housekeeping functions in order to keep clean and tidy the interiors, fixtures and facilities in these establishments.</t>
        </is>
      </c>
    </row>
    <row r="250">
      <c r="A250" s="15" t="inlineStr">
        <is>
          <t>5152</t>
        </is>
      </c>
      <c r="B250" s="16" t="inlineStr">
        <is>
          <t>Domestic Housekeepers</t>
        </is>
      </c>
      <c r="C250" s="16" t="inlineStr">
        <is>
          <t>B2B영업 / 마케팅 / GTM</t>
        </is>
      </c>
      <c r="D250" s="15" t="inlineStr">
        <is>
          <t>10020101</t>
        </is>
      </c>
      <c r="E250" s="16" t="inlineStr">
        <is>
          <t>Domestic Housekeepers 관련 국가직무</t>
        </is>
      </c>
      <c r="F250" s="15" t="inlineStr">
        <is>
          <t>51520</t>
        </is>
      </c>
      <c r="G250" s="16" t="inlineStr">
        <is>
          <t>Domestic Housekeepers (한국 표준 직종)</t>
        </is>
      </c>
      <c r="H250" s="15" t="inlineStr">
        <is>
          <t>39-9011.00</t>
        </is>
      </c>
      <c r="I250" s="16" t="inlineStr">
        <is>
          <t>Domestic Housekeepers</t>
        </is>
      </c>
      <c r="J250" s="15" t="inlineStr">
        <is>
          <t>51520</t>
        </is>
      </c>
      <c r="K250" s="16" t="inlineStr">
        <is>
          <t>Domestic Housekeepers (CZ-ISCO)</t>
        </is>
      </c>
      <c r="L250" s="16" t="inlineStr">
        <is>
          <t>Domestic housekeepers organize, supervise and carry out housekeeping functions in private households and small accommodation establishments with or without the support of subordinate staff.</t>
        </is>
      </c>
    </row>
    <row r="251">
      <c r="A251" s="17" t="inlineStr">
        <is>
          <t>5153</t>
        </is>
      </c>
      <c r="B251" s="18" t="inlineStr">
        <is>
          <t>Building Caretakers</t>
        </is>
      </c>
      <c r="C251" s="18" t="inlineStr">
        <is>
          <t>B2B영업 / 마케팅 / GTM</t>
        </is>
      </c>
      <c r="D251" s="17" t="inlineStr">
        <is>
          <t>10020101</t>
        </is>
      </c>
      <c r="E251" s="18" t="inlineStr">
        <is>
          <t>Building Caretakers 관련 국가직무</t>
        </is>
      </c>
      <c r="F251" s="17" t="inlineStr">
        <is>
          <t>51530</t>
        </is>
      </c>
      <c r="G251" s="18" t="inlineStr">
        <is>
          <t>Building Caretakers (한국 표준 직종)</t>
        </is>
      </c>
      <c r="H251" s="17" t="inlineStr">
        <is>
          <t>39-9011.00</t>
        </is>
      </c>
      <c r="I251" s="18" t="inlineStr">
        <is>
          <t>Building Caretakers</t>
        </is>
      </c>
      <c r="J251" s="17" t="inlineStr">
        <is>
          <t>51530</t>
        </is>
      </c>
      <c r="K251" s="18" t="inlineStr">
        <is>
          <t>Building Caretakers (CZ-ISCO)</t>
        </is>
      </c>
      <c r="L251" s="18"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c>
    </row>
    <row r="252">
      <c r="A252" s="15" t="inlineStr">
        <is>
          <t>5161</t>
        </is>
      </c>
      <c r="B252" s="16" t="inlineStr">
        <is>
          <t>Astrologers, Fortune-tellers and Related Workers</t>
        </is>
      </c>
      <c r="C252" s="16" t="inlineStr">
        <is>
          <t>B2B영업 / 마케팅 / GTM</t>
        </is>
      </c>
      <c r="D252" s="15" t="inlineStr">
        <is>
          <t>10020101</t>
        </is>
      </c>
      <c r="E252" s="16" t="inlineStr">
        <is>
          <t>Astrologers, Fortune-tellers and Related Workers 관련 국가직무</t>
        </is>
      </c>
      <c r="F252" s="15" t="inlineStr">
        <is>
          <t>51610</t>
        </is>
      </c>
      <c r="G252" s="16" t="inlineStr">
        <is>
          <t>Astrologers, Fortune-tellers and Related Workers (한국 표준 직종)</t>
        </is>
      </c>
      <c r="H252" s="15" t="inlineStr">
        <is>
          <t>39-9011.00</t>
        </is>
      </c>
      <c r="I252" s="16" t="inlineStr">
        <is>
          <t>Astrologers, Fortune-tellers and Related Workers</t>
        </is>
      </c>
      <c r="J252" s="15" t="inlineStr">
        <is>
          <t>51610</t>
        </is>
      </c>
      <c r="K252" s="16" t="inlineStr">
        <is>
          <t>Astrologers, Fortune-tellers and Related Workers (CZ-ISCO)</t>
        </is>
      </c>
      <c r="L252" s="16" t="inlineStr">
        <is>
          <t>Astrologers, fortune-tellers and related workers recount past and predict future events in persons’ lives by practicing astrology, on the basis of characteristics of the clients’ palms, samples of playing cards drawn or other techniques.</t>
        </is>
      </c>
    </row>
    <row r="253">
      <c r="A253" s="17" t="inlineStr">
        <is>
          <t>5162</t>
        </is>
      </c>
      <c r="B253" s="18" t="inlineStr">
        <is>
          <t>Companions and Valets</t>
        </is>
      </c>
      <c r="C253" s="18" t="inlineStr">
        <is>
          <t>B2B영업 / 마케팅 / GTM</t>
        </is>
      </c>
      <c r="D253" s="17" t="inlineStr">
        <is>
          <t>10020101</t>
        </is>
      </c>
      <c r="E253" s="18" t="inlineStr">
        <is>
          <t>Companions and Valets 관련 국가직무</t>
        </is>
      </c>
      <c r="F253" s="17" t="inlineStr">
        <is>
          <t>51620</t>
        </is>
      </c>
      <c r="G253" s="18" t="inlineStr">
        <is>
          <t>Companions and Valets (한국 표준 직종)</t>
        </is>
      </c>
      <c r="H253" s="17" t="inlineStr">
        <is>
          <t>39-9011.00</t>
        </is>
      </c>
      <c r="I253" s="18" t="inlineStr">
        <is>
          <t>Companions and Valets</t>
        </is>
      </c>
      <c r="J253" s="17" t="inlineStr">
        <is>
          <t>51620</t>
        </is>
      </c>
      <c r="K253" s="18" t="inlineStr">
        <is>
          <t>Companions and Valets (CZ-ISCO)</t>
        </is>
      </c>
      <c r="L253" s="18" t="inlineStr">
        <is>
          <t>Companions and valets provide companionship and attend to various needs of the client or employer.</t>
        </is>
      </c>
    </row>
    <row r="254">
      <c r="A254" s="15" t="inlineStr">
        <is>
          <t>5163</t>
        </is>
      </c>
      <c r="B254" s="16" t="inlineStr">
        <is>
          <t>Undertakers and Embalmers</t>
        </is>
      </c>
      <c r="C254" s="16" t="inlineStr">
        <is>
          <t>B2B영업 / 마케팅 / GTM</t>
        </is>
      </c>
      <c r="D254" s="15" t="inlineStr">
        <is>
          <t>10020101</t>
        </is>
      </c>
      <c r="E254" s="16" t="inlineStr">
        <is>
          <t>Undertakers and Embalmers 관련 국가직무</t>
        </is>
      </c>
      <c r="F254" s="15" t="inlineStr">
        <is>
          <t>51630</t>
        </is>
      </c>
      <c r="G254" s="16" t="inlineStr">
        <is>
          <t>Undertakers and Embalmers (한국 표준 직종)</t>
        </is>
      </c>
      <c r="H254" s="15" t="inlineStr">
        <is>
          <t>39-9011.00</t>
        </is>
      </c>
      <c r="I254" s="16" t="inlineStr">
        <is>
          <t>Undertakers and Embalmers</t>
        </is>
      </c>
      <c r="J254" s="15" t="inlineStr">
        <is>
          <t>51630</t>
        </is>
      </c>
      <c r="K254" s="16" t="inlineStr">
        <is>
          <t>Undertakers and Embalmers (CZ-ISCO)</t>
        </is>
      </c>
      <c r="L254" s="16" t="inlineStr">
        <is>
          <t>Undertakers and embalmers arrange funerals and  perform various tasks in the disposal of  human bodies.</t>
        </is>
      </c>
    </row>
    <row r="255">
      <c r="A255" s="17" t="inlineStr">
        <is>
          <t>5164</t>
        </is>
      </c>
      <c r="B255" s="18" t="inlineStr">
        <is>
          <t>Pet Groomers and Animal Care Workers</t>
        </is>
      </c>
      <c r="C255" s="18" t="inlineStr">
        <is>
          <t>B2B영업 / 마케팅 / GTM</t>
        </is>
      </c>
      <c r="D255" s="17" t="inlineStr">
        <is>
          <t>10020101</t>
        </is>
      </c>
      <c r="E255" s="18" t="inlineStr">
        <is>
          <t>Pet Groomers and Animal Care Workers 관련 국가직무</t>
        </is>
      </c>
      <c r="F255" s="17" t="inlineStr">
        <is>
          <t>51640</t>
        </is>
      </c>
      <c r="G255" s="18" t="inlineStr">
        <is>
          <t>Pet Groomers and Animal Care Workers (한국 표준 직종)</t>
        </is>
      </c>
      <c r="H255" s="17" t="inlineStr">
        <is>
          <t>39-9011.00</t>
        </is>
      </c>
      <c r="I255" s="18" t="inlineStr">
        <is>
          <t>Pet Groomers and Animal Care Workers</t>
        </is>
      </c>
      <c r="J255" s="17" t="inlineStr">
        <is>
          <t>51640</t>
        </is>
      </c>
      <c r="K255" s="18" t="inlineStr">
        <is>
          <t>Pet Groomers and Animal Care Workers (CZ-ISCO)</t>
        </is>
      </c>
      <c r="L255" s="18"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t>
        </is>
      </c>
    </row>
    <row r="256">
      <c r="A256" s="15" t="inlineStr">
        <is>
          <t>5165</t>
        </is>
      </c>
      <c r="B256" s="16" t="inlineStr">
        <is>
          <t>Driving Instructors</t>
        </is>
      </c>
      <c r="C256" s="16" t="inlineStr">
        <is>
          <t>B2B영업 / 마케팅 / GTM</t>
        </is>
      </c>
      <c r="D256" s="15" t="inlineStr">
        <is>
          <t>10020101</t>
        </is>
      </c>
      <c r="E256" s="16" t="inlineStr">
        <is>
          <t>Driving Instructors 관련 국가직무</t>
        </is>
      </c>
      <c r="F256" s="15" t="inlineStr">
        <is>
          <t>51650</t>
        </is>
      </c>
      <c r="G256" s="16" t="inlineStr">
        <is>
          <t>Driving Instructors (한국 표준 직종)</t>
        </is>
      </c>
      <c r="H256" s="15" t="inlineStr">
        <is>
          <t>39-9011.00</t>
        </is>
      </c>
      <c r="I256" s="16" t="inlineStr">
        <is>
          <t>Driving Instructors</t>
        </is>
      </c>
      <c r="J256" s="15" t="inlineStr">
        <is>
          <t>51650</t>
        </is>
      </c>
      <c r="K256" s="16" t="inlineStr">
        <is>
          <t>Driving Instructors (CZ-ISCO)</t>
        </is>
      </c>
      <c r="L256" s="16" t="inlineStr">
        <is>
          <t>Driving instructors teach people how to drive motor vehicles.</t>
        </is>
      </c>
    </row>
    <row r="257">
      <c r="A257" s="17" t="inlineStr">
        <is>
          <t>5169</t>
        </is>
      </c>
      <c r="B257" s="18" t="inlineStr">
        <is>
          <t>Personal Services Workers Not Elsewhere Classified</t>
        </is>
      </c>
      <c r="C257" s="18" t="inlineStr">
        <is>
          <t>B2B영업 / 마케팅 / GTM</t>
        </is>
      </c>
      <c r="D257" s="17" t="inlineStr">
        <is>
          <t>10020101</t>
        </is>
      </c>
      <c r="E257" s="18" t="inlineStr">
        <is>
          <t>Personal Services Workers Not Elsewhere Classified 관련 국가직무</t>
        </is>
      </c>
      <c r="F257" s="17" t="inlineStr">
        <is>
          <t>51690</t>
        </is>
      </c>
      <c r="G257" s="18" t="inlineStr">
        <is>
          <t>Personal Services Workers Not Elsewhere Classified (한국 표준 직종)</t>
        </is>
      </c>
      <c r="H257" s="17" t="inlineStr">
        <is>
          <t>39-9011.00</t>
        </is>
      </c>
      <c r="I257" s="18" t="inlineStr">
        <is>
          <t>Personal Services Workers Not Elsewhere Classified</t>
        </is>
      </c>
      <c r="J257" s="17" t="inlineStr">
        <is>
          <t>51690</t>
        </is>
      </c>
      <c r="K257" s="18" t="inlineStr">
        <is>
          <t>Personal Services Workers Not Elsewhere Classified (CZ-ISCO)</t>
        </is>
      </c>
      <c r="L257" s="18"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c>
    </row>
    <row r="258">
      <c r="A258" s="15" t="inlineStr">
        <is>
          <t>5211</t>
        </is>
      </c>
      <c r="B258" s="16" t="inlineStr">
        <is>
          <t>Stall and Market Salespersons</t>
        </is>
      </c>
      <c r="C258" s="16" t="inlineStr">
        <is>
          <t>B2B영업 / 마케팅 / GTM</t>
        </is>
      </c>
      <c r="D258" s="15" t="inlineStr">
        <is>
          <t>10010101</t>
        </is>
      </c>
      <c r="E258" s="16" t="inlineStr">
        <is>
          <t>Stall and Market Salespersons 관련 국가직무</t>
        </is>
      </c>
      <c r="F258" s="15" t="inlineStr">
        <is>
          <t>52110</t>
        </is>
      </c>
      <c r="G258" s="16" t="inlineStr">
        <is>
          <t>Stall and Market Salespersons (한국 표준 직종)</t>
        </is>
      </c>
      <c r="H258" s="15" t="inlineStr">
        <is>
          <t>41-2031.00</t>
        </is>
      </c>
      <c r="I258" s="16" t="inlineStr">
        <is>
          <t>Stall and Market Salespersons</t>
        </is>
      </c>
      <c r="J258" s="15" t="inlineStr">
        <is>
          <t>52110</t>
        </is>
      </c>
      <c r="K258" s="16" t="inlineStr">
        <is>
          <t>Stall and Market Salespersons (CZ-ISCO)</t>
        </is>
      </c>
      <c r="L258" s="16" t="inlineStr">
        <is>
          <t>Stall and market salespersons sell various goods from stalls in open-air or covered markets or from stalls in streets or other open spaces.</t>
        </is>
      </c>
    </row>
    <row r="259">
      <c r="A259" s="17" t="inlineStr">
        <is>
          <t>5212</t>
        </is>
      </c>
      <c r="B259" s="18" t="inlineStr">
        <is>
          <t>Street Food Salespersons</t>
        </is>
      </c>
      <c r="C259" s="18" t="inlineStr">
        <is>
          <t>B2B영업 / 마케팅 / GTM</t>
        </is>
      </c>
      <c r="D259" s="17" t="inlineStr">
        <is>
          <t>10010101</t>
        </is>
      </c>
      <c r="E259" s="18" t="inlineStr">
        <is>
          <t>Street Food Salespersons 관련 국가직무</t>
        </is>
      </c>
      <c r="F259" s="17" t="inlineStr">
        <is>
          <t>52120</t>
        </is>
      </c>
      <c r="G259" s="18" t="inlineStr">
        <is>
          <t>Street Food Salespersons (한국 표준 직종)</t>
        </is>
      </c>
      <c r="H259" s="17" t="inlineStr">
        <is>
          <t>41-2031.00</t>
        </is>
      </c>
      <c r="I259" s="18" t="inlineStr">
        <is>
          <t>Street Food Salespersons</t>
        </is>
      </c>
      <c r="J259" s="17" t="inlineStr">
        <is>
          <t>52120</t>
        </is>
      </c>
      <c r="K259" s="18" t="inlineStr">
        <is>
          <t>Street Food Salespersons (CZ-ISCO)</t>
        </is>
      </c>
      <c r="L259" s="18" t="inlineStr">
        <is>
          <t>Street food salespersons prepare and sell, or sell previously prepared, hot or cold foods and beverages ready for immediate consumption in streets and public places such as stations, cinemas or theatres.</t>
        </is>
      </c>
    </row>
    <row r="260">
      <c r="A260" s="15" t="inlineStr">
        <is>
          <t>5221</t>
        </is>
      </c>
      <c r="B260" s="16" t="inlineStr">
        <is>
          <t>Shopkeepers</t>
        </is>
      </c>
      <c r="C260" s="16" t="inlineStr">
        <is>
          <t>B2B영업 / 마케팅 / GTM</t>
        </is>
      </c>
      <c r="D260" s="15" t="inlineStr">
        <is>
          <t>10010101</t>
        </is>
      </c>
      <c r="E260" s="16" t="inlineStr">
        <is>
          <t>Shopkeepers 관련 국가직무</t>
        </is>
      </c>
      <c r="F260" s="15" t="inlineStr">
        <is>
          <t>52210</t>
        </is>
      </c>
      <c r="G260" s="16" t="inlineStr">
        <is>
          <t>Shopkeepers (한국 표준 직종)</t>
        </is>
      </c>
      <c r="H260" s="15" t="inlineStr">
        <is>
          <t>41-2031.00</t>
        </is>
      </c>
      <c r="I260" s="16" t="inlineStr">
        <is>
          <t>Shopkeepers</t>
        </is>
      </c>
      <c r="J260" s="15" t="inlineStr">
        <is>
          <t>52210</t>
        </is>
      </c>
      <c r="K260" s="16" t="inlineStr">
        <is>
          <t>Shopkeepers (CZ-ISCO)</t>
        </is>
      </c>
      <c r="L260" s="16" t="inlineStr">
        <is>
          <t>Shopkeepers operate small retail shops either independently or with support from a small number of others.</t>
        </is>
      </c>
    </row>
    <row r="261">
      <c r="A261" s="17" t="inlineStr">
        <is>
          <t>5222</t>
        </is>
      </c>
      <c r="B261" s="18" t="inlineStr">
        <is>
          <t>Shop Supervisors</t>
        </is>
      </c>
      <c r="C261" s="18" t="inlineStr">
        <is>
          <t>B2B영업 / 마케팅 / GTM</t>
        </is>
      </c>
      <c r="D261" s="17" t="inlineStr">
        <is>
          <t>10010101</t>
        </is>
      </c>
      <c r="E261" s="18" t="inlineStr">
        <is>
          <t>Shop Supervisors 관련 국가직무</t>
        </is>
      </c>
      <c r="F261" s="17" t="inlineStr">
        <is>
          <t>52220</t>
        </is>
      </c>
      <c r="G261" s="18" t="inlineStr">
        <is>
          <t>Shop Supervisors (한국 표준 직종)</t>
        </is>
      </c>
      <c r="H261" s="17" t="inlineStr">
        <is>
          <t>41-2031.00</t>
        </is>
      </c>
      <c r="I261" s="18" t="inlineStr">
        <is>
          <t>Shop Supervisors</t>
        </is>
      </c>
      <c r="J261" s="17" t="inlineStr">
        <is>
          <t>52220</t>
        </is>
      </c>
      <c r="K261" s="18" t="inlineStr">
        <is>
          <t>Shop Supervisors (CZ-ISCO)</t>
        </is>
      </c>
      <c r="L261" s="18" t="inlineStr">
        <is>
          <t>Shop supervisors supervise and coordinate the activities of shop sales assistants, checkout operators and other workers in retail and wholesale shops such as supermarkets and department stores.</t>
        </is>
      </c>
    </row>
    <row r="262">
      <c r="A262" s="15" t="inlineStr">
        <is>
          <t>5223</t>
        </is>
      </c>
      <c r="B262" s="16" t="inlineStr">
        <is>
          <t>Shop Sales Assistants</t>
        </is>
      </c>
      <c r="C262" s="16" t="inlineStr">
        <is>
          <t>B2B영업 / 마케팅 / GTM</t>
        </is>
      </c>
      <c r="D262" s="15" t="inlineStr">
        <is>
          <t>10010101</t>
        </is>
      </c>
      <c r="E262" s="16" t="inlineStr">
        <is>
          <t>Shop Sales Assistants 관련 국가직무</t>
        </is>
      </c>
      <c r="F262" s="15" t="inlineStr">
        <is>
          <t>52230</t>
        </is>
      </c>
      <c r="G262" s="16" t="inlineStr">
        <is>
          <t>Shop Sales Assistants (한국 표준 직종)</t>
        </is>
      </c>
      <c r="H262" s="15" t="inlineStr">
        <is>
          <t>41-2031.00</t>
        </is>
      </c>
      <c r="I262" s="16" t="inlineStr">
        <is>
          <t>Shop Sales Assistants</t>
        </is>
      </c>
      <c r="J262" s="15" t="inlineStr">
        <is>
          <t>52230</t>
        </is>
      </c>
      <c r="K262" s="16" t="inlineStr">
        <is>
          <t>Shop Sales Assistants (CZ-ISCO)</t>
        </is>
      </c>
      <c r="L262" s="16" t="inlineStr">
        <is>
          <t>Shop sales assistants sell a range of goods and services directly to the public or on behalf of retail and wholesale establishments, and explain the functions and qualities of these goods and services.</t>
        </is>
      </c>
    </row>
    <row r="263">
      <c r="A263" s="17" t="inlineStr">
        <is>
          <t>5230</t>
        </is>
      </c>
      <c r="B263" s="18" t="inlineStr">
        <is>
          <t>Cashiers and Ticket Clerks</t>
        </is>
      </c>
      <c r="C263" s="18" t="inlineStr">
        <is>
          <t>B2B영업 / 마케팅 / GTM</t>
        </is>
      </c>
      <c r="D263" s="17" t="inlineStr">
        <is>
          <t>10010101</t>
        </is>
      </c>
      <c r="E263" s="18" t="inlineStr">
        <is>
          <t>Cashiers and Ticket Clerks 관련 국가직무</t>
        </is>
      </c>
      <c r="F263" s="17" t="inlineStr">
        <is>
          <t>52300</t>
        </is>
      </c>
      <c r="G263" s="18" t="inlineStr">
        <is>
          <t>Cashiers and Ticket Clerks (한국 표준 직종)</t>
        </is>
      </c>
      <c r="H263" s="17" t="inlineStr">
        <is>
          <t>41-2031.00</t>
        </is>
      </c>
      <c r="I263" s="18" t="inlineStr">
        <is>
          <t>Cashiers and Ticket Clerks</t>
        </is>
      </c>
      <c r="J263" s="17" t="inlineStr">
        <is>
          <t>52300</t>
        </is>
      </c>
      <c r="K263" s="18" t="inlineStr">
        <is>
          <t>Cashiers and Ticket Clerks (CZ-ISCO)</t>
        </is>
      </c>
      <c r="L263" s="18" t="inlineStr">
        <is>
          <t>Cashiers and ticket clerks operate cash registers, optical price scanners, computers or other equipment to record and accept payment for the purchase of goods, services and admissions in settings such as stores, restaurants and ticket offices.</t>
        </is>
      </c>
    </row>
    <row r="264">
      <c r="A264" s="15" t="inlineStr">
        <is>
          <t>5241</t>
        </is>
      </c>
      <c r="B264" s="16" t="inlineStr">
        <is>
          <t>Fashion and Other Models</t>
        </is>
      </c>
      <c r="C264" s="16" t="inlineStr">
        <is>
          <t>B2B영업 / 마케팅 / GTM</t>
        </is>
      </c>
      <c r="D264" s="15" t="inlineStr">
        <is>
          <t>10010101</t>
        </is>
      </c>
      <c r="E264" s="16" t="inlineStr">
        <is>
          <t>Fashion and Other Models 관련 국가직무</t>
        </is>
      </c>
      <c r="F264" s="15" t="inlineStr">
        <is>
          <t>52410</t>
        </is>
      </c>
      <c r="G264" s="16" t="inlineStr">
        <is>
          <t>Fashion and Other Models (한국 표준 직종)</t>
        </is>
      </c>
      <c r="H264" s="15" t="inlineStr">
        <is>
          <t>41-2031.00</t>
        </is>
      </c>
      <c r="I264" s="16" t="inlineStr">
        <is>
          <t>Fashion and Other Models</t>
        </is>
      </c>
      <c r="J264" s="15" t="inlineStr">
        <is>
          <t>52410</t>
        </is>
      </c>
      <c r="K264" s="16" t="inlineStr">
        <is>
          <t>Fashion and Other Models (CZ-ISCO)</t>
        </is>
      </c>
      <c r="L264" s="16" t="inlineStr">
        <is>
          <t>Fashion and other models wear and display clothing and accessories and pose for photographs, film and video, advertising, still photography or for artistic creation.</t>
        </is>
      </c>
    </row>
    <row r="265">
      <c r="A265" s="17" t="inlineStr">
        <is>
          <t>5242</t>
        </is>
      </c>
      <c r="B265" s="18" t="inlineStr">
        <is>
          <t>Sales Demonstrators</t>
        </is>
      </c>
      <c r="C265" s="18" t="inlineStr">
        <is>
          <t>B2B영업 / 마케팅 / GTM</t>
        </is>
      </c>
      <c r="D265" s="17" t="inlineStr">
        <is>
          <t>10010101</t>
        </is>
      </c>
      <c r="E265" s="18" t="inlineStr">
        <is>
          <t>Sales Demonstrators 관련 국가직무</t>
        </is>
      </c>
      <c r="F265" s="17" t="inlineStr">
        <is>
          <t>52420</t>
        </is>
      </c>
      <c r="G265" s="18" t="inlineStr">
        <is>
          <t>Sales Demonstrators (한국 표준 직종)</t>
        </is>
      </c>
      <c r="H265" s="17" t="inlineStr">
        <is>
          <t>41-2031.00</t>
        </is>
      </c>
      <c r="I265" s="18" t="inlineStr">
        <is>
          <t>Sales Demonstrators</t>
        </is>
      </c>
      <c r="J265" s="17" t="inlineStr">
        <is>
          <t>52420</t>
        </is>
      </c>
      <c r="K265" s="18" t="inlineStr">
        <is>
          <t>Sales Demonstrators (CZ-ISCO)</t>
        </is>
      </c>
      <c r="L265" s="18" t="inlineStr">
        <is>
          <t>Sales demonstrators demonstrate goods at commercial premises, exhibitions and private homes.</t>
        </is>
      </c>
    </row>
    <row r="266">
      <c r="A266" s="15" t="inlineStr">
        <is>
          <t>5243</t>
        </is>
      </c>
      <c r="B266" s="16" t="inlineStr">
        <is>
          <t>Door-to-door Salespersons</t>
        </is>
      </c>
      <c r="C266" s="16" t="inlineStr">
        <is>
          <t>B2B영업 / 마케팅 / GTM</t>
        </is>
      </c>
      <c r="D266" s="15" t="inlineStr">
        <is>
          <t>10010101</t>
        </is>
      </c>
      <c r="E266" s="16" t="inlineStr">
        <is>
          <t>Door-to-door Salespersons 관련 국가직무</t>
        </is>
      </c>
      <c r="F266" s="15" t="inlineStr">
        <is>
          <t>52430</t>
        </is>
      </c>
      <c r="G266" s="16" t="inlineStr">
        <is>
          <t>Door-to-door Salespersons (한국 표준 직종)</t>
        </is>
      </c>
      <c r="H266" s="15" t="inlineStr">
        <is>
          <t>41-2031.00</t>
        </is>
      </c>
      <c r="I266" s="16" t="inlineStr">
        <is>
          <t>Door-to-door Salespersons</t>
        </is>
      </c>
      <c r="J266" s="15" t="inlineStr">
        <is>
          <t>52430</t>
        </is>
      </c>
      <c r="K266" s="16" t="inlineStr">
        <is>
          <t>Door-to-door Salespersons (CZ-ISCO)</t>
        </is>
      </c>
      <c r="L266" s="16" t="inlineStr">
        <is>
          <t>Door-to-door salespersons describe, demonstrate and sell goods and services and solicit business for establishments by approaching or visiting potential customers, usually residents in private homes, by going from door to door.</t>
        </is>
      </c>
    </row>
    <row r="267">
      <c r="A267" s="17" t="inlineStr">
        <is>
          <t>5244</t>
        </is>
      </c>
      <c r="B267" s="18" t="inlineStr">
        <is>
          <t>Contact Centre Salespersons</t>
        </is>
      </c>
      <c r="C267" s="18" t="inlineStr">
        <is>
          <t>B2B영업 / 마케팅 / GTM</t>
        </is>
      </c>
      <c r="D267" s="17" t="inlineStr">
        <is>
          <t>10010101</t>
        </is>
      </c>
      <c r="E267" s="18" t="inlineStr">
        <is>
          <t>Contact Centre Salespersons 관련 국가직무</t>
        </is>
      </c>
      <c r="F267" s="17" t="inlineStr">
        <is>
          <t>52440</t>
        </is>
      </c>
      <c r="G267" s="18" t="inlineStr">
        <is>
          <t>Contact Centre Salespersons (한국 표준 직종)</t>
        </is>
      </c>
      <c r="H267" s="17" t="inlineStr">
        <is>
          <t>41-2031.00</t>
        </is>
      </c>
      <c r="I267" s="18" t="inlineStr">
        <is>
          <t>Contact Centre Salespersons</t>
        </is>
      </c>
      <c r="J267" s="17" t="inlineStr">
        <is>
          <t>52440</t>
        </is>
      </c>
      <c r="K267" s="18" t="inlineStr">
        <is>
          <t>Contact Centre Salespersons (CZ-ISCO)</t>
        </is>
      </c>
      <c r="L267" s="18"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c>
    </row>
    <row r="268">
      <c r="A268" s="15" t="inlineStr">
        <is>
          <t>5245</t>
        </is>
      </c>
      <c r="B268" s="16" t="inlineStr">
        <is>
          <t>Service Station Attendants</t>
        </is>
      </c>
      <c r="C268" s="16" t="inlineStr">
        <is>
          <t>B2B영업 / 마케팅 / GTM</t>
        </is>
      </c>
      <c r="D268" s="15" t="inlineStr">
        <is>
          <t>10010101</t>
        </is>
      </c>
      <c r="E268" s="16" t="inlineStr">
        <is>
          <t>Service Station Attendants 관련 국가직무</t>
        </is>
      </c>
      <c r="F268" s="15" t="inlineStr">
        <is>
          <t>52450</t>
        </is>
      </c>
      <c r="G268" s="16" t="inlineStr">
        <is>
          <t>Service Station Attendants (한국 표준 직종)</t>
        </is>
      </c>
      <c r="H268" s="15" t="inlineStr">
        <is>
          <t>41-2031.00</t>
        </is>
      </c>
      <c r="I268" s="16" t="inlineStr">
        <is>
          <t>Service Station Attendants</t>
        </is>
      </c>
      <c r="J268" s="15" t="inlineStr">
        <is>
          <t>52450</t>
        </is>
      </c>
      <c r="K268" s="16" t="inlineStr">
        <is>
          <t>Service Station Attendants (CZ-ISCO)</t>
        </is>
      </c>
      <c r="L268" s="16" t="inlineStr">
        <is>
          <t>Service station attendants sell fuel, lubricants and other automotive products and provide services such as fuelling, cleaning, lubricating and performing minor repairs to motor vehicles.</t>
        </is>
      </c>
    </row>
    <row r="269">
      <c r="A269" s="17" t="inlineStr">
        <is>
          <t>5246</t>
        </is>
      </c>
      <c r="B269" s="18" t="inlineStr">
        <is>
          <t>Food Service Counter Attendants</t>
        </is>
      </c>
      <c r="C269" s="18" t="inlineStr">
        <is>
          <t>B2B영업 / 마케팅 / GTM</t>
        </is>
      </c>
      <c r="D269" s="17" t="inlineStr">
        <is>
          <t>10010101</t>
        </is>
      </c>
      <c r="E269" s="18" t="inlineStr">
        <is>
          <t>Food Service Counter Attendants 관련 국가직무</t>
        </is>
      </c>
      <c r="F269" s="17" t="inlineStr">
        <is>
          <t>52460</t>
        </is>
      </c>
      <c r="G269" s="18" t="inlineStr">
        <is>
          <t>Food Service Counter Attendants (한국 표준 직종)</t>
        </is>
      </c>
      <c r="H269" s="17" t="inlineStr">
        <is>
          <t>41-2031.00</t>
        </is>
      </c>
      <c r="I269" s="18" t="inlineStr">
        <is>
          <t>Food Service Counter Attendants</t>
        </is>
      </c>
      <c r="J269" s="17" t="inlineStr">
        <is>
          <t>52460</t>
        </is>
      </c>
      <c r="K269" s="18" t="inlineStr">
        <is>
          <t>Food Service Counter Attendants (CZ-ISCO)</t>
        </is>
      </c>
      <c r="L269" s="18" t="inlineStr">
        <is>
          <t>Food service counter attendants serve customers at food counters and finish preparation of simple food items in restaurants, cafes, hotels, fast food outlets, cafeterias, hospitals and other settings.</t>
        </is>
      </c>
    </row>
    <row r="270">
      <c r="A270" s="15" t="inlineStr">
        <is>
          <t>5249</t>
        </is>
      </c>
      <c r="B270" s="16" t="inlineStr">
        <is>
          <t>Sales Workers Not Elsewhere Classified</t>
        </is>
      </c>
      <c r="C270" s="16" t="inlineStr">
        <is>
          <t>B2B영업 / 마케팅 / GTM</t>
        </is>
      </c>
      <c r="D270" s="15" t="inlineStr">
        <is>
          <t>10010101</t>
        </is>
      </c>
      <c r="E270" s="16" t="inlineStr">
        <is>
          <t>Sales Workers Not Elsewhere Classified 관련 국가직무</t>
        </is>
      </c>
      <c r="F270" s="15" t="inlineStr">
        <is>
          <t>52490</t>
        </is>
      </c>
      <c r="G270" s="16" t="inlineStr">
        <is>
          <t>Sales Workers Not Elsewhere Classified (한국 표준 직종)</t>
        </is>
      </c>
      <c r="H270" s="15" t="inlineStr">
        <is>
          <t>41-2031.00</t>
        </is>
      </c>
      <c r="I270" s="16" t="inlineStr">
        <is>
          <t>Sales Workers Not Elsewhere Classified</t>
        </is>
      </c>
      <c r="J270" s="15" t="inlineStr">
        <is>
          <t>52490</t>
        </is>
      </c>
      <c r="K270" s="16" t="inlineStr">
        <is>
          <t>Sales Workers Not Elsewhere Classified (CZ-ISCO)</t>
        </is>
      </c>
      <c r="L270" s="16" t="inlineStr">
        <is>
          <t>This unit group includes sales workers not classified elsewhere in Sub -major Group 52: Sales Workers.</t>
        </is>
      </c>
    </row>
    <row r="271">
      <c r="A271" s="17" t="inlineStr">
        <is>
          <t>5311</t>
        </is>
      </c>
      <c r="B271" s="18" t="inlineStr">
        <is>
          <t>Child Care Workers</t>
        </is>
      </c>
      <c r="C271" s="18" t="inlineStr">
        <is>
          <t>바이오 / 제약 / 임상헬스케어</t>
        </is>
      </c>
      <c r="D271" s="17" t="inlineStr">
        <is>
          <t>02530101</t>
        </is>
      </c>
      <c r="E271" s="18" t="inlineStr">
        <is>
          <t>Child Care Workers 관련 국가직무</t>
        </is>
      </c>
      <c r="F271" s="17" t="inlineStr">
        <is>
          <t>53110</t>
        </is>
      </c>
      <c r="G271" s="18" t="inlineStr">
        <is>
          <t>Child Care Workers (한국 표준 직종)</t>
        </is>
      </c>
      <c r="H271" s="17" t="inlineStr">
        <is>
          <t>15-5311.00</t>
        </is>
      </c>
      <c r="I271" s="18" t="inlineStr">
        <is>
          <t>Child Care Workers</t>
        </is>
      </c>
      <c r="J271" s="17" t="inlineStr">
        <is>
          <t>53110</t>
        </is>
      </c>
      <c r="K271" s="18" t="inlineStr">
        <is>
          <t>Child Care Workers (CZ-ISCO)</t>
        </is>
      </c>
      <c r="L271" s="18" t="inlineStr">
        <is>
          <t>Child care workers provide care and supervision for children in residential homes and in before-school, after-school, vacation and day care centres.</t>
        </is>
      </c>
    </row>
    <row r="272">
      <c r="A272" s="15" t="inlineStr">
        <is>
          <t>5312</t>
        </is>
      </c>
      <c r="B272" s="16" t="inlineStr">
        <is>
          <t>Teachers' Aides</t>
        </is>
      </c>
      <c r="C272" s="16" t="inlineStr">
        <is>
          <t>바이오 / 제약 / 임상헬스케어</t>
        </is>
      </c>
      <c r="D272" s="15" t="inlineStr">
        <is>
          <t>02530101</t>
        </is>
      </c>
      <c r="E272" s="16" t="inlineStr">
        <is>
          <t>Teachers' Aides 관련 국가직무</t>
        </is>
      </c>
      <c r="F272" s="15" t="inlineStr">
        <is>
          <t>53120</t>
        </is>
      </c>
      <c r="G272" s="16" t="inlineStr">
        <is>
          <t>Teachers' Aides (한국 표준 직종)</t>
        </is>
      </c>
      <c r="H272" s="15" t="inlineStr">
        <is>
          <t>15-5311.00</t>
        </is>
      </c>
      <c r="I272" s="16" t="inlineStr">
        <is>
          <t>Teachers' Aides</t>
        </is>
      </c>
      <c r="J272" s="15" t="inlineStr">
        <is>
          <t>53120</t>
        </is>
      </c>
      <c r="K272" s="16" t="inlineStr">
        <is>
          <t>Teachers' Aides (CZ-ISCO)</t>
        </is>
      </c>
      <c r="L272" s="16" t="inlineStr">
        <is>
          <t>Teachers' aides perform non-teaching duties to assist teaching staff, and provide care and supervision for children in schools and pre-schools.</t>
        </is>
      </c>
    </row>
    <row r="273">
      <c r="A273" s="17" t="inlineStr">
        <is>
          <t>5321</t>
        </is>
      </c>
      <c r="B273" s="18" t="inlineStr">
        <is>
          <t>Health Care Assistants</t>
        </is>
      </c>
      <c r="C273" s="18" t="inlineStr">
        <is>
          <t>바이오 / 제약 / 임상헬스케어</t>
        </is>
      </c>
      <c r="D273" s="17" t="inlineStr">
        <is>
          <t>02530101</t>
        </is>
      </c>
      <c r="E273" s="18" t="inlineStr">
        <is>
          <t>Health Care Assistants 관련 국가직무</t>
        </is>
      </c>
      <c r="F273" s="17" t="inlineStr">
        <is>
          <t>53210</t>
        </is>
      </c>
      <c r="G273" s="18" t="inlineStr">
        <is>
          <t>Health Care Assistants (한국 표준 직종)</t>
        </is>
      </c>
      <c r="H273" s="17" t="inlineStr">
        <is>
          <t>15-5311.00</t>
        </is>
      </c>
      <c r="I273" s="18" t="inlineStr">
        <is>
          <t>Health Care Assistants</t>
        </is>
      </c>
      <c r="J273" s="17" t="inlineStr">
        <is>
          <t>53210</t>
        </is>
      </c>
      <c r="K273" s="18" t="inlineStr">
        <is>
          <t>Health Care Assistants (CZ-ISCO)</t>
        </is>
      </c>
      <c r="L273" s="18"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t>
        </is>
      </c>
    </row>
    <row r="274">
      <c r="A274" s="15" t="inlineStr">
        <is>
          <t>5322</t>
        </is>
      </c>
      <c r="B274" s="16" t="inlineStr">
        <is>
          <t>Home-based Personal Care Workers</t>
        </is>
      </c>
      <c r="C274" s="16" t="inlineStr">
        <is>
          <t>바이오 / 제약 / 임상헬스케어</t>
        </is>
      </c>
      <c r="D274" s="15" t="inlineStr">
        <is>
          <t>02530101</t>
        </is>
      </c>
      <c r="E274" s="16" t="inlineStr">
        <is>
          <t>Home-based Personal Care Workers 관련 국가직무</t>
        </is>
      </c>
      <c r="F274" s="15" t="inlineStr">
        <is>
          <t>53220</t>
        </is>
      </c>
      <c r="G274" s="16" t="inlineStr">
        <is>
          <t>Home-based Personal Care Workers (한국 표준 직종)</t>
        </is>
      </c>
      <c r="H274" s="15" t="inlineStr">
        <is>
          <t>15-5311.00</t>
        </is>
      </c>
      <c r="I274" s="16" t="inlineStr">
        <is>
          <t>Home-based Personal Care Workers</t>
        </is>
      </c>
      <c r="J274" s="15" t="inlineStr">
        <is>
          <t>53220</t>
        </is>
      </c>
      <c r="K274" s="16" t="inlineStr">
        <is>
          <t>Home-based Personal Care Workers (CZ-ISCO)</t>
        </is>
      </c>
      <c r="L274" s="16"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c>
    </row>
    <row r="275">
      <c r="A275" s="17" t="inlineStr">
        <is>
          <t>5329</t>
        </is>
      </c>
      <c r="B275" s="18" t="inlineStr">
        <is>
          <t>Personal Care Workers in Health Services Not Elsewhere Classified</t>
        </is>
      </c>
      <c r="C275" s="18" t="inlineStr">
        <is>
          <t>바이오 / 제약 / 임상헬스케어</t>
        </is>
      </c>
      <c r="D275" s="17" t="inlineStr">
        <is>
          <t>02530101</t>
        </is>
      </c>
      <c r="E275" s="18" t="inlineStr">
        <is>
          <t>Personal Care Workers in Health Services Not Elsewhere Classified 관련 국가직무</t>
        </is>
      </c>
      <c r="F275" s="17" t="inlineStr">
        <is>
          <t>53290</t>
        </is>
      </c>
      <c r="G275" s="18" t="inlineStr">
        <is>
          <t>Personal Care Workers in Health Services Not Elsewhere Classified (한국 표준 직종)</t>
        </is>
      </c>
      <c r="H275" s="17" t="inlineStr">
        <is>
          <t>15-5311.00</t>
        </is>
      </c>
      <c r="I275" s="18" t="inlineStr">
        <is>
          <t>Personal Care Workers in Health Services Not Elsewhere Classified</t>
        </is>
      </c>
      <c r="J275" s="17" t="inlineStr">
        <is>
          <t>53290</t>
        </is>
      </c>
      <c r="K275" s="18" t="inlineStr">
        <is>
          <t>Personal Care Workers in Health Services Not Elsewhere Classified (CZ-ISCO)</t>
        </is>
      </c>
      <c r="L275" s="18"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t>
        </is>
      </c>
    </row>
    <row r="276">
      <c r="A276" s="15" t="inlineStr">
        <is>
          <t>5411</t>
        </is>
      </c>
      <c r="B276" s="16" t="inlineStr">
        <is>
          <t>Fire Fighters</t>
        </is>
      </c>
      <c r="C276" s="16" t="inlineStr">
        <is>
          <t>탄소중립 / 산업안전 / ESG</t>
        </is>
      </c>
      <c r="D276" s="15" t="inlineStr">
        <is>
          <t>02540101</t>
        </is>
      </c>
      <c r="E276" s="16" t="inlineStr">
        <is>
          <t>Fire Fighters 관련 국가직무</t>
        </is>
      </c>
      <c r="F276" s="15" t="inlineStr">
        <is>
          <t>54110</t>
        </is>
      </c>
      <c r="G276" s="16" t="inlineStr">
        <is>
          <t>Fire Fighters (한국 표준 직종)</t>
        </is>
      </c>
      <c r="H276" s="15" t="inlineStr">
        <is>
          <t>15-5411.00</t>
        </is>
      </c>
      <c r="I276" s="16" t="inlineStr">
        <is>
          <t>Fire Fighters</t>
        </is>
      </c>
      <c r="J276" s="15" t="inlineStr">
        <is>
          <t>54110</t>
        </is>
      </c>
      <c r="K276" s="16" t="inlineStr">
        <is>
          <t>Fire Fighters (CZ-ISCO)</t>
        </is>
      </c>
      <c r="L276" s="16" t="inlineStr">
        <is>
          <t>Fire fighters prevent, fight and extinguish fires and assist in other emergencies, protect life and property and conduct rescue efforts.</t>
        </is>
      </c>
    </row>
    <row r="277">
      <c r="A277" s="17" t="inlineStr">
        <is>
          <t>5412</t>
        </is>
      </c>
      <c r="B277" s="18" t="inlineStr">
        <is>
          <t>Police Officers</t>
        </is>
      </c>
      <c r="C277" s="18" t="inlineStr">
        <is>
          <t>탄소중립 / 산업안전 / ESG</t>
        </is>
      </c>
      <c r="D277" s="17" t="inlineStr">
        <is>
          <t>02540101</t>
        </is>
      </c>
      <c r="E277" s="18" t="inlineStr">
        <is>
          <t>Police Officers 관련 국가직무</t>
        </is>
      </c>
      <c r="F277" s="17" t="inlineStr">
        <is>
          <t>54120</t>
        </is>
      </c>
      <c r="G277" s="18" t="inlineStr">
        <is>
          <t>Police Officers (한국 표준 직종)</t>
        </is>
      </c>
      <c r="H277" s="17" t="inlineStr">
        <is>
          <t>15-5411.00</t>
        </is>
      </c>
      <c r="I277" s="18" t="inlineStr">
        <is>
          <t>Police Officers</t>
        </is>
      </c>
      <c r="J277" s="17" t="inlineStr">
        <is>
          <t>54120</t>
        </is>
      </c>
      <c r="K277" s="18" t="inlineStr">
        <is>
          <t>Police Officers (CZ-ISCO)</t>
        </is>
      </c>
      <c r="L277" s="18" t="inlineStr">
        <is>
          <t>Police officers maintain law and order, patrolling public areas, enforcing laws and regulations and arresting suspected offenders.</t>
        </is>
      </c>
    </row>
    <row r="278">
      <c r="A278" s="15" t="inlineStr">
        <is>
          <t>5413</t>
        </is>
      </c>
      <c r="B278" s="16" t="inlineStr">
        <is>
          <t>Prison Guards</t>
        </is>
      </c>
      <c r="C278" s="16" t="inlineStr">
        <is>
          <t>탄소중립 / 산업안전 / ESG</t>
        </is>
      </c>
      <c r="D278" s="15" t="inlineStr">
        <is>
          <t>02540101</t>
        </is>
      </c>
      <c r="E278" s="16" t="inlineStr">
        <is>
          <t>Prison Guards 관련 국가직무</t>
        </is>
      </c>
      <c r="F278" s="15" t="inlineStr">
        <is>
          <t>54130</t>
        </is>
      </c>
      <c r="G278" s="16" t="inlineStr">
        <is>
          <t>Prison Guards (한국 표준 직종)</t>
        </is>
      </c>
      <c r="H278" s="15" t="inlineStr">
        <is>
          <t>15-5411.00</t>
        </is>
      </c>
      <c r="I278" s="16" t="inlineStr">
        <is>
          <t>Prison Guards</t>
        </is>
      </c>
      <c r="J278" s="15" t="inlineStr">
        <is>
          <t>54130</t>
        </is>
      </c>
      <c r="K278" s="16" t="inlineStr">
        <is>
          <t>Prison Guards (CZ-ISCO)</t>
        </is>
      </c>
      <c r="L278" s="16" t="inlineStr">
        <is>
          <t>Prison guards watch over and maintain order among inmates of prisons, reformatories or penitentiaries.</t>
        </is>
      </c>
    </row>
    <row r="279">
      <c r="A279" s="17" t="inlineStr">
        <is>
          <t>5414</t>
        </is>
      </c>
      <c r="B279" s="18" t="inlineStr">
        <is>
          <t>Security Guards</t>
        </is>
      </c>
      <c r="C279" s="18" t="inlineStr">
        <is>
          <t>탄소중립 / 산업안전 / ESG</t>
        </is>
      </c>
      <c r="D279" s="17" t="inlineStr">
        <is>
          <t>02540101</t>
        </is>
      </c>
      <c r="E279" s="18" t="inlineStr">
        <is>
          <t>Security Guards 관련 국가직무</t>
        </is>
      </c>
      <c r="F279" s="17" t="inlineStr">
        <is>
          <t>54140</t>
        </is>
      </c>
      <c r="G279" s="18" t="inlineStr">
        <is>
          <t>Security Guards (한국 표준 직종)</t>
        </is>
      </c>
      <c r="H279" s="17" t="inlineStr">
        <is>
          <t>15-5411.00</t>
        </is>
      </c>
      <c r="I279" s="18" t="inlineStr">
        <is>
          <t>Security Guards</t>
        </is>
      </c>
      <c r="J279" s="17" t="inlineStr">
        <is>
          <t>54140</t>
        </is>
      </c>
      <c r="K279" s="18" t="inlineStr">
        <is>
          <t>Security Guards (CZ-ISCO)</t>
        </is>
      </c>
      <c r="L279" s="18" t="inlineStr">
        <is>
          <t>Security guards patrol or monitor premises to guard property against theft and vandalism. They control access to establishments and maintain order and enforce regulations at public events and within establishments.</t>
        </is>
      </c>
    </row>
    <row r="280">
      <c r="A280" s="15" t="inlineStr">
        <is>
          <t>5419</t>
        </is>
      </c>
      <c r="B280" s="16" t="inlineStr">
        <is>
          <t>Protective Services Workers Not Elsewhere Classified</t>
        </is>
      </c>
      <c r="C280" s="16" t="inlineStr">
        <is>
          <t>탄소중립 / 산업안전 / ESG</t>
        </is>
      </c>
      <c r="D280" s="15" t="inlineStr">
        <is>
          <t>02540101</t>
        </is>
      </c>
      <c r="E280" s="16" t="inlineStr">
        <is>
          <t>Protective Services Workers Not Elsewhere Classified 관련 국가직무</t>
        </is>
      </c>
      <c r="F280" s="15" t="inlineStr">
        <is>
          <t>54190</t>
        </is>
      </c>
      <c r="G280" s="16" t="inlineStr">
        <is>
          <t>Protective Services Workers Not Elsewhere Classified (한국 표준 직종)</t>
        </is>
      </c>
      <c r="H280" s="15" t="inlineStr">
        <is>
          <t>15-5411.00</t>
        </is>
      </c>
      <c r="I280" s="16" t="inlineStr">
        <is>
          <t>Protective Services Workers Not Elsewhere Classified</t>
        </is>
      </c>
      <c r="J280" s="15" t="inlineStr">
        <is>
          <t>54190</t>
        </is>
      </c>
      <c r="K280" s="16" t="inlineStr">
        <is>
          <t>Protective Services Workers Not Elsewhere Classified (CZ-ISCO)</t>
        </is>
      </c>
      <c r="L280" s="16" t="inlineStr">
        <is>
          <t>This unit group covers protective services workers not classified elsewhere in Minor Group 541: Protective Services Workers. For instance, the unit group includes lifeguards, crossing guards and animal control officers.</t>
        </is>
      </c>
    </row>
    <row r="281">
      <c r="A281" s="17" t="inlineStr">
        <is>
          <t>6111</t>
        </is>
      </c>
      <c r="B281" s="18" t="inlineStr">
        <is>
          <t>Field Crop and Vegetable Growers</t>
        </is>
      </c>
      <c r="C281" s="18" t="inlineStr">
        <is>
          <t>탄소중립 / 산업안전 / ESG</t>
        </is>
      </c>
      <c r="D281" s="17" t="inlineStr">
        <is>
          <t>24010101</t>
        </is>
      </c>
      <c r="E281" s="18" t="inlineStr">
        <is>
          <t>Field Crop and Vegetable Growers 관련 국가직무</t>
        </is>
      </c>
      <c r="F281" s="17" t="inlineStr">
        <is>
          <t>61110</t>
        </is>
      </c>
      <c r="G281" s="18" t="inlineStr">
        <is>
          <t>Field Crop and Vegetable Growers (한국 표준 직종)</t>
        </is>
      </c>
      <c r="H281" s="17" t="inlineStr">
        <is>
          <t>45-1011.00</t>
        </is>
      </c>
      <c r="I281" s="18" t="inlineStr">
        <is>
          <t>Field Crop and Vegetable Growers</t>
        </is>
      </c>
      <c r="J281" s="17" t="inlineStr">
        <is>
          <t>61110</t>
        </is>
      </c>
      <c r="K281" s="18" t="inlineStr">
        <is>
          <t>Field Crop and Vegetable Growers (CZ-ISCO)</t>
        </is>
      </c>
      <c r="L281" s="18" t="inlineStr">
        <is>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t>
        </is>
      </c>
    </row>
    <row r="282">
      <c r="A282" s="15" t="inlineStr">
        <is>
          <t>6112</t>
        </is>
      </c>
      <c r="B282" s="16" t="inlineStr">
        <is>
          <t>Tree and Shrub Crop Growers</t>
        </is>
      </c>
      <c r="C282" s="16" t="inlineStr">
        <is>
          <t>탄소중립 / 산업안전 / ESG</t>
        </is>
      </c>
      <c r="D282" s="15" t="inlineStr">
        <is>
          <t>24010101</t>
        </is>
      </c>
      <c r="E282" s="16" t="inlineStr">
        <is>
          <t>Tree and Shrub Crop Growers 관련 국가직무</t>
        </is>
      </c>
      <c r="F282" s="15" t="inlineStr">
        <is>
          <t>61120</t>
        </is>
      </c>
      <c r="G282" s="16" t="inlineStr">
        <is>
          <t>Tree and Shrub Crop Growers (한국 표준 직종)</t>
        </is>
      </c>
      <c r="H282" s="15" t="inlineStr">
        <is>
          <t>45-1011.00</t>
        </is>
      </c>
      <c r="I282" s="16" t="inlineStr">
        <is>
          <t>Tree and Shrub Crop Growers</t>
        </is>
      </c>
      <c r="J282" s="15" t="inlineStr">
        <is>
          <t>61120</t>
        </is>
      </c>
      <c r="K282" s="16" t="inlineStr">
        <is>
          <t>Tree and Shrub Crop Growers (CZ-ISCO)</t>
        </is>
      </c>
      <c r="L282" s="16" t="inlineStr">
        <is>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t>
        </is>
      </c>
    </row>
    <row r="283">
      <c r="A283" s="17" t="inlineStr">
        <is>
          <t>6113</t>
        </is>
      </c>
      <c r="B283" s="18" t="inlineStr">
        <is>
          <t>Gardeners, Horticultural and Nursery Growers</t>
        </is>
      </c>
      <c r="C283" s="18" t="inlineStr">
        <is>
          <t>탄소중립 / 산업안전 / ESG</t>
        </is>
      </c>
      <c r="D283" s="17" t="inlineStr">
        <is>
          <t>24010101</t>
        </is>
      </c>
      <c r="E283" s="18" t="inlineStr">
        <is>
          <t>Gardeners, Horticultural and Nursery Growers 관련 국가직무</t>
        </is>
      </c>
      <c r="F283" s="17" t="inlineStr">
        <is>
          <t>61130</t>
        </is>
      </c>
      <c r="G283" s="18" t="inlineStr">
        <is>
          <t>Gardeners, Horticultural and Nursery Growers (한국 표준 직종)</t>
        </is>
      </c>
      <c r="H283" s="17" t="inlineStr">
        <is>
          <t>45-1011.00</t>
        </is>
      </c>
      <c r="I283" s="18" t="inlineStr">
        <is>
          <t>Gardeners, Horticultural and Nursery Growers</t>
        </is>
      </c>
      <c r="J283" s="17" t="inlineStr">
        <is>
          <t>61130</t>
        </is>
      </c>
      <c r="K283" s="18" t="inlineStr">
        <is>
          <t>Gardeners, Horticultural and Nursery Growers (CZ-ISCO)</t>
        </is>
      </c>
      <c r="L283" s="18" t="inlineStr">
        <is>
          <t xml:space="preserve">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t>
        </is>
      </c>
    </row>
    <row r="284">
      <c r="A284" s="15" t="inlineStr">
        <is>
          <t>6114</t>
        </is>
      </c>
      <c r="B284" s="16" t="inlineStr">
        <is>
          <t>Mixed Crop Growers</t>
        </is>
      </c>
      <c r="C284" s="16" t="inlineStr">
        <is>
          <t>탄소중립 / 산업안전 / ESG</t>
        </is>
      </c>
      <c r="D284" s="15" t="inlineStr">
        <is>
          <t>24010101</t>
        </is>
      </c>
      <c r="E284" s="16" t="inlineStr">
        <is>
          <t>Mixed Crop Growers 관련 국가직무</t>
        </is>
      </c>
      <c r="F284" s="15" t="inlineStr">
        <is>
          <t>61140</t>
        </is>
      </c>
      <c r="G284" s="16" t="inlineStr">
        <is>
          <t>Mixed Crop Growers (한국 표준 직종)</t>
        </is>
      </c>
      <c r="H284" s="15" t="inlineStr">
        <is>
          <t>45-1011.00</t>
        </is>
      </c>
      <c r="I284" s="16" t="inlineStr">
        <is>
          <t>Mixed Crop Growers</t>
        </is>
      </c>
      <c r="J284" s="15" t="inlineStr">
        <is>
          <t>61140</t>
        </is>
      </c>
      <c r="K284" s="16" t="inlineStr">
        <is>
          <t>Mixed Crop Growers (CZ-ISCO)</t>
        </is>
      </c>
      <c r="L284" s="16" t="inlineStr">
        <is>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is>
      </c>
    </row>
    <row r="285">
      <c r="A285" s="17" t="inlineStr">
        <is>
          <t>6121</t>
        </is>
      </c>
      <c r="B285" s="18" t="inlineStr">
        <is>
          <t>Livestock and Dairy Producers</t>
        </is>
      </c>
      <c r="C285" s="18" t="inlineStr">
        <is>
          <t>탄소중립 / 산업안전 / ESG</t>
        </is>
      </c>
      <c r="D285" s="17" t="inlineStr">
        <is>
          <t>24010101</t>
        </is>
      </c>
      <c r="E285" s="18" t="inlineStr">
        <is>
          <t>Livestock and Dairy Producers 관련 국가직무</t>
        </is>
      </c>
      <c r="F285" s="17" t="inlineStr">
        <is>
          <t>61210</t>
        </is>
      </c>
      <c r="G285" s="18" t="inlineStr">
        <is>
          <t>Livestock and Dairy Producers (한국 표준 직종)</t>
        </is>
      </c>
      <c r="H285" s="17" t="inlineStr">
        <is>
          <t>45-1011.00</t>
        </is>
      </c>
      <c r="I285" s="18" t="inlineStr">
        <is>
          <t>Livestock and Dairy Producers</t>
        </is>
      </c>
      <c r="J285" s="17" t="inlineStr">
        <is>
          <t>61210</t>
        </is>
      </c>
      <c r="K285" s="18" t="inlineStr">
        <is>
          <t>Livestock and Dairy Producers (CZ-ISCO)</t>
        </is>
      </c>
      <c r="L285" s="18" t="inlineStr">
        <is>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t>
        </is>
      </c>
    </row>
    <row r="286">
      <c r="A286" s="15" t="inlineStr">
        <is>
          <t>6122</t>
        </is>
      </c>
      <c r="B286" s="16" t="inlineStr">
        <is>
          <t>Poultry Producers</t>
        </is>
      </c>
      <c r="C286" s="16" t="inlineStr">
        <is>
          <t>탄소중립 / 산업안전 / ESG</t>
        </is>
      </c>
      <c r="D286" s="15" t="inlineStr">
        <is>
          <t>24010101</t>
        </is>
      </c>
      <c r="E286" s="16" t="inlineStr">
        <is>
          <t>Poultry Producers 관련 국가직무</t>
        </is>
      </c>
      <c r="F286" s="15" t="inlineStr">
        <is>
          <t>61220</t>
        </is>
      </c>
      <c r="G286" s="16" t="inlineStr">
        <is>
          <t>Poultry Producers (한국 표준 직종)</t>
        </is>
      </c>
      <c r="H286" s="15" t="inlineStr">
        <is>
          <t>45-1011.00</t>
        </is>
      </c>
      <c r="I286" s="16" t="inlineStr">
        <is>
          <t>Poultry Producers</t>
        </is>
      </c>
      <c r="J286" s="15" t="inlineStr">
        <is>
          <t>61220</t>
        </is>
      </c>
      <c r="K286" s="16" t="inlineStr">
        <is>
          <t>Poultry Producers (CZ-ISCO)</t>
        </is>
      </c>
      <c r="L286" s="16" t="inlineStr">
        <is>
          <t>Poultry producers plan, organize and perform farming operations to breed and raise chickens, turkeys, geese, ducks and other poultry to produce meat, eggs and breeding stock for sale or delivery to wholesale buyers, marketing organizations or at markets.</t>
        </is>
      </c>
    </row>
    <row r="287">
      <c r="A287" s="17" t="inlineStr">
        <is>
          <t>6123</t>
        </is>
      </c>
      <c r="B287" s="18" t="inlineStr">
        <is>
          <t>Apiarists and Sericulturists</t>
        </is>
      </c>
      <c r="C287" s="18" t="inlineStr">
        <is>
          <t>탄소중립 / 산업안전 / ESG</t>
        </is>
      </c>
      <c r="D287" s="17" t="inlineStr">
        <is>
          <t>24010101</t>
        </is>
      </c>
      <c r="E287" s="18" t="inlineStr">
        <is>
          <t>Apiarists and Sericulturists 관련 국가직무</t>
        </is>
      </c>
      <c r="F287" s="17" t="inlineStr">
        <is>
          <t>61230</t>
        </is>
      </c>
      <c r="G287" s="18" t="inlineStr">
        <is>
          <t>Apiarists and Sericulturists (한국 표준 직종)</t>
        </is>
      </c>
      <c r="H287" s="17" t="inlineStr">
        <is>
          <t>45-1011.00</t>
        </is>
      </c>
      <c r="I287" s="18" t="inlineStr">
        <is>
          <t>Apiarists and Sericulturists</t>
        </is>
      </c>
      <c r="J287" s="17" t="inlineStr">
        <is>
          <t>61230</t>
        </is>
      </c>
      <c r="K287" s="18" t="inlineStr">
        <is>
          <t>Apiarists and Sericulturists (CZ-ISCO)</t>
        </is>
      </c>
      <c r="L287" s="18" t="inlineStr">
        <is>
          <t>Apiarists and sericulturists plan, organize and perform operations to breed, raise and tend insects such as honey bees, silkworms, and other species to produce honey, beeswax, silk and other products for sale or delivery to wholesale buyers, marketing organizations or at markets.</t>
        </is>
      </c>
    </row>
    <row r="288">
      <c r="A288" s="15" t="inlineStr">
        <is>
          <t>6129</t>
        </is>
      </c>
      <c r="B288" s="16" t="inlineStr">
        <is>
          <t>Animal Producers Not Elsewhere Classified</t>
        </is>
      </c>
      <c r="C288" s="16" t="inlineStr">
        <is>
          <t>탄소중립 / 산업안전 / ESG</t>
        </is>
      </c>
      <c r="D288" s="15" t="inlineStr">
        <is>
          <t>24010101</t>
        </is>
      </c>
      <c r="E288" s="16" t="inlineStr">
        <is>
          <t>Animal Producers Not Elsewhere Classified 관련 국가직무</t>
        </is>
      </c>
      <c r="F288" s="15" t="inlineStr">
        <is>
          <t>61290</t>
        </is>
      </c>
      <c r="G288" s="16" t="inlineStr">
        <is>
          <t>Animal Producers Not Elsewhere Classified (한국 표준 직종)</t>
        </is>
      </c>
      <c r="H288" s="15" t="inlineStr">
        <is>
          <t>45-1011.00</t>
        </is>
      </c>
      <c r="I288" s="16" t="inlineStr">
        <is>
          <t>Animal Producers Not Elsewhere Classified</t>
        </is>
      </c>
      <c r="J288" s="15" t="inlineStr">
        <is>
          <t>61290</t>
        </is>
      </c>
      <c r="K288" s="16" t="inlineStr">
        <is>
          <t>Animal Producers Not Elsewhere Classified (CZ-ISCO)</t>
        </is>
      </c>
      <c r="L288" s="16" t="inlineStr">
        <is>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t>
        </is>
      </c>
    </row>
    <row r="289">
      <c r="A289" s="17" t="inlineStr">
        <is>
          <t>6130</t>
        </is>
      </c>
      <c r="B289" s="18" t="inlineStr">
        <is>
          <t>Mixed Crop and Animal Producers</t>
        </is>
      </c>
      <c r="C289" s="18" t="inlineStr">
        <is>
          <t>탄소중립 / 산업안전 / ESG</t>
        </is>
      </c>
      <c r="D289" s="17" t="inlineStr">
        <is>
          <t>24010101</t>
        </is>
      </c>
      <c r="E289" s="18" t="inlineStr">
        <is>
          <t>Mixed Crop and Animal Producers 관련 국가직무</t>
        </is>
      </c>
      <c r="F289" s="17" t="inlineStr">
        <is>
          <t>61300</t>
        </is>
      </c>
      <c r="G289" s="18" t="inlineStr">
        <is>
          <t>Mixed Crop and Animal Producers (한국 표준 직종)</t>
        </is>
      </c>
      <c r="H289" s="17" t="inlineStr">
        <is>
          <t>45-1011.00</t>
        </is>
      </c>
      <c r="I289" s="18" t="inlineStr">
        <is>
          <t>Mixed Crop and Animal Producers</t>
        </is>
      </c>
      <c r="J289" s="17" t="inlineStr">
        <is>
          <t>61300</t>
        </is>
      </c>
      <c r="K289" s="18" t="inlineStr">
        <is>
          <t>Mixed Crop and Animal Producers (CZ-ISCO)</t>
        </is>
      </c>
      <c r="L289" s="18" t="inlineStr">
        <is>
          <t xml:space="preserve">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t>
        </is>
      </c>
    </row>
    <row r="290">
      <c r="A290" s="15" t="inlineStr">
        <is>
          <t>6210</t>
        </is>
      </c>
      <c r="B290" s="16" t="inlineStr">
        <is>
          <t>Forestry and Related Workers</t>
        </is>
      </c>
      <c r="C290" s="16" t="inlineStr">
        <is>
          <t>탄소중립 / 산업안전 / ESG</t>
        </is>
      </c>
      <c r="D290" s="15" t="inlineStr">
        <is>
          <t>02620101</t>
        </is>
      </c>
      <c r="E290" s="16" t="inlineStr">
        <is>
          <t>Forestry and Related Workers 관련 국가직무</t>
        </is>
      </c>
      <c r="F290" s="15" t="inlineStr">
        <is>
          <t>62100</t>
        </is>
      </c>
      <c r="G290" s="16" t="inlineStr">
        <is>
          <t>Forestry and Related Workers (한국 표준 직종)</t>
        </is>
      </c>
      <c r="H290" s="15" t="inlineStr">
        <is>
          <t>15-6211.00</t>
        </is>
      </c>
      <c r="I290" s="16" t="inlineStr">
        <is>
          <t>Forestry and Related Workers</t>
        </is>
      </c>
      <c r="J290" s="15" t="inlineStr">
        <is>
          <t>62100</t>
        </is>
      </c>
      <c r="K290" s="16" t="inlineStr">
        <is>
          <t>Forestry and Related Workers (CZ-ISCO)</t>
        </is>
      </c>
      <c r="L290" s="16" t="inlineStr">
        <is>
          <t>Forestry and related workers plan, organize and perform operations to cultivate, conserve and exploit natural and plantation forests.</t>
        </is>
      </c>
    </row>
    <row r="291">
      <c r="A291" s="17" t="inlineStr">
        <is>
          <t>6221</t>
        </is>
      </c>
      <c r="B291" s="18" t="inlineStr">
        <is>
          <t>Aquaculture Workers</t>
        </is>
      </c>
      <c r="C291" s="18" t="inlineStr">
        <is>
          <t>탄소중립 / 산업안전 / ESG</t>
        </is>
      </c>
      <c r="D291" s="17" t="inlineStr">
        <is>
          <t>02620101</t>
        </is>
      </c>
      <c r="E291" s="18" t="inlineStr">
        <is>
          <t>Aquaculture Workers 관련 국가직무</t>
        </is>
      </c>
      <c r="F291" s="17" t="inlineStr">
        <is>
          <t>62210</t>
        </is>
      </c>
      <c r="G291" s="18" t="inlineStr">
        <is>
          <t>Aquaculture Workers (한국 표준 직종)</t>
        </is>
      </c>
      <c r="H291" s="17" t="inlineStr">
        <is>
          <t>15-6211.00</t>
        </is>
      </c>
      <c r="I291" s="18" t="inlineStr">
        <is>
          <t>Aquaculture Workers</t>
        </is>
      </c>
      <c r="J291" s="17" t="inlineStr">
        <is>
          <t>62210</t>
        </is>
      </c>
      <c r="K291" s="18" t="inlineStr">
        <is>
          <t>Aquaculture Workers (CZ-ISCO)</t>
        </is>
      </c>
      <c r="L291" s="18" t="inlineStr">
        <is>
          <t>Aquaculture workers breed and raise fish and cultivate mussels, oysters and other forms of aquatic life, for sale or delivery on a regular basis to wholesale buyers, marketing organizations or at markets.</t>
        </is>
      </c>
    </row>
    <row r="292">
      <c r="A292" s="15" t="inlineStr">
        <is>
          <t>6222</t>
        </is>
      </c>
      <c r="B292" s="16" t="inlineStr">
        <is>
          <t>Inland and Coastal Waters Fishery Workers</t>
        </is>
      </c>
      <c r="C292" s="16" t="inlineStr">
        <is>
          <t>탄소중립 / 산업안전 / ESG</t>
        </is>
      </c>
      <c r="D292" s="15" t="inlineStr">
        <is>
          <t>02620101</t>
        </is>
      </c>
      <c r="E292" s="16" t="inlineStr">
        <is>
          <t>Inland and Coastal Waters Fishery Workers 관련 국가직무</t>
        </is>
      </c>
      <c r="F292" s="15" t="inlineStr">
        <is>
          <t>62220</t>
        </is>
      </c>
      <c r="G292" s="16" t="inlineStr">
        <is>
          <t>Inland and Coastal Waters Fishery Workers (한국 표준 직종)</t>
        </is>
      </c>
      <c r="H292" s="15" t="inlineStr">
        <is>
          <t>15-6211.00</t>
        </is>
      </c>
      <c r="I292" s="16" t="inlineStr">
        <is>
          <t>Inland and Coastal Waters Fishery Workers</t>
        </is>
      </c>
      <c r="J292" s="15" t="inlineStr">
        <is>
          <t>62220</t>
        </is>
      </c>
      <c r="K292" s="16" t="inlineStr">
        <is>
          <t>Inland and Coastal Waters Fishery Workers (CZ-ISCO)</t>
        </is>
      </c>
      <c r="L292" s="16" t="inlineStr">
        <is>
          <t>Inland and coastal waters fishery workers, alone or as members of fishing-vessel crews, catch fish or gather other forms of aquatic life in inland or coastal waters for sale or delivery on a regular basis to wholesale buyers, marketing organizations or at markets.</t>
        </is>
      </c>
    </row>
    <row r="293">
      <c r="A293" s="17" t="inlineStr">
        <is>
          <t>6223</t>
        </is>
      </c>
      <c r="B293" s="18" t="inlineStr">
        <is>
          <t>Deep-sea Fishery Workers</t>
        </is>
      </c>
      <c r="C293" s="18" t="inlineStr">
        <is>
          <t>탄소중립 / 산업안전 / ESG</t>
        </is>
      </c>
      <c r="D293" s="17" t="inlineStr">
        <is>
          <t>02620101</t>
        </is>
      </c>
      <c r="E293" s="18" t="inlineStr">
        <is>
          <t>Deep-sea Fishery Workers 관련 국가직무</t>
        </is>
      </c>
      <c r="F293" s="17" t="inlineStr">
        <is>
          <t>62230</t>
        </is>
      </c>
      <c r="G293" s="18" t="inlineStr">
        <is>
          <t>Deep-sea Fishery Workers (한국 표준 직종)</t>
        </is>
      </c>
      <c r="H293" s="17" t="inlineStr">
        <is>
          <t>15-6211.00</t>
        </is>
      </c>
      <c r="I293" s="18" t="inlineStr">
        <is>
          <t>Deep-sea Fishery Workers</t>
        </is>
      </c>
      <c r="J293" s="17" t="inlineStr">
        <is>
          <t>62230</t>
        </is>
      </c>
      <c r="K293" s="18" t="inlineStr">
        <is>
          <t>Deep-sea Fishery Workers (CZ-ISCO)</t>
        </is>
      </c>
      <c r="L293" s="18" t="inlineStr">
        <is>
          <t>Deep-sea fishery workers, as skippers or members of fishing vessel crews, catch deep-sea fish for sale or delivery to wholesale buyers, marketing organizations or at markets.</t>
        </is>
      </c>
    </row>
    <row r="294">
      <c r="A294" s="15" t="inlineStr">
        <is>
          <t>6224</t>
        </is>
      </c>
      <c r="B294" s="16" t="inlineStr">
        <is>
          <t>Hunters and Trappers</t>
        </is>
      </c>
      <c r="C294" s="16" t="inlineStr">
        <is>
          <t>탄소중립 / 산업안전 / ESG</t>
        </is>
      </c>
      <c r="D294" s="15" t="inlineStr">
        <is>
          <t>02620101</t>
        </is>
      </c>
      <c r="E294" s="16" t="inlineStr">
        <is>
          <t>Hunters and Trappers 관련 국가직무</t>
        </is>
      </c>
      <c r="F294" s="15" t="inlineStr">
        <is>
          <t>62240</t>
        </is>
      </c>
      <c r="G294" s="16" t="inlineStr">
        <is>
          <t>Hunters and Trappers (한국 표준 직종)</t>
        </is>
      </c>
      <c r="H294" s="15" t="inlineStr">
        <is>
          <t>15-6211.00</t>
        </is>
      </c>
      <c r="I294" s="16" t="inlineStr">
        <is>
          <t>Hunters and Trappers</t>
        </is>
      </c>
      <c r="J294" s="15" t="inlineStr">
        <is>
          <t>62240</t>
        </is>
      </c>
      <c r="K294" s="16" t="inlineStr">
        <is>
          <t>Hunters and Trappers (CZ-ISCO)</t>
        </is>
      </c>
      <c r="L294" s="16" t="inlineStr">
        <is>
          <t>Hunters and trappers catch and kill mammals, birds or reptiles mainly for meat, skin, feathers and other products for sale or delivery on a regular basis to wholesale buyers, marketing organizations or at markets.</t>
        </is>
      </c>
    </row>
    <row r="295">
      <c r="A295" s="17" t="inlineStr">
        <is>
          <t>6310</t>
        </is>
      </c>
      <c r="B295" s="18" t="inlineStr">
        <is>
          <t>Subsistence Crop Farmers</t>
        </is>
      </c>
      <c r="C295" s="18" t="inlineStr">
        <is>
          <t>탄소중립 / 산업안전 / ESG</t>
        </is>
      </c>
      <c r="D295" s="17" t="inlineStr">
        <is>
          <t>02630101</t>
        </is>
      </c>
      <c r="E295" s="18" t="inlineStr">
        <is>
          <t>Subsistence Crop Farmers 관련 국가직무</t>
        </is>
      </c>
      <c r="F295" s="17" t="inlineStr">
        <is>
          <t>63100</t>
        </is>
      </c>
      <c r="G295" s="18" t="inlineStr">
        <is>
          <t>Subsistence Crop Farmers (한국 표준 직종)</t>
        </is>
      </c>
      <c r="H295" s="17" t="inlineStr">
        <is>
          <t>15-6311.00</t>
        </is>
      </c>
      <c r="I295" s="18" t="inlineStr">
        <is>
          <t>Subsistence Crop Farmers</t>
        </is>
      </c>
      <c r="J295" s="17" t="inlineStr">
        <is>
          <t>63100</t>
        </is>
      </c>
      <c r="K295" s="18" t="inlineStr">
        <is>
          <t>Subsistence Crop Farmers (CZ-ISCO)</t>
        </is>
      </c>
      <c r="L295" s="18" t="inlineStr">
        <is>
          <t>Subsistence crop farmers grow and harvest field or tree and shrub crops, vegetables and fruit, in order to provide food, shelter and, in some cases, a minimum of cash income for themselves and their households.</t>
        </is>
      </c>
    </row>
    <row r="296">
      <c r="A296" s="15" t="inlineStr">
        <is>
          <t>6320</t>
        </is>
      </c>
      <c r="B296" s="16" t="inlineStr">
        <is>
          <t>Subsistence Livestock Farmers</t>
        </is>
      </c>
      <c r="C296" s="16" t="inlineStr">
        <is>
          <t>탄소중립 / 산업안전 / ESG</t>
        </is>
      </c>
      <c r="D296" s="15" t="inlineStr">
        <is>
          <t>02630101</t>
        </is>
      </c>
      <c r="E296" s="16" t="inlineStr">
        <is>
          <t>Subsistence Livestock Farmers 관련 국가직무</t>
        </is>
      </c>
      <c r="F296" s="15" t="inlineStr">
        <is>
          <t>63200</t>
        </is>
      </c>
      <c r="G296" s="16" t="inlineStr">
        <is>
          <t>Subsistence Livestock Farmers (한국 표준 직종)</t>
        </is>
      </c>
      <c r="H296" s="15" t="inlineStr">
        <is>
          <t>15-6311.00</t>
        </is>
      </c>
      <c r="I296" s="16" t="inlineStr">
        <is>
          <t>Subsistence Livestock Farmers</t>
        </is>
      </c>
      <c r="J296" s="15" t="inlineStr">
        <is>
          <t>63200</t>
        </is>
      </c>
      <c r="K296" s="16" t="inlineStr">
        <is>
          <t>Subsistence Livestock Farmers (CZ-ISCO)</t>
        </is>
      </c>
      <c r="L296" s="16" t="inlineStr">
        <is>
          <t>Subsistence livestock farmers breed, raise and tend livestock in order to provide food, shelter and, in some cases, a minimum of cash income for themselves and their households.</t>
        </is>
      </c>
    </row>
    <row r="297">
      <c r="A297" s="17" t="inlineStr">
        <is>
          <t>6330</t>
        </is>
      </c>
      <c r="B297" s="18" t="inlineStr">
        <is>
          <t>Subsistence Mixed Crop and Livestock Farmers</t>
        </is>
      </c>
      <c r="C297" s="18" t="inlineStr">
        <is>
          <t>탄소중립 / 산업안전 / ESG</t>
        </is>
      </c>
      <c r="D297" s="17" t="inlineStr">
        <is>
          <t>02630101</t>
        </is>
      </c>
      <c r="E297" s="18" t="inlineStr">
        <is>
          <t>Subsistence Mixed Crop and Livestock Farmers 관련 국가직무</t>
        </is>
      </c>
      <c r="F297" s="17" t="inlineStr">
        <is>
          <t>63300</t>
        </is>
      </c>
      <c r="G297" s="18" t="inlineStr">
        <is>
          <t>Subsistence Mixed Crop and Livestock Farmers (한국 표준 직종)</t>
        </is>
      </c>
      <c r="H297" s="17" t="inlineStr">
        <is>
          <t>15-6311.00</t>
        </is>
      </c>
      <c r="I297" s="18" t="inlineStr">
        <is>
          <t>Subsistence Mixed Crop and Livestock Farmers</t>
        </is>
      </c>
      <c r="J297" s="17" t="inlineStr">
        <is>
          <t>63300</t>
        </is>
      </c>
      <c r="K297" s="18" t="inlineStr">
        <is>
          <t>Subsistence Mixed Crop and Livestock Farmers (CZ-ISCO)</t>
        </is>
      </c>
      <c r="L297" s="18" t="inlineStr">
        <is>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t>
        </is>
      </c>
    </row>
    <row r="298">
      <c r="A298" s="15" t="inlineStr">
        <is>
          <t>6340</t>
        </is>
      </c>
      <c r="B298" s="16" t="inlineStr">
        <is>
          <t>Subsistence Fishers, Hunters, Trappers and Gatherers</t>
        </is>
      </c>
      <c r="C298" s="16" t="inlineStr">
        <is>
          <t>탄소중립 / 산업안전 / ESG</t>
        </is>
      </c>
      <c r="D298" s="15" t="inlineStr">
        <is>
          <t>02630101</t>
        </is>
      </c>
      <c r="E298" s="16" t="inlineStr">
        <is>
          <t>Subsistence Fishers, Hunters, Trappers and Gatherers 관련 국가직무</t>
        </is>
      </c>
      <c r="F298" s="15" t="inlineStr">
        <is>
          <t>63400</t>
        </is>
      </c>
      <c r="G298" s="16" t="inlineStr">
        <is>
          <t>Subsistence Fishers, Hunters, Trappers and Gatherers (한국 표준 직종)</t>
        </is>
      </c>
      <c r="H298" s="15" t="inlineStr">
        <is>
          <t>15-6311.00</t>
        </is>
      </c>
      <c r="I298" s="16" t="inlineStr">
        <is>
          <t>Subsistence Fishers, Hunters, Trappers and Gatherers</t>
        </is>
      </c>
      <c r="J298" s="15" t="inlineStr">
        <is>
          <t>63400</t>
        </is>
      </c>
      <c r="K298" s="16" t="inlineStr">
        <is>
          <t>Subsistence Fishers, Hunters, Trappers and Gatherers (CZ-ISCO)</t>
        </is>
      </c>
      <c r="L298" s="16" t="inlineStr">
        <is>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is>
      </c>
    </row>
    <row r="299">
      <c r="A299" s="17" t="inlineStr">
        <is>
          <t>7111</t>
        </is>
      </c>
      <c r="B299" s="18" t="inlineStr">
        <is>
          <t>House Builders</t>
        </is>
      </c>
      <c r="C299" s="18" t="inlineStr">
        <is>
          <t>스마트건축 / 토목 / 인프라</t>
        </is>
      </c>
      <c r="D299" s="17" t="inlineStr">
        <is>
          <t>14010101</t>
        </is>
      </c>
      <c r="E299" s="18" t="inlineStr">
        <is>
          <t>House Builders 관련 국가직무</t>
        </is>
      </c>
      <c r="F299" s="17" t="inlineStr">
        <is>
          <t>71110</t>
        </is>
      </c>
      <c r="G299" s="18" t="inlineStr">
        <is>
          <t>House Builders (한국 표준 직종)</t>
        </is>
      </c>
      <c r="H299" s="17" t="inlineStr">
        <is>
          <t>47-2031.00</t>
        </is>
      </c>
      <c r="I299" s="18" t="inlineStr">
        <is>
          <t>House Builders</t>
        </is>
      </c>
      <c r="J299" s="17" t="inlineStr">
        <is>
          <t>71110</t>
        </is>
      </c>
      <c r="K299" s="18" t="inlineStr">
        <is>
          <t>House Builders (CZ-ISCO)</t>
        </is>
      </c>
      <c r="L299" s="18" t="inlineStr">
        <is>
          <t>House builders erect, maintain and repair houses and similar small buildings using either traditional or modern techniques and materials.</t>
        </is>
      </c>
    </row>
    <row r="300">
      <c r="A300" s="15" t="inlineStr">
        <is>
          <t>7112</t>
        </is>
      </c>
      <c r="B300" s="16" t="inlineStr">
        <is>
          <t>Bricklayers and Related Workers</t>
        </is>
      </c>
      <c r="C300" s="16" t="inlineStr">
        <is>
          <t>스마트건축 / 토목 / 인프라</t>
        </is>
      </c>
      <c r="D300" s="15" t="inlineStr">
        <is>
          <t>14010101</t>
        </is>
      </c>
      <c r="E300" s="16" t="inlineStr">
        <is>
          <t>Bricklayers and Related Workers 관련 국가직무</t>
        </is>
      </c>
      <c r="F300" s="15" t="inlineStr">
        <is>
          <t>71120</t>
        </is>
      </c>
      <c r="G300" s="16" t="inlineStr">
        <is>
          <t>Bricklayers and Related Workers (한국 표준 직종)</t>
        </is>
      </c>
      <c r="H300" s="15" t="inlineStr">
        <is>
          <t>47-2031.00</t>
        </is>
      </c>
      <c r="I300" s="16" t="inlineStr">
        <is>
          <t>Bricklayers and Related Workers</t>
        </is>
      </c>
      <c r="J300" s="15" t="inlineStr">
        <is>
          <t>71120</t>
        </is>
      </c>
      <c r="K300" s="16" t="inlineStr">
        <is>
          <t>Bricklayers and Related Workers (CZ-ISCO)</t>
        </is>
      </c>
      <c r="L300" s="16" t="inlineStr">
        <is>
          <t>Bricklayers and related workers lay bricks, pre-cut stones and other types of building blocks in mortar to construct and repair walls, partitions, arches and other structures.</t>
        </is>
      </c>
    </row>
    <row r="301">
      <c r="A301" s="17" t="inlineStr">
        <is>
          <t>7113</t>
        </is>
      </c>
      <c r="B301" s="18" t="inlineStr">
        <is>
          <t>Stonemasons, Stone Cutters, Splitters and Carvers</t>
        </is>
      </c>
      <c r="C301" s="18" t="inlineStr">
        <is>
          <t>스마트건축 / 토목 / 인프라</t>
        </is>
      </c>
      <c r="D301" s="17" t="inlineStr">
        <is>
          <t>14010101</t>
        </is>
      </c>
      <c r="E301" s="18" t="inlineStr">
        <is>
          <t>Stonemasons, Stone Cutters, Splitters and Carvers 관련 국가직무</t>
        </is>
      </c>
      <c r="F301" s="17" t="inlineStr">
        <is>
          <t>71130</t>
        </is>
      </c>
      <c r="G301" s="18" t="inlineStr">
        <is>
          <t>Stonemasons, Stone Cutters, Splitters and Carvers (한국 표준 직종)</t>
        </is>
      </c>
      <c r="H301" s="17" t="inlineStr">
        <is>
          <t>47-2031.00</t>
        </is>
      </c>
      <c r="I301" s="18" t="inlineStr">
        <is>
          <t>Stonemasons, Stone Cutters, Splitters and Carvers</t>
        </is>
      </c>
      <c r="J301" s="17" t="inlineStr">
        <is>
          <t>71130</t>
        </is>
      </c>
      <c r="K301" s="18" t="inlineStr">
        <is>
          <t>Stonemasons, Stone Cutters, Splitters and Carvers (CZ-ISCO)</t>
        </is>
      </c>
      <c r="L301" s="18" t="inlineStr">
        <is>
          <t>Stonemasons, stone cutters, splitters and carvers cut and shape hard and soft stone blocks and slabs for the construction and maintenance of stone structures and monumental masonry, and carve designs and figures in stone.</t>
        </is>
      </c>
    </row>
    <row r="302">
      <c r="A302" s="15" t="inlineStr">
        <is>
          <t>7114</t>
        </is>
      </c>
      <c r="B302" s="16" t="inlineStr">
        <is>
          <t>Concrete Placers, Concrete Finishers and Related Workers</t>
        </is>
      </c>
      <c r="C302" s="16" t="inlineStr">
        <is>
          <t>스마트건축 / 토목 / 인프라</t>
        </is>
      </c>
      <c r="D302" s="15" t="inlineStr">
        <is>
          <t>14010101</t>
        </is>
      </c>
      <c r="E302" s="16" t="inlineStr">
        <is>
          <t>Concrete Placers, Concrete Finishers and Related Workers 관련 국가직무</t>
        </is>
      </c>
      <c r="F302" s="15" t="inlineStr">
        <is>
          <t>71140</t>
        </is>
      </c>
      <c r="G302" s="16" t="inlineStr">
        <is>
          <t>Concrete Placers, Concrete Finishers and Related Workers (한국 표준 직종)</t>
        </is>
      </c>
      <c r="H302" s="15" t="inlineStr">
        <is>
          <t>47-2031.00</t>
        </is>
      </c>
      <c r="I302" s="16" t="inlineStr">
        <is>
          <t>Concrete Placers, Concrete Finishers and Related Workers</t>
        </is>
      </c>
      <c r="J302" s="15" t="inlineStr">
        <is>
          <t>71140</t>
        </is>
      </c>
      <c r="K302" s="16" t="inlineStr">
        <is>
          <t>Concrete Placers, Concrete Finishers and Related Workers (CZ-ISCO)</t>
        </is>
      </c>
      <c r="L302" s="16"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c>
    </row>
    <row r="303">
      <c r="A303" s="17" t="inlineStr">
        <is>
          <t>7115</t>
        </is>
      </c>
      <c r="B303" s="18" t="inlineStr">
        <is>
          <t>Carpenters and Joiners</t>
        </is>
      </c>
      <c r="C303" s="18" t="inlineStr">
        <is>
          <t>스마트건축 / 토목 / 인프라</t>
        </is>
      </c>
      <c r="D303" s="17" t="inlineStr">
        <is>
          <t>14010101</t>
        </is>
      </c>
      <c r="E303" s="18" t="inlineStr">
        <is>
          <t>Carpenters and Joiners 관련 국가직무</t>
        </is>
      </c>
      <c r="F303" s="17" t="inlineStr">
        <is>
          <t>71150</t>
        </is>
      </c>
      <c r="G303" s="18" t="inlineStr">
        <is>
          <t>Carpenters and Joiners (한국 표준 직종)</t>
        </is>
      </c>
      <c r="H303" s="17" t="inlineStr">
        <is>
          <t>47-2031.00</t>
        </is>
      </c>
      <c r="I303" s="18" t="inlineStr">
        <is>
          <t>Carpenters and Joiners</t>
        </is>
      </c>
      <c r="J303" s="17" t="inlineStr">
        <is>
          <t>71150</t>
        </is>
      </c>
      <c r="K303" s="18" t="inlineStr">
        <is>
          <t>Carpenters and Joiners (CZ-ISCO)</t>
        </is>
      </c>
      <c r="L303" s="18" t="inlineStr">
        <is>
          <t>Carpenters and joiners cut, shape, assemble, erect, maintain and repair various types of structures and fittings made from wood and other materials.</t>
        </is>
      </c>
    </row>
    <row r="304">
      <c r="A304" s="15" t="inlineStr">
        <is>
          <t>7119</t>
        </is>
      </c>
      <c r="B304" s="16" t="inlineStr">
        <is>
          <t>Building Frame and Related Trades Workers Not Elsewhere Classified</t>
        </is>
      </c>
      <c r="C304" s="16" t="inlineStr">
        <is>
          <t>스마트건축 / 토목 / 인프라</t>
        </is>
      </c>
      <c r="D304" s="15" t="inlineStr">
        <is>
          <t>14010101</t>
        </is>
      </c>
      <c r="E304" s="16" t="inlineStr">
        <is>
          <t>Building Frame and Related Trades Workers Not Elsewhere Classified 관련 국가직무</t>
        </is>
      </c>
      <c r="F304" s="15" t="inlineStr">
        <is>
          <t>71190</t>
        </is>
      </c>
      <c r="G304" s="16" t="inlineStr">
        <is>
          <t>Building Frame and Related Trades Workers Not Elsewhere Classified (한국 표준 직종)</t>
        </is>
      </c>
      <c r="H304" s="15" t="inlineStr">
        <is>
          <t>47-2031.00</t>
        </is>
      </c>
      <c r="I304" s="16" t="inlineStr">
        <is>
          <t>Building Frame and Related Trades Workers Not Elsewhere Classified</t>
        </is>
      </c>
      <c r="J304" s="15" t="inlineStr">
        <is>
          <t>71190</t>
        </is>
      </c>
      <c r="K304" s="16" t="inlineStr">
        <is>
          <t>Building Frame and Related Trades Workers Not Elsewhere Classified (CZ-ISCO)</t>
        </is>
      </c>
      <c r="L304" s="16" t="inlineStr">
        <is>
          <t>This unit group covers building frame and related trades workers not classified elsewhere in Minor Group 711: Building Frame and Related Trades Workers. For instance, the unit group includes steeplejacks, scaffolders and demolition workers.</t>
        </is>
      </c>
    </row>
    <row r="305">
      <c r="A305" s="17" t="inlineStr">
        <is>
          <t>7121</t>
        </is>
      </c>
      <c r="B305" s="18" t="inlineStr">
        <is>
          <t>Roofers</t>
        </is>
      </c>
      <c r="C305" s="18" t="inlineStr">
        <is>
          <t>스마트건축 / 토목 / 인프라</t>
        </is>
      </c>
      <c r="D305" s="17" t="inlineStr">
        <is>
          <t>14010101</t>
        </is>
      </c>
      <c r="E305" s="18" t="inlineStr">
        <is>
          <t>Roofers 관련 국가직무</t>
        </is>
      </c>
      <c r="F305" s="17" t="inlineStr">
        <is>
          <t>71210</t>
        </is>
      </c>
      <c r="G305" s="18" t="inlineStr">
        <is>
          <t>Roofers (한국 표준 직종)</t>
        </is>
      </c>
      <c r="H305" s="17" t="inlineStr">
        <is>
          <t>47-2031.00</t>
        </is>
      </c>
      <c r="I305" s="18" t="inlineStr">
        <is>
          <t>Roofers</t>
        </is>
      </c>
      <c r="J305" s="17" t="inlineStr">
        <is>
          <t>71210</t>
        </is>
      </c>
      <c r="K305" s="18" t="inlineStr">
        <is>
          <t>Roofers (CZ-ISCO)</t>
        </is>
      </c>
      <c r="L305" s="18" t="inlineStr">
        <is>
          <t>Roofers build and repair roofs on all types of buildings using one or more kinds of material.</t>
        </is>
      </c>
    </row>
    <row r="306">
      <c r="A306" s="15" t="inlineStr">
        <is>
          <t>7122</t>
        </is>
      </c>
      <c r="B306" s="16" t="inlineStr">
        <is>
          <t>Floor Layers and Tile Setters</t>
        </is>
      </c>
      <c r="C306" s="16" t="inlineStr">
        <is>
          <t>스마트건축 / 토목 / 인프라</t>
        </is>
      </c>
      <c r="D306" s="15" t="inlineStr">
        <is>
          <t>14010101</t>
        </is>
      </c>
      <c r="E306" s="16" t="inlineStr">
        <is>
          <t>Floor Layers and Tile Setters 관련 국가직무</t>
        </is>
      </c>
      <c r="F306" s="15" t="inlineStr">
        <is>
          <t>71220</t>
        </is>
      </c>
      <c r="G306" s="16" t="inlineStr">
        <is>
          <t>Floor Layers and Tile Setters (한국 표준 직종)</t>
        </is>
      </c>
      <c r="H306" s="15" t="inlineStr">
        <is>
          <t>47-2031.00</t>
        </is>
      </c>
      <c r="I306" s="16" t="inlineStr">
        <is>
          <t>Floor Layers and Tile Setters</t>
        </is>
      </c>
      <c r="J306" s="15" t="inlineStr">
        <is>
          <t>71220</t>
        </is>
      </c>
      <c r="K306" s="16" t="inlineStr">
        <is>
          <t>Floor Layers and Tile Setters (CZ-ISCO)</t>
        </is>
      </c>
      <c r="L306" s="16" t="inlineStr">
        <is>
          <t>Floor layers and tile setters install, maintain and repair flooring, and cover floors, walls and other surfaces with carpets, tiles or mosaic panels for decorative or other purposes.</t>
        </is>
      </c>
    </row>
    <row r="307">
      <c r="A307" s="17" t="inlineStr">
        <is>
          <t>7123</t>
        </is>
      </c>
      <c r="B307" s="18" t="inlineStr">
        <is>
          <t>Plasterers</t>
        </is>
      </c>
      <c r="C307" s="18" t="inlineStr">
        <is>
          <t>스마트건축 / 토목 / 인프라</t>
        </is>
      </c>
      <c r="D307" s="17" t="inlineStr">
        <is>
          <t>14010101</t>
        </is>
      </c>
      <c r="E307" s="18" t="inlineStr">
        <is>
          <t>Plasterers 관련 국가직무</t>
        </is>
      </c>
      <c r="F307" s="17" t="inlineStr">
        <is>
          <t>71230</t>
        </is>
      </c>
      <c r="G307" s="18" t="inlineStr">
        <is>
          <t>Plasterers (한국 표준 직종)</t>
        </is>
      </c>
      <c r="H307" s="17" t="inlineStr">
        <is>
          <t>47-2031.00</t>
        </is>
      </c>
      <c r="I307" s="18" t="inlineStr">
        <is>
          <t>Plasterers</t>
        </is>
      </c>
      <c r="J307" s="17" t="inlineStr">
        <is>
          <t>71230</t>
        </is>
      </c>
      <c r="K307" s="18" t="inlineStr">
        <is>
          <t>Plasterers (CZ-ISCO)</t>
        </is>
      </c>
      <c r="L307" s="18" t="inlineStr">
        <is>
          <t>Plasterers install, maintain and repair plasterboard in buildings, and apply decorative and protective coverings of plaster, cement and similar material to the interiors and exteriors of structures.</t>
        </is>
      </c>
    </row>
    <row r="308">
      <c r="A308" s="15" t="inlineStr">
        <is>
          <t>7124</t>
        </is>
      </c>
      <c r="B308" s="16" t="inlineStr">
        <is>
          <t>Insulation Workers</t>
        </is>
      </c>
      <c r="C308" s="16" t="inlineStr">
        <is>
          <t>스마트건축 / 토목 / 인프라</t>
        </is>
      </c>
      <c r="D308" s="15" t="inlineStr">
        <is>
          <t>14010101</t>
        </is>
      </c>
      <c r="E308" s="16" t="inlineStr">
        <is>
          <t>Insulation Workers 관련 국가직무</t>
        </is>
      </c>
      <c r="F308" s="15" t="inlineStr">
        <is>
          <t>71240</t>
        </is>
      </c>
      <c r="G308" s="16" t="inlineStr">
        <is>
          <t>Insulation Workers (한국 표준 직종)</t>
        </is>
      </c>
      <c r="H308" s="15" t="inlineStr">
        <is>
          <t>47-2031.00</t>
        </is>
      </c>
      <c r="I308" s="16" t="inlineStr">
        <is>
          <t>Insulation Workers</t>
        </is>
      </c>
      <c r="J308" s="15" t="inlineStr">
        <is>
          <t>71240</t>
        </is>
      </c>
      <c r="K308" s="16" t="inlineStr">
        <is>
          <t>Insulation Workers (CZ-ISCO)</t>
        </is>
      </c>
      <c r="L308" s="16" t="inlineStr">
        <is>
          <t>Insulation workers apply and repair insulating materials to buildings, boilers, pipes or refrigeration and air-conditioning equipment.</t>
        </is>
      </c>
    </row>
    <row r="309">
      <c r="A309" s="17" t="inlineStr">
        <is>
          <t>7125</t>
        </is>
      </c>
      <c r="B309" s="18" t="inlineStr">
        <is>
          <t>Glaziers</t>
        </is>
      </c>
      <c r="C309" s="18" t="inlineStr">
        <is>
          <t>스마트건축 / 토목 / 인프라</t>
        </is>
      </c>
      <c r="D309" s="17" t="inlineStr">
        <is>
          <t>14010101</t>
        </is>
      </c>
      <c r="E309" s="18" t="inlineStr">
        <is>
          <t>Glaziers 관련 국가직무</t>
        </is>
      </c>
      <c r="F309" s="17" t="inlineStr">
        <is>
          <t>71250</t>
        </is>
      </c>
      <c r="G309" s="18" t="inlineStr">
        <is>
          <t>Glaziers (한국 표준 직종)</t>
        </is>
      </c>
      <c r="H309" s="17" t="inlineStr">
        <is>
          <t>47-2031.00</t>
        </is>
      </c>
      <c r="I309" s="18" t="inlineStr">
        <is>
          <t>Glaziers</t>
        </is>
      </c>
      <c r="J309" s="17" t="inlineStr">
        <is>
          <t>71250</t>
        </is>
      </c>
      <c r="K309" s="18" t="inlineStr">
        <is>
          <t>Glaziers (CZ-ISCO)</t>
        </is>
      </c>
      <c r="L309" s="18" t="inlineStr">
        <is>
          <t>Glaziers measure, cut, finish, fit and install flat glass and mirrors.</t>
        </is>
      </c>
    </row>
    <row r="310">
      <c r="A310" s="15" t="inlineStr">
        <is>
          <t>7126</t>
        </is>
      </c>
      <c r="B310" s="16" t="inlineStr">
        <is>
          <t>Plumbers and Pipe Fitters</t>
        </is>
      </c>
      <c r="C310" s="16" t="inlineStr">
        <is>
          <t>스마트건축 / 토목 / 인프라</t>
        </is>
      </c>
      <c r="D310" s="15" t="inlineStr">
        <is>
          <t>14010101</t>
        </is>
      </c>
      <c r="E310" s="16" t="inlineStr">
        <is>
          <t>Plumbers and Pipe Fitters 관련 국가직무</t>
        </is>
      </c>
      <c r="F310" s="15" t="inlineStr">
        <is>
          <t>71260</t>
        </is>
      </c>
      <c r="G310" s="16" t="inlineStr">
        <is>
          <t>Plumbers and Pipe Fitters (한국 표준 직종)</t>
        </is>
      </c>
      <c r="H310" s="15" t="inlineStr">
        <is>
          <t>47-2031.00</t>
        </is>
      </c>
      <c r="I310" s="16" t="inlineStr">
        <is>
          <t>Plumbers and Pipe Fitters</t>
        </is>
      </c>
      <c r="J310" s="15" t="inlineStr">
        <is>
          <t>71260</t>
        </is>
      </c>
      <c r="K310" s="16" t="inlineStr">
        <is>
          <t>Plumbers and Pipe Fitters (CZ-ISCO)</t>
        </is>
      </c>
      <c r="L310" s="16" t="inlineStr">
        <is>
          <t>Plumbers and pipe fitters assemble, install, repair and maintain pipe systems, drains, gutters, ducts and related fittings and fixtures for water, gas, drainage, sewerage, heating cooling and ventilation systems, and for hydraulic and pneumatic equipment.</t>
        </is>
      </c>
    </row>
    <row r="311">
      <c r="A311" s="17" t="inlineStr">
        <is>
          <t>7127</t>
        </is>
      </c>
      <c r="B311" s="18" t="inlineStr">
        <is>
          <t>Air Conditioning and Refrigeration Mechanics</t>
        </is>
      </c>
      <c r="C311" s="18" t="inlineStr">
        <is>
          <t>스마트건축 / 토목 / 인프라</t>
        </is>
      </c>
      <c r="D311" s="17" t="inlineStr">
        <is>
          <t>14010101</t>
        </is>
      </c>
      <c r="E311" s="18" t="inlineStr">
        <is>
          <t>Air Conditioning and Refrigeration Mechanics 관련 국가직무</t>
        </is>
      </c>
      <c r="F311" s="17" t="inlineStr">
        <is>
          <t>71270</t>
        </is>
      </c>
      <c r="G311" s="18" t="inlineStr">
        <is>
          <t>Air Conditioning and Refrigeration Mechanics (한국 표준 직종)</t>
        </is>
      </c>
      <c r="H311" s="17" t="inlineStr">
        <is>
          <t>47-2031.00</t>
        </is>
      </c>
      <c r="I311" s="18" t="inlineStr">
        <is>
          <t>Air Conditioning and Refrigeration Mechanics</t>
        </is>
      </c>
      <c r="J311" s="17" t="inlineStr">
        <is>
          <t>71270</t>
        </is>
      </c>
      <c r="K311" s="18" t="inlineStr">
        <is>
          <t>Air Conditioning and Refrigeration Mechanics (CZ-ISCO)</t>
        </is>
      </c>
      <c r="L311" s="18" t="inlineStr">
        <is>
          <t>Air conditioning and refrigeration mechanics assemble, install, maintain and repair air conditioning and refrigeration systems and equipment.</t>
        </is>
      </c>
    </row>
    <row r="312">
      <c r="A312" s="15" t="inlineStr">
        <is>
          <t>7131</t>
        </is>
      </c>
      <c r="B312" s="16" t="inlineStr">
        <is>
          <t>Painters and Related Workers</t>
        </is>
      </c>
      <c r="C312" s="16" t="inlineStr">
        <is>
          <t>스마트건축 / 토목 / 인프라</t>
        </is>
      </c>
      <c r="D312" s="15" t="inlineStr">
        <is>
          <t>14010101</t>
        </is>
      </c>
      <c r="E312" s="16" t="inlineStr">
        <is>
          <t>Painters and Related Workers 관련 국가직무</t>
        </is>
      </c>
      <c r="F312" s="15" t="inlineStr">
        <is>
          <t>71310</t>
        </is>
      </c>
      <c r="G312" s="16" t="inlineStr">
        <is>
          <t>Painters and Related Workers (한국 표준 직종)</t>
        </is>
      </c>
      <c r="H312" s="15" t="inlineStr">
        <is>
          <t>47-2031.00</t>
        </is>
      </c>
      <c r="I312" s="16" t="inlineStr">
        <is>
          <t>Painters and Related Workers</t>
        </is>
      </c>
      <c r="J312" s="15" t="inlineStr">
        <is>
          <t>71310</t>
        </is>
      </c>
      <c r="K312" s="16" t="inlineStr">
        <is>
          <t>Painters and Related Workers (CZ-ISCO)</t>
        </is>
      </c>
      <c r="L312" s="16" t="inlineStr">
        <is>
          <t>Painters and related workers prepare surfaces of buildings and other structures for painting, apply protective and decorative coats of paint or similar materials, or cover interior walls and ceilings of buildings with wallpaper or other finishes.</t>
        </is>
      </c>
    </row>
    <row r="313">
      <c r="A313" s="17" t="inlineStr">
        <is>
          <t>7132</t>
        </is>
      </c>
      <c r="B313" s="18" t="inlineStr">
        <is>
          <t>Spray Painters and Varnishers</t>
        </is>
      </c>
      <c r="C313" s="18" t="inlineStr">
        <is>
          <t>스마트건축 / 토목 / 인프라</t>
        </is>
      </c>
      <c r="D313" s="17" t="inlineStr">
        <is>
          <t>14010101</t>
        </is>
      </c>
      <c r="E313" s="18" t="inlineStr">
        <is>
          <t>Spray Painters and Varnishers 관련 국가직무</t>
        </is>
      </c>
      <c r="F313" s="17" t="inlineStr">
        <is>
          <t>71320</t>
        </is>
      </c>
      <c r="G313" s="18" t="inlineStr">
        <is>
          <t>Spray Painters and Varnishers (한국 표준 직종)</t>
        </is>
      </c>
      <c r="H313" s="17" t="inlineStr">
        <is>
          <t>47-2031.00</t>
        </is>
      </c>
      <c r="I313" s="18" t="inlineStr">
        <is>
          <t>Spray Painters and Varnishers</t>
        </is>
      </c>
      <c r="J313" s="17" t="inlineStr">
        <is>
          <t>71320</t>
        </is>
      </c>
      <c r="K313" s="18" t="inlineStr">
        <is>
          <t>Spray Painters and Varnishers (CZ-ISCO)</t>
        </is>
      </c>
      <c r="L313" s="18" t="inlineStr">
        <is>
          <t>Spray painters and varnishers operate spray painting and varnishing equipment to apply protective coatings to manufactured items or structures.</t>
        </is>
      </c>
    </row>
    <row r="314">
      <c r="A314" s="15" t="inlineStr">
        <is>
          <t>7133</t>
        </is>
      </c>
      <c r="B314" s="16" t="inlineStr">
        <is>
          <t>Building Structure Cleaners</t>
        </is>
      </c>
      <c r="C314" s="16" t="inlineStr">
        <is>
          <t>스마트건축 / 토목 / 인프라</t>
        </is>
      </c>
      <c r="D314" s="15" t="inlineStr">
        <is>
          <t>14010101</t>
        </is>
      </c>
      <c r="E314" s="16" t="inlineStr">
        <is>
          <t>Building Structure Cleaners 관련 국가직무</t>
        </is>
      </c>
      <c r="F314" s="15" t="inlineStr">
        <is>
          <t>71330</t>
        </is>
      </c>
      <c r="G314" s="16" t="inlineStr">
        <is>
          <t>Building Structure Cleaners (한국 표준 직종)</t>
        </is>
      </c>
      <c r="H314" s="15" t="inlineStr">
        <is>
          <t>47-2031.00</t>
        </is>
      </c>
      <c r="I314" s="16" t="inlineStr">
        <is>
          <t>Building Structure Cleaners</t>
        </is>
      </c>
      <c r="J314" s="15" t="inlineStr">
        <is>
          <t>71330</t>
        </is>
      </c>
      <c r="K314" s="16" t="inlineStr">
        <is>
          <t>Building Structure Cleaners (CZ-ISCO)</t>
        </is>
      </c>
      <c r="L314" s="16" t="inlineStr">
        <is>
          <t>Building structure cleaners clean exterior surfaces of buildings and other structures, and remove soot from chimneys.</t>
        </is>
      </c>
    </row>
    <row r="315">
      <c r="A315" s="17" t="inlineStr">
        <is>
          <t>7211</t>
        </is>
      </c>
      <c r="B315" s="18" t="inlineStr">
        <is>
          <t>Metal Moulders and Coremakers</t>
        </is>
      </c>
      <c r="C315" s="18" t="inlineStr">
        <is>
          <t>모빌리티 / 자율주행 / 로보틱스</t>
        </is>
      </c>
      <c r="D315" s="17" t="inlineStr">
        <is>
          <t>15020101</t>
        </is>
      </c>
      <c r="E315" s="18" t="inlineStr">
        <is>
          <t>Metal Moulders and Coremakers 관련 국가직무</t>
        </is>
      </c>
      <c r="F315" s="17" t="inlineStr">
        <is>
          <t>72110</t>
        </is>
      </c>
      <c r="G315" s="18" t="inlineStr">
        <is>
          <t>Metal Moulders and Coremakers (한국 표준 직종)</t>
        </is>
      </c>
      <c r="H315" s="17" t="inlineStr">
        <is>
          <t>51-4041.00</t>
        </is>
      </c>
      <c r="I315" s="18" t="inlineStr">
        <is>
          <t>Metal Moulders and Coremakers</t>
        </is>
      </c>
      <c r="J315" s="17" t="inlineStr">
        <is>
          <t>72110</t>
        </is>
      </c>
      <c r="K315" s="18" t="inlineStr">
        <is>
          <t>Metal Moulders and Coremakers (CZ-ISCO)</t>
        </is>
      </c>
      <c r="L315" s="18" t="inlineStr">
        <is>
          <t>Metal moulders and coremakers make moulds and cores for casting metal.</t>
        </is>
      </c>
    </row>
    <row r="316">
      <c r="A316" s="15" t="inlineStr">
        <is>
          <t>7212</t>
        </is>
      </c>
      <c r="B316" s="16" t="inlineStr">
        <is>
          <t>Welders and Flame Cutters</t>
        </is>
      </c>
      <c r="C316" s="16" t="inlineStr">
        <is>
          <t>모빌리티 / 자율주행 / 로보틱스</t>
        </is>
      </c>
      <c r="D316" s="15" t="inlineStr">
        <is>
          <t>15020101</t>
        </is>
      </c>
      <c r="E316" s="16" t="inlineStr">
        <is>
          <t>Welders and Flame Cutters 관련 국가직무</t>
        </is>
      </c>
      <c r="F316" s="15" t="inlineStr">
        <is>
          <t>72120</t>
        </is>
      </c>
      <c r="G316" s="16" t="inlineStr">
        <is>
          <t>Welders and Flame Cutters (한국 표준 직종)</t>
        </is>
      </c>
      <c r="H316" s="15" t="inlineStr">
        <is>
          <t>51-4041.00</t>
        </is>
      </c>
      <c r="I316" s="16" t="inlineStr">
        <is>
          <t>Welders and Flame Cutters</t>
        </is>
      </c>
      <c r="J316" s="15" t="inlineStr">
        <is>
          <t>72120</t>
        </is>
      </c>
      <c r="K316" s="16" t="inlineStr">
        <is>
          <t>Welders and Flame Cutters (CZ-ISCO)</t>
        </is>
      </c>
      <c r="L316" s="16" t="inlineStr">
        <is>
          <t>Welders and flame cutters weld and cut metal parts using gas flame, electric arc and other sources of heat to melt and cut, or to melt and fuse metal.</t>
        </is>
      </c>
    </row>
    <row r="317">
      <c r="A317" s="17" t="inlineStr">
        <is>
          <t>7213</t>
        </is>
      </c>
      <c r="B317" s="18" t="inlineStr">
        <is>
          <t>Sheet Metal Workers</t>
        </is>
      </c>
      <c r="C317" s="18" t="inlineStr">
        <is>
          <t>모빌리티 / 자율주행 / 로보틱스</t>
        </is>
      </c>
      <c r="D317" s="17" t="inlineStr">
        <is>
          <t>15020101</t>
        </is>
      </c>
      <c r="E317" s="18" t="inlineStr">
        <is>
          <t>Sheet Metal Workers 관련 국가직무</t>
        </is>
      </c>
      <c r="F317" s="17" t="inlineStr">
        <is>
          <t>72130</t>
        </is>
      </c>
      <c r="G317" s="18" t="inlineStr">
        <is>
          <t>Sheet Metal Workers (한국 표준 직종)</t>
        </is>
      </c>
      <c r="H317" s="17" t="inlineStr">
        <is>
          <t>51-4041.00</t>
        </is>
      </c>
      <c r="I317" s="18" t="inlineStr">
        <is>
          <t>Sheet Metal Workers</t>
        </is>
      </c>
      <c r="J317" s="17" t="inlineStr">
        <is>
          <t>72130</t>
        </is>
      </c>
      <c r="K317" s="18" t="inlineStr">
        <is>
          <t>Sheet Metal Workers (CZ-ISCO)</t>
        </is>
      </c>
      <c r="L317" s="18" t="inlineStr">
        <is>
          <t>Sheet metal workers make, install and repair articles and parts of articles made out of sheet metal such as sheet steel, copper, tin, brass, aluminium, zinc or galvanised iron.</t>
        </is>
      </c>
    </row>
    <row r="318">
      <c r="A318" s="15" t="inlineStr">
        <is>
          <t>7214</t>
        </is>
      </c>
      <c r="B318" s="16" t="inlineStr">
        <is>
          <t>Structural Metal Preparers and Erectors</t>
        </is>
      </c>
      <c r="C318" s="16" t="inlineStr">
        <is>
          <t>모빌리티 / 자율주행 / 로보틱스</t>
        </is>
      </c>
      <c r="D318" s="15" t="inlineStr">
        <is>
          <t>15020101</t>
        </is>
      </c>
      <c r="E318" s="16" t="inlineStr">
        <is>
          <t>Structural Metal Preparers and Erectors 관련 국가직무</t>
        </is>
      </c>
      <c r="F318" s="15" t="inlineStr">
        <is>
          <t>72140</t>
        </is>
      </c>
      <c r="G318" s="16" t="inlineStr">
        <is>
          <t>Structural Metal Preparers and Erectors (한국 표준 직종)</t>
        </is>
      </c>
      <c r="H318" s="15" t="inlineStr">
        <is>
          <t>51-4041.00</t>
        </is>
      </c>
      <c r="I318" s="16" t="inlineStr">
        <is>
          <t>Structural Metal Preparers and Erectors</t>
        </is>
      </c>
      <c r="J318" s="15" t="inlineStr">
        <is>
          <t>72140</t>
        </is>
      </c>
      <c r="K318" s="16" t="inlineStr">
        <is>
          <t>Structural Metal Preparers and Erectors (CZ-ISCO)</t>
        </is>
      </c>
      <c r="L318" s="16" t="inlineStr">
        <is>
          <t>Structural metal preparers and erectors assemble, erect and dismantle structural metal frames of buildings and other structures.</t>
        </is>
      </c>
    </row>
    <row r="319">
      <c r="A319" s="17" t="inlineStr">
        <is>
          <t>7215</t>
        </is>
      </c>
      <c r="B319" s="18" t="inlineStr">
        <is>
          <t>Riggers and Cable Splicers</t>
        </is>
      </c>
      <c r="C319" s="18" t="inlineStr">
        <is>
          <t>모빌리티 / 자율주행 / 로보틱스</t>
        </is>
      </c>
      <c r="D319" s="17" t="inlineStr">
        <is>
          <t>15020101</t>
        </is>
      </c>
      <c r="E319" s="18" t="inlineStr">
        <is>
          <t>Riggers and Cable Splicers 관련 국가직무</t>
        </is>
      </c>
      <c r="F319" s="17" t="inlineStr">
        <is>
          <t>72150</t>
        </is>
      </c>
      <c r="G319" s="18" t="inlineStr">
        <is>
          <t>Riggers and Cable Splicers (한국 표준 직종)</t>
        </is>
      </c>
      <c r="H319" s="17" t="inlineStr">
        <is>
          <t>51-4041.00</t>
        </is>
      </c>
      <c r="I319" s="18" t="inlineStr">
        <is>
          <t>Riggers and Cable Splicers</t>
        </is>
      </c>
      <c r="J319" s="17" t="inlineStr">
        <is>
          <t>72150</t>
        </is>
      </c>
      <c r="K319" s="18" t="inlineStr">
        <is>
          <t>Riggers and Cable Splicers (CZ-ISCO)</t>
        </is>
      </c>
      <c r="L319" s="18" t="inlineStr">
        <is>
          <t>Riggers and cable splicers assemble rigging gear to move and position equipment and structural components, or install and maintain cables, ropes and wires on construction sites, buildings or other structures.</t>
        </is>
      </c>
    </row>
    <row r="320">
      <c r="A320" s="15" t="inlineStr">
        <is>
          <t>7221</t>
        </is>
      </c>
      <c r="B320" s="16" t="inlineStr">
        <is>
          <t>Blacksmiths, Hammersmiths and Forging Press Workers</t>
        </is>
      </c>
      <c r="C320" s="16" t="inlineStr">
        <is>
          <t>모빌리티 / 자율주행 / 로보틱스</t>
        </is>
      </c>
      <c r="D320" s="15" t="inlineStr">
        <is>
          <t>15020101</t>
        </is>
      </c>
      <c r="E320" s="16" t="inlineStr">
        <is>
          <t>Blacksmiths, Hammersmiths and Forging Press Workers 관련 국가직무</t>
        </is>
      </c>
      <c r="F320" s="15" t="inlineStr">
        <is>
          <t>72210</t>
        </is>
      </c>
      <c r="G320" s="16" t="inlineStr">
        <is>
          <t>Blacksmiths, Hammersmiths and Forging Press Workers (한국 표준 직종)</t>
        </is>
      </c>
      <c r="H320" s="15" t="inlineStr">
        <is>
          <t>51-4041.00</t>
        </is>
      </c>
      <c r="I320" s="16" t="inlineStr">
        <is>
          <t>Blacksmiths, Hammersmiths and Forging Press Workers</t>
        </is>
      </c>
      <c r="J320" s="15" t="inlineStr">
        <is>
          <t>72210</t>
        </is>
      </c>
      <c r="K320" s="16" t="inlineStr">
        <is>
          <t>Blacksmiths, Hammersmiths and Forging Press Workers (CZ-ISCO)</t>
        </is>
      </c>
      <c r="L320" s="16" t="inlineStr">
        <is>
          <t>Blacksmiths, hammersmiths and forging press workers hammer and forge bars, rods, ingots and plates of iron, steel or other metals, and draw wire to make and repair various kinds of tools, metal articles, pieces of equipment, and agricultural and related implements.</t>
        </is>
      </c>
    </row>
    <row r="321">
      <c r="A321" s="17" t="inlineStr">
        <is>
          <t>7222</t>
        </is>
      </c>
      <c r="B321" s="18" t="inlineStr">
        <is>
          <t>Toolmakers and Related Workers</t>
        </is>
      </c>
      <c r="C321" s="18" t="inlineStr">
        <is>
          <t>모빌리티 / 자율주행 / 로보틱스</t>
        </is>
      </c>
      <c r="D321" s="17" t="inlineStr">
        <is>
          <t>15020101</t>
        </is>
      </c>
      <c r="E321" s="18" t="inlineStr">
        <is>
          <t>Toolmakers and Related Workers 관련 국가직무</t>
        </is>
      </c>
      <c r="F321" s="17" t="inlineStr">
        <is>
          <t>72220</t>
        </is>
      </c>
      <c r="G321" s="18" t="inlineStr">
        <is>
          <t>Toolmakers and Related Workers (한국 표준 직종)</t>
        </is>
      </c>
      <c r="H321" s="17" t="inlineStr">
        <is>
          <t>51-4041.00</t>
        </is>
      </c>
      <c r="I321" s="18" t="inlineStr">
        <is>
          <t>Toolmakers and Related Workers</t>
        </is>
      </c>
      <c r="J321" s="17" t="inlineStr">
        <is>
          <t>72220</t>
        </is>
      </c>
      <c r="K321" s="18" t="inlineStr">
        <is>
          <t>Toolmakers and Related Workers (CZ-ISCO)</t>
        </is>
      </c>
      <c r="L321" s="18" t="inlineStr">
        <is>
          <t>Toolmakers and related workers make and repair custom-made and specialised tools, sports guns, locks, dies, patterns, machinery components and other metal articles using hand and machine tools to work metal to fine tolerances.</t>
        </is>
      </c>
    </row>
    <row r="322">
      <c r="A322" s="15" t="inlineStr">
        <is>
          <t>7223</t>
        </is>
      </c>
      <c r="B322" s="16" t="inlineStr">
        <is>
          <t>Metal Working Machine Tool Setters and  Operators</t>
        </is>
      </c>
      <c r="C322" s="16" t="inlineStr">
        <is>
          <t>모빌리티 / 자율주행 / 로보틱스</t>
        </is>
      </c>
      <c r="D322" s="15" t="inlineStr">
        <is>
          <t>15020101</t>
        </is>
      </c>
      <c r="E322" s="16" t="inlineStr">
        <is>
          <t>Metal Working Machine Tool Setters and  Operators 관련 국가직무</t>
        </is>
      </c>
      <c r="F322" s="15" t="inlineStr">
        <is>
          <t>72230</t>
        </is>
      </c>
      <c r="G322" s="16" t="inlineStr">
        <is>
          <t>Metal Working Machine Tool Setters and  Operators (한국 표준 직종)</t>
        </is>
      </c>
      <c r="H322" s="15" t="inlineStr">
        <is>
          <t>51-4041.00</t>
        </is>
      </c>
      <c r="I322" s="16" t="inlineStr">
        <is>
          <t>Metal Working Machine Tool Setters and  Operators</t>
        </is>
      </c>
      <c r="J322" s="15" t="inlineStr">
        <is>
          <t>72230</t>
        </is>
      </c>
      <c r="K322" s="16" t="inlineStr">
        <is>
          <t>Metal Working Machine Tool Setters and  Operators (CZ-ISCO)</t>
        </is>
      </c>
      <c r="L322" s="16" t="inlineStr">
        <is>
          <t>Metal working machine tool setters and operators set and/or operate various machine tools, working to fine tolerances.</t>
        </is>
      </c>
    </row>
    <row r="323">
      <c r="A323" s="17" t="inlineStr">
        <is>
          <t>7224</t>
        </is>
      </c>
      <c r="B323" s="18" t="inlineStr">
        <is>
          <t>Metal Polishers, Wheel Grinders and Tool Sharpeners</t>
        </is>
      </c>
      <c r="C323" s="18" t="inlineStr">
        <is>
          <t>모빌리티 / 자율주행 / 로보틱스</t>
        </is>
      </c>
      <c r="D323" s="17" t="inlineStr">
        <is>
          <t>15020101</t>
        </is>
      </c>
      <c r="E323" s="18" t="inlineStr">
        <is>
          <t>Metal Polishers, Wheel Grinders and Tool Sharpeners 관련 국가직무</t>
        </is>
      </c>
      <c r="F323" s="17" t="inlineStr">
        <is>
          <t>72240</t>
        </is>
      </c>
      <c r="G323" s="18" t="inlineStr">
        <is>
          <t>Metal Polishers, Wheel Grinders and Tool Sharpeners (한국 표준 직종)</t>
        </is>
      </c>
      <c r="H323" s="17" t="inlineStr">
        <is>
          <t>51-4041.00</t>
        </is>
      </c>
      <c r="I323" s="18" t="inlineStr">
        <is>
          <t>Metal Polishers, Wheel Grinders and Tool Sharpeners</t>
        </is>
      </c>
      <c r="J323" s="17" t="inlineStr">
        <is>
          <t>72240</t>
        </is>
      </c>
      <c r="K323" s="18" t="inlineStr">
        <is>
          <t>Metal Polishers, Wheel Grinders and Tool Sharpeners (CZ-ISCO)</t>
        </is>
      </c>
      <c r="L323" s="18" t="inlineStr">
        <is>
          <t>Metal polishers, wheel grinders and tool sharpeners polish and grind metal surfaces and sharpen tools.</t>
        </is>
      </c>
    </row>
    <row r="324">
      <c r="A324" s="15" t="inlineStr">
        <is>
          <t>7231</t>
        </is>
      </c>
      <c r="B324" s="16" t="inlineStr">
        <is>
          <t>Motor Vehicle Mechanics and Repairers</t>
        </is>
      </c>
      <c r="C324" s="16" t="inlineStr">
        <is>
          <t>모빌리티 / 자율주행 / 로보틱스</t>
        </is>
      </c>
      <c r="D324" s="15" t="inlineStr">
        <is>
          <t>15020101</t>
        </is>
      </c>
      <c r="E324" s="16" t="inlineStr">
        <is>
          <t>Motor Vehicle Mechanics and Repairers 관련 국가직무</t>
        </is>
      </c>
      <c r="F324" s="15" t="inlineStr">
        <is>
          <t>72310</t>
        </is>
      </c>
      <c r="G324" s="16" t="inlineStr">
        <is>
          <t>Motor Vehicle Mechanics and Repairers (한국 표준 직종)</t>
        </is>
      </c>
      <c r="H324" s="15" t="inlineStr">
        <is>
          <t>51-4041.00</t>
        </is>
      </c>
      <c r="I324" s="16" t="inlineStr">
        <is>
          <t>Motor Vehicle Mechanics and Repairers</t>
        </is>
      </c>
      <c r="J324" s="15" t="inlineStr">
        <is>
          <t>72310</t>
        </is>
      </c>
      <c r="K324" s="16" t="inlineStr">
        <is>
          <t>Motor Vehicle Mechanics and Repairers (CZ-ISCO)</t>
        </is>
      </c>
      <c r="L324" s="16" t="inlineStr">
        <is>
          <t>Motor vehicle mechanics and repairers fit, install, maintain, service and repair engines and the mechanical and related equipment of passenger cars, delivery trucks, motorcycles and other motor vehicles.</t>
        </is>
      </c>
    </row>
    <row r="325">
      <c r="A325" s="17" t="inlineStr">
        <is>
          <t>7232</t>
        </is>
      </c>
      <c r="B325" s="18" t="inlineStr">
        <is>
          <t>Aircraft Engine Mechanics and Repairers</t>
        </is>
      </c>
      <c r="C325" s="18" t="inlineStr">
        <is>
          <t>모빌리티 / 자율주행 / 로보틱스</t>
        </is>
      </c>
      <c r="D325" s="17" t="inlineStr">
        <is>
          <t>15020101</t>
        </is>
      </c>
      <c r="E325" s="18" t="inlineStr">
        <is>
          <t>Aircraft Engine Mechanics and Repairers 관련 국가직무</t>
        </is>
      </c>
      <c r="F325" s="17" t="inlineStr">
        <is>
          <t>72320</t>
        </is>
      </c>
      <c r="G325" s="18" t="inlineStr">
        <is>
          <t>Aircraft Engine Mechanics and Repairers (한국 표준 직종)</t>
        </is>
      </c>
      <c r="H325" s="17" t="inlineStr">
        <is>
          <t>51-4041.00</t>
        </is>
      </c>
      <c r="I325" s="18" t="inlineStr">
        <is>
          <t>Aircraft Engine Mechanics and Repairers</t>
        </is>
      </c>
      <c r="J325" s="17" t="inlineStr">
        <is>
          <t>72320</t>
        </is>
      </c>
      <c r="K325" s="18" t="inlineStr">
        <is>
          <t>Aircraft Engine Mechanics and Repairers (CZ-ISCO)</t>
        </is>
      </c>
      <c r="L325" s="18" t="inlineStr">
        <is>
          <t>Aircraft engine mechanics and repairers fit, service, repair and overhaul aircraft engines and assemblies, such as airframes, hydraulic and pneumatic systems.</t>
        </is>
      </c>
    </row>
    <row r="326">
      <c r="A326" s="15" t="inlineStr">
        <is>
          <t>7233</t>
        </is>
      </c>
      <c r="B326" s="16" t="inlineStr">
        <is>
          <t>Agricultural and Industrial Machinery Mechanics and Repairers</t>
        </is>
      </c>
      <c r="C326" s="16" t="inlineStr">
        <is>
          <t>모빌리티 / 자율주행 / 로보틱스</t>
        </is>
      </c>
      <c r="D326" s="15" t="inlineStr">
        <is>
          <t>15020101</t>
        </is>
      </c>
      <c r="E326" s="16" t="inlineStr">
        <is>
          <t>Agricultural and Industrial Machinery Mechanics and Repairers 관련 국가직무</t>
        </is>
      </c>
      <c r="F326" s="15" t="inlineStr">
        <is>
          <t>72330</t>
        </is>
      </c>
      <c r="G326" s="16" t="inlineStr">
        <is>
          <t>Agricultural and Industrial Machinery Mechanics and Repairers (한국 표준 직종)</t>
        </is>
      </c>
      <c r="H326" s="15" t="inlineStr">
        <is>
          <t>51-4041.00</t>
        </is>
      </c>
      <c r="I326" s="16" t="inlineStr">
        <is>
          <t>Agricultural and Industrial Machinery Mechanics and Repairers</t>
        </is>
      </c>
      <c r="J326" s="15" t="inlineStr">
        <is>
          <t>72330</t>
        </is>
      </c>
      <c r="K326" s="16" t="inlineStr">
        <is>
          <t>Agricultural and Industrial Machinery Mechanics and Repairers (CZ-ISCO)</t>
        </is>
      </c>
      <c r="L326" s="16" t="inlineStr">
        <is>
          <t>Agricultural and industrial machinery mechanics and repairers fit, install, examine, service and repair engines, agricultural and industrial machinery and mechanical equipment, except motor vehicle, aircraft and electric motors.</t>
        </is>
      </c>
    </row>
    <row r="327">
      <c r="A327" s="17" t="inlineStr">
        <is>
          <t>7234</t>
        </is>
      </c>
      <c r="B327" s="18" t="inlineStr">
        <is>
          <t>Bicycle and Related Repairers</t>
        </is>
      </c>
      <c r="C327" s="18" t="inlineStr">
        <is>
          <t>모빌리티 / 자율주행 / 로보틱스</t>
        </is>
      </c>
      <c r="D327" s="17" t="inlineStr">
        <is>
          <t>15020101</t>
        </is>
      </c>
      <c r="E327" s="18" t="inlineStr">
        <is>
          <t>Bicycle and Related Repairers 관련 국가직무</t>
        </is>
      </c>
      <c r="F327" s="17" t="inlineStr">
        <is>
          <t>72340</t>
        </is>
      </c>
      <c r="G327" s="18" t="inlineStr">
        <is>
          <t>Bicycle and Related Repairers (한국 표준 직종)</t>
        </is>
      </c>
      <c r="H327" s="17" t="inlineStr">
        <is>
          <t>51-4041.00</t>
        </is>
      </c>
      <c r="I327" s="18" t="inlineStr">
        <is>
          <t>Bicycle and Related Repairers</t>
        </is>
      </c>
      <c r="J327" s="17" t="inlineStr">
        <is>
          <t>72340</t>
        </is>
      </c>
      <c r="K327" s="18" t="inlineStr">
        <is>
          <t>Bicycle and Related Repairers (CZ-ISCO)</t>
        </is>
      </c>
      <c r="L327" s="18" t="inlineStr">
        <is>
          <t>Bicycle and related repairers fit, maintain, service and repair the mechanical and related equipment of bicycles, rickshaws, baby carriages, wheelchairs and similar non-motorized transport equipment.</t>
        </is>
      </c>
    </row>
    <row r="328">
      <c r="A328" s="15" t="inlineStr">
        <is>
          <t>7311</t>
        </is>
      </c>
      <c r="B328" s="16" t="inlineStr">
        <is>
          <t>Precision-instrument Makers and Repairers</t>
        </is>
      </c>
      <c r="C328" s="16" t="inlineStr">
        <is>
          <t>디자인 / 디지털미디어 / 콘텐츠</t>
        </is>
      </c>
      <c r="D328" s="15" t="inlineStr">
        <is>
          <t>02730101</t>
        </is>
      </c>
      <c r="E328" s="16" t="inlineStr">
        <is>
          <t>Precision-instrument Makers and Repairers 관련 국가직무</t>
        </is>
      </c>
      <c r="F328" s="15" t="inlineStr">
        <is>
          <t>73110</t>
        </is>
      </c>
      <c r="G328" s="16" t="inlineStr">
        <is>
          <t>Precision-instrument Makers and Repairers (한국 표준 직종)</t>
        </is>
      </c>
      <c r="H328" s="15" t="inlineStr">
        <is>
          <t>15-7311.00</t>
        </is>
      </c>
      <c r="I328" s="16" t="inlineStr">
        <is>
          <t>Precision-instrument Makers and Repairers</t>
        </is>
      </c>
      <c r="J328" s="15" t="inlineStr">
        <is>
          <t>73110</t>
        </is>
      </c>
      <c r="K328" s="16" t="inlineStr">
        <is>
          <t>Precision-instrument Makers and Repairers (CZ-ISCO)</t>
        </is>
      </c>
      <c r="L328" s="16" t="inlineStr">
        <is>
          <t>Precision-instrument makers and repairers make, calibrate, repair, maintain, adjust and install mechanical watches and clocks, and nautical, meteorological, optical and other precision instruments and equipment, and set them for correct performance.</t>
        </is>
      </c>
    </row>
    <row r="329">
      <c r="A329" s="17" t="inlineStr">
        <is>
          <t>7312</t>
        </is>
      </c>
      <c r="B329" s="18" t="inlineStr">
        <is>
          <t>Musical Instrument Makers and Tuners</t>
        </is>
      </c>
      <c r="C329" s="18" t="inlineStr">
        <is>
          <t>디자인 / 디지털미디어 / 콘텐츠</t>
        </is>
      </c>
      <c r="D329" s="17" t="inlineStr">
        <is>
          <t>02730101</t>
        </is>
      </c>
      <c r="E329" s="18" t="inlineStr">
        <is>
          <t>Musical Instrument Makers and Tuners 관련 국가직무</t>
        </is>
      </c>
      <c r="F329" s="17" t="inlineStr">
        <is>
          <t>73120</t>
        </is>
      </c>
      <c r="G329" s="18" t="inlineStr">
        <is>
          <t>Musical Instrument Makers and Tuners (한국 표준 직종)</t>
        </is>
      </c>
      <c r="H329" s="17" t="inlineStr">
        <is>
          <t>15-7311.00</t>
        </is>
      </c>
      <c r="I329" s="18" t="inlineStr">
        <is>
          <t>Musical Instrument Makers and Tuners</t>
        </is>
      </c>
      <c r="J329" s="17" t="inlineStr">
        <is>
          <t>73120</t>
        </is>
      </c>
      <c r="K329" s="18" t="inlineStr">
        <is>
          <t>Musical Instrument Makers and Tuners (CZ-ISCO)</t>
        </is>
      </c>
      <c r="L329" s="18"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t>
        </is>
      </c>
    </row>
    <row r="330">
      <c r="A330" s="15" t="inlineStr">
        <is>
          <t>7313</t>
        </is>
      </c>
      <c r="B330" s="16" t="inlineStr">
        <is>
          <t>Jewellery and Precious Metal Workers</t>
        </is>
      </c>
      <c r="C330" s="16" t="inlineStr">
        <is>
          <t>디자인 / 디지털미디어 / 콘텐츠</t>
        </is>
      </c>
      <c r="D330" s="15" t="inlineStr">
        <is>
          <t>02730101</t>
        </is>
      </c>
      <c r="E330" s="16" t="inlineStr">
        <is>
          <t>Jewellery and Precious Metal Workers 관련 국가직무</t>
        </is>
      </c>
      <c r="F330" s="15" t="inlineStr">
        <is>
          <t>73130</t>
        </is>
      </c>
      <c r="G330" s="16" t="inlineStr">
        <is>
          <t>Jewellery and Precious Metal Workers (한국 표준 직종)</t>
        </is>
      </c>
      <c r="H330" s="15" t="inlineStr">
        <is>
          <t>15-7311.00</t>
        </is>
      </c>
      <c r="I330" s="16" t="inlineStr">
        <is>
          <t>Jewellery and Precious Metal Workers</t>
        </is>
      </c>
      <c r="J330" s="15" t="inlineStr">
        <is>
          <t>73130</t>
        </is>
      </c>
      <c r="K330" s="16" t="inlineStr">
        <is>
          <t>Jewellery and Precious Metal Workers (CZ-ISCO)</t>
        </is>
      </c>
      <c r="L330" s="16"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t>
        </is>
      </c>
    </row>
    <row r="331">
      <c r="A331" s="17" t="inlineStr">
        <is>
          <t>7314</t>
        </is>
      </c>
      <c r="B331" s="18" t="inlineStr">
        <is>
          <t>Potters and Related Workers</t>
        </is>
      </c>
      <c r="C331" s="18" t="inlineStr">
        <is>
          <t>디자인 / 디지털미디어 / 콘텐츠</t>
        </is>
      </c>
      <c r="D331" s="17" t="inlineStr">
        <is>
          <t>02730101</t>
        </is>
      </c>
      <c r="E331" s="18" t="inlineStr">
        <is>
          <t>Potters and Related Workers 관련 국가직무</t>
        </is>
      </c>
      <c r="F331" s="17" t="inlineStr">
        <is>
          <t>73140</t>
        </is>
      </c>
      <c r="G331" s="18" t="inlineStr">
        <is>
          <t>Potters and Related Workers (한국 표준 직종)</t>
        </is>
      </c>
      <c r="H331" s="17" t="inlineStr">
        <is>
          <t>15-7311.00</t>
        </is>
      </c>
      <c r="I331" s="18" t="inlineStr">
        <is>
          <t>Potters and Related Workers</t>
        </is>
      </c>
      <c r="J331" s="17" t="inlineStr">
        <is>
          <t>73140</t>
        </is>
      </c>
      <c r="K331" s="18" t="inlineStr">
        <is>
          <t>Potters and Related Workers (CZ-ISCO)</t>
        </is>
      </c>
      <c r="L331" s="18" t="inlineStr">
        <is>
          <t>Potters and related workers prepare pottery, porcelain ware, sanitary ware, bricks, tiles and abrasive wheels by hand or by machine.</t>
        </is>
      </c>
    </row>
    <row r="332">
      <c r="A332" s="15" t="inlineStr">
        <is>
          <t>7315</t>
        </is>
      </c>
      <c r="B332" s="16" t="inlineStr">
        <is>
          <t>Glass Makers, Cutters, Grinders and Finishers</t>
        </is>
      </c>
      <c r="C332" s="16" t="inlineStr">
        <is>
          <t>디자인 / 디지털미디어 / 콘텐츠</t>
        </is>
      </c>
      <c r="D332" s="15" t="inlineStr">
        <is>
          <t>02730101</t>
        </is>
      </c>
      <c r="E332" s="16" t="inlineStr">
        <is>
          <t>Glass Makers, Cutters, Grinders and Finishers 관련 국가직무</t>
        </is>
      </c>
      <c r="F332" s="15" t="inlineStr">
        <is>
          <t>73150</t>
        </is>
      </c>
      <c r="G332" s="16" t="inlineStr">
        <is>
          <t>Glass Makers, Cutters, Grinders and Finishers (한국 표준 직종)</t>
        </is>
      </c>
      <c r="H332" s="15" t="inlineStr">
        <is>
          <t>15-7311.00</t>
        </is>
      </c>
      <c r="I332" s="16" t="inlineStr">
        <is>
          <t>Glass Makers, Cutters, Grinders and Finishers</t>
        </is>
      </c>
      <c r="J332" s="15" t="inlineStr">
        <is>
          <t>73150</t>
        </is>
      </c>
      <c r="K332" s="16" t="inlineStr">
        <is>
          <t>Glass Makers, Cutters, Grinders and Finishers (CZ-ISCO)</t>
        </is>
      </c>
      <c r="L332" s="16" t="inlineStr">
        <is>
          <t>Glass makers, cutters, grinders and finishers blow, mould, press, cut, trim, grind and polish glass, and shape molten glass according to patterns.</t>
        </is>
      </c>
    </row>
    <row r="333">
      <c r="A333" s="17" t="inlineStr">
        <is>
          <t>7316</t>
        </is>
      </c>
      <c r="B333" s="18" t="inlineStr">
        <is>
          <t>Sign Writers, Decorative Painters, Engravers and Etchers</t>
        </is>
      </c>
      <c r="C333" s="18" t="inlineStr">
        <is>
          <t>디자인 / 디지털미디어 / 콘텐츠</t>
        </is>
      </c>
      <c r="D333" s="17" t="inlineStr">
        <is>
          <t>02730101</t>
        </is>
      </c>
      <c r="E333" s="18" t="inlineStr">
        <is>
          <t>Sign Writers, Decorative Painters, Engravers and Etchers 관련 국가직무</t>
        </is>
      </c>
      <c r="F333" s="17" t="inlineStr">
        <is>
          <t>73160</t>
        </is>
      </c>
      <c r="G333" s="18" t="inlineStr">
        <is>
          <t>Sign Writers, Decorative Painters, Engravers and Etchers (한국 표준 직종)</t>
        </is>
      </c>
      <c r="H333" s="17" t="inlineStr">
        <is>
          <t>15-7311.00</t>
        </is>
      </c>
      <c r="I333" s="18" t="inlineStr">
        <is>
          <t>Sign Writers, Decorative Painters, Engravers and Etchers</t>
        </is>
      </c>
      <c r="J333" s="17" t="inlineStr">
        <is>
          <t>73160</t>
        </is>
      </c>
      <c r="K333" s="18" t="inlineStr">
        <is>
          <t>Sign Writers, Decorative Painters, Engravers and Etchers (CZ-ISCO)</t>
        </is>
      </c>
      <c r="L333" s="18"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t>
        </is>
      </c>
    </row>
    <row r="334">
      <c r="A334" s="15" t="inlineStr">
        <is>
          <t>7317</t>
        </is>
      </c>
      <c r="B334" s="16" t="inlineStr">
        <is>
          <t>Handicraft Workers in Wood, Basketry and Related Materials</t>
        </is>
      </c>
      <c r="C334" s="16" t="inlineStr">
        <is>
          <t>디자인 / 디지털미디어 / 콘텐츠</t>
        </is>
      </c>
      <c r="D334" s="15" t="inlineStr">
        <is>
          <t>02730101</t>
        </is>
      </c>
      <c r="E334" s="16" t="inlineStr">
        <is>
          <t>Handicraft Workers in Wood, Basketry and Related Materials 관련 국가직무</t>
        </is>
      </c>
      <c r="F334" s="15" t="inlineStr">
        <is>
          <t>73170</t>
        </is>
      </c>
      <c r="G334" s="16" t="inlineStr">
        <is>
          <t>Handicraft Workers in Wood, Basketry and Related Materials (한국 표준 직종)</t>
        </is>
      </c>
      <c r="H334" s="15" t="inlineStr">
        <is>
          <t>15-7311.00</t>
        </is>
      </c>
      <c r="I334" s="16" t="inlineStr">
        <is>
          <t>Handicraft Workers in Wood, Basketry and Related Materials</t>
        </is>
      </c>
      <c r="J334" s="15" t="inlineStr">
        <is>
          <t>73170</t>
        </is>
      </c>
      <c r="K334" s="16" t="inlineStr">
        <is>
          <t>Handicraft Workers in Wood, Basketry and Related Materials (CZ-ISCO)</t>
        </is>
      </c>
      <c r="L334" s="16"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t>
        </is>
      </c>
    </row>
    <row r="335">
      <c r="A335" s="17" t="inlineStr">
        <is>
          <t>7318</t>
        </is>
      </c>
      <c r="B335" s="18" t="inlineStr">
        <is>
          <t>Handicraft Workers in Textile, Leather and Related Materials</t>
        </is>
      </c>
      <c r="C335" s="18" t="inlineStr">
        <is>
          <t>디자인 / 디지털미디어 / 콘텐츠</t>
        </is>
      </c>
      <c r="D335" s="17" t="inlineStr">
        <is>
          <t>02730101</t>
        </is>
      </c>
      <c r="E335" s="18" t="inlineStr">
        <is>
          <t>Handicraft Workers in Textile, Leather and Related Materials 관련 국가직무</t>
        </is>
      </c>
      <c r="F335" s="17" t="inlineStr">
        <is>
          <t>73180</t>
        </is>
      </c>
      <c r="G335" s="18" t="inlineStr">
        <is>
          <t>Handicraft Workers in Textile, Leather and Related Materials (한국 표준 직종)</t>
        </is>
      </c>
      <c r="H335" s="17" t="inlineStr">
        <is>
          <t>15-7311.00</t>
        </is>
      </c>
      <c r="I335" s="18" t="inlineStr">
        <is>
          <t>Handicraft Workers in Textile, Leather and Related Materials</t>
        </is>
      </c>
      <c r="J335" s="17" t="inlineStr">
        <is>
          <t>73180</t>
        </is>
      </c>
      <c r="K335" s="18" t="inlineStr">
        <is>
          <t>Handicraft Workers in Textile, Leather and Related Materials (CZ-ISCO)</t>
        </is>
      </c>
      <c r="L335" s="18"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c>
    </row>
    <row r="336">
      <c r="A336" s="15" t="inlineStr">
        <is>
          <t>7319</t>
        </is>
      </c>
      <c r="B336" s="16" t="inlineStr">
        <is>
          <t>Handicraft Workers Not Elsewhere Classified</t>
        </is>
      </c>
      <c r="C336" s="16" t="inlineStr">
        <is>
          <t>디자인 / 디지털미디어 / 콘텐츠</t>
        </is>
      </c>
      <c r="D336" s="15" t="inlineStr">
        <is>
          <t>02730101</t>
        </is>
      </c>
      <c r="E336" s="16" t="inlineStr">
        <is>
          <t>Handicraft Workers Not Elsewhere Classified 관련 국가직무</t>
        </is>
      </c>
      <c r="F336" s="15" t="inlineStr">
        <is>
          <t>73190</t>
        </is>
      </c>
      <c r="G336" s="16" t="inlineStr">
        <is>
          <t>Handicraft Workers Not Elsewhere Classified (한국 표준 직종)</t>
        </is>
      </c>
      <c r="H336" s="15" t="inlineStr">
        <is>
          <t>15-7311.00</t>
        </is>
      </c>
      <c r="I336" s="16" t="inlineStr">
        <is>
          <t>Handicraft Workers Not Elsewhere Classified</t>
        </is>
      </c>
      <c r="J336" s="15" t="inlineStr">
        <is>
          <t>73190</t>
        </is>
      </c>
      <c r="K336" s="16" t="inlineStr">
        <is>
          <t>Handicraft Workers Not Elsewhere Classified (CZ-ISCO)</t>
        </is>
      </c>
      <c r="L336" s="16" t="inlineStr">
        <is>
          <t>This unit group covers handicraft workers who perform traditional handicrafts not classified elsewhere. For instance, the group includes traditional handicraft workers in non-precious metals and stone.</t>
        </is>
      </c>
    </row>
    <row r="337">
      <c r="A337" s="17" t="inlineStr">
        <is>
          <t>7321</t>
        </is>
      </c>
      <c r="B337" s="18" t="inlineStr">
        <is>
          <t>Pre-press Technicians</t>
        </is>
      </c>
      <c r="C337" s="18" t="inlineStr">
        <is>
          <t>디자인 / 디지털미디어 / 콘텐츠</t>
        </is>
      </c>
      <c r="D337" s="17" t="inlineStr">
        <is>
          <t>02730101</t>
        </is>
      </c>
      <c r="E337" s="18" t="inlineStr">
        <is>
          <t>Pre-press Technicians 관련 국가직무</t>
        </is>
      </c>
      <c r="F337" s="17" t="inlineStr">
        <is>
          <t>73210</t>
        </is>
      </c>
      <c r="G337" s="18" t="inlineStr">
        <is>
          <t>Pre-press Technicians (한국 표준 직종)</t>
        </is>
      </c>
      <c r="H337" s="17" t="inlineStr">
        <is>
          <t>15-7311.00</t>
        </is>
      </c>
      <c r="I337" s="18" t="inlineStr">
        <is>
          <t>Pre-press Technicians</t>
        </is>
      </c>
      <c r="J337" s="17" t="inlineStr">
        <is>
          <t>73210</t>
        </is>
      </c>
      <c r="K337" s="18" t="inlineStr">
        <is>
          <t>Pre-press Technicians (CZ-ISCO)</t>
        </is>
      </c>
      <c r="L337" s="18" t="inlineStr">
        <is>
          <t>Pre-press technicians proof, format, set and compose text and graphics into a form suitable for use in various printing processes and representation in other visual media.</t>
        </is>
      </c>
    </row>
    <row r="338">
      <c r="A338" s="15" t="inlineStr">
        <is>
          <t>7322</t>
        </is>
      </c>
      <c r="B338" s="16" t="inlineStr">
        <is>
          <t>Printers</t>
        </is>
      </c>
      <c r="C338" s="16" t="inlineStr">
        <is>
          <t>디자인 / 디지털미디어 / 콘텐츠</t>
        </is>
      </c>
      <c r="D338" s="15" t="inlineStr">
        <is>
          <t>02730101</t>
        </is>
      </c>
      <c r="E338" s="16" t="inlineStr">
        <is>
          <t>Printers 관련 국가직무</t>
        </is>
      </c>
      <c r="F338" s="15" t="inlineStr">
        <is>
          <t>73220</t>
        </is>
      </c>
      <c r="G338" s="16" t="inlineStr">
        <is>
          <t>Printers (한국 표준 직종)</t>
        </is>
      </c>
      <c r="H338" s="15" t="inlineStr">
        <is>
          <t>15-7311.00</t>
        </is>
      </c>
      <c r="I338" s="16" t="inlineStr">
        <is>
          <t>Printers</t>
        </is>
      </c>
      <c r="J338" s="15" t="inlineStr">
        <is>
          <t>73220</t>
        </is>
      </c>
      <c r="K338" s="16" t="inlineStr">
        <is>
          <t>Printers (CZ-ISCO)</t>
        </is>
      </c>
      <c r="L338" s="16" t="inlineStr">
        <is>
          <t>Printers set up and operate digital, letterpress, lithographic, flexographic, gravure, newspaper and other printing presses.</t>
        </is>
      </c>
    </row>
    <row r="339">
      <c r="A339" s="17" t="inlineStr">
        <is>
          <t>7323</t>
        </is>
      </c>
      <c r="B339" s="18" t="inlineStr">
        <is>
          <t>Print Finishing and Binding Workers</t>
        </is>
      </c>
      <c r="C339" s="18" t="inlineStr">
        <is>
          <t>디자인 / 디지털미디어 / 콘텐츠</t>
        </is>
      </c>
      <c r="D339" s="17" t="inlineStr">
        <is>
          <t>02730101</t>
        </is>
      </c>
      <c r="E339" s="18" t="inlineStr">
        <is>
          <t>Print Finishing and Binding Workers 관련 국가직무</t>
        </is>
      </c>
      <c r="F339" s="17" t="inlineStr">
        <is>
          <t>73230</t>
        </is>
      </c>
      <c r="G339" s="18" t="inlineStr">
        <is>
          <t>Print Finishing and Binding Workers (한국 표준 직종)</t>
        </is>
      </c>
      <c r="H339" s="17" t="inlineStr">
        <is>
          <t>15-7311.00</t>
        </is>
      </c>
      <c r="I339" s="18" t="inlineStr">
        <is>
          <t>Print Finishing and Binding Workers</t>
        </is>
      </c>
      <c r="J339" s="17" t="inlineStr">
        <is>
          <t>73230</t>
        </is>
      </c>
      <c r="K339" s="18" t="inlineStr">
        <is>
          <t>Print Finishing and Binding Workers (CZ-ISCO)</t>
        </is>
      </c>
      <c r="L339" s="18" t="inlineStr">
        <is>
          <t>Print finishing and binding workers bind books and other publications, and finish printed products by hand or machine.</t>
        </is>
      </c>
    </row>
    <row r="340">
      <c r="A340" s="15" t="inlineStr">
        <is>
          <t>7411</t>
        </is>
      </c>
      <c r="B340" s="16" t="inlineStr">
        <is>
          <t>Building and Related Electricians</t>
        </is>
      </c>
      <c r="C340" s="16" t="inlineStr">
        <is>
          <t>반도체 / 전자회로 / 하드웨어</t>
        </is>
      </c>
      <c r="D340" s="15" t="inlineStr">
        <is>
          <t>02740101</t>
        </is>
      </c>
      <c r="E340" s="16" t="inlineStr">
        <is>
          <t>Building and Related Electricians 관련 국가직무</t>
        </is>
      </c>
      <c r="F340" s="15" t="inlineStr">
        <is>
          <t>74110</t>
        </is>
      </c>
      <c r="G340" s="16" t="inlineStr">
        <is>
          <t>Building and Related Electricians (한국 표준 직종)</t>
        </is>
      </c>
      <c r="H340" s="15" t="inlineStr">
        <is>
          <t>15-7411.00</t>
        </is>
      </c>
      <c r="I340" s="16" t="inlineStr">
        <is>
          <t>Building and Related Electricians</t>
        </is>
      </c>
      <c r="J340" s="15" t="inlineStr">
        <is>
          <t>74110</t>
        </is>
      </c>
      <c r="K340" s="16" t="inlineStr">
        <is>
          <t>Building and Related Electricians (CZ-ISCO)</t>
        </is>
      </c>
      <c r="L340" s="16" t="inlineStr">
        <is>
          <t>Building and related electricians install, maintain and repair electrical wiring systems and related equipment and fixtures.</t>
        </is>
      </c>
    </row>
    <row r="341">
      <c r="A341" s="17" t="inlineStr">
        <is>
          <t>7412</t>
        </is>
      </c>
      <c r="B341" s="18" t="inlineStr">
        <is>
          <t>Electrical Mechanics and Fitters</t>
        </is>
      </c>
      <c r="C341" s="18" t="inlineStr">
        <is>
          <t>반도체 / 전자회로 / 하드웨어</t>
        </is>
      </c>
      <c r="D341" s="17" t="inlineStr">
        <is>
          <t>02740101</t>
        </is>
      </c>
      <c r="E341" s="18" t="inlineStr">
        <is>
          <t>Electrical Mechanics and Fitters 관련 국가직무</t>
        </is>
      </c>
      <c r="F341" s="17" t="inlineStr">
        <is>
          <t>74120</t>
        </is>
      </c>
      <c r="G341" s="18" t="inlineStr">
        <is>
          <t>Electrical Mechanics and Fitters (한국 표준 직종)</t>
        </is>
      </c>
      <c r="H341" s="17" t="inlineStr">
        <is>
          <t>15-7411.00</t>
        </is>
      </c>
      <c r="I341" s="18" t="inlineStr">
        <is>
          <t>Electrical Mechanics and Fitters</t>
        </is>
      </c>
      <c r="J341" s="17" t="inlineStr">
        <is>
          <t>74120</t>
        </is>
      </c>
      <c r="K341" s="18" t="inlineStr">
        <is>
          <t>Electrical Mechanics and Fitters (CZ-ISCO)</t>
        </is>
      </c>
      <c r="L341" s="18" t="inlineStr">
        <is>
          <t>Electrical mechanics and fitters fit, adjust, install and repair electrical machinery and other electrical apparatus and equipment in buildings, factories, motor vehicles, workshops, or other places.</t>
        </is>
      </c>
    </row>
    <row r="342">
      <c r="A342" s="15" t="inlineStr">
        <is>
          <t>7413</t>
        </is>
      </c>
      <c r="B342" s="16" t="inlineStr">
        <is>
          <t>Electrical Line Installers and Repairers</t>
        </is>
      </c>
      <c r="C342" s="16" t="inlineStr">
        <is>
          <t>반도체 / 전자회로 / 하드웨어</t>
        </is>
      </c>
      <c r="D342" s="15" t="inlineStr">
        <is>
          <t>02740101</t>
        </is>
      </c>
      <c r="E342" s="16" t="inlineStr">
        <is>
          <t>Electrical Line Installers and Repairers 관련 국가직무</t>
        </is>
      </c>
      <c r="F342" s="15" t="inlineStr">
        <is>
          <t>74130</t>
        </is>
      </c>
      <c r="G342" s="16" t="inlineStr">
        <is>
          <t>Electrical Line Installers and Repairers (한국 표준 직종)</t>
        </is>
      </c>
      <c r="H342" s="15" t="inlineStr">
        <is>
          <t>15-7411.00</t>
        </is>
      </c>
      <c r="I342" s="16" t="inlineStr">
        <is>
          <t>Electrical Line Installers and Repairers</t>
        </is>
      </c>
      <c r="J342" s="15" t="inlineStr">
        <is>
          <t>74130</t>
        </is>
      </c>
      <c r="K342" s="16" t="inlineStr">
        <is>
          <t>Electrical Line Installers and Repairers (CZ-ISCO)</t>
        </is>
      </c>
      <c r="L342" s="16" t="inlineStr">
        <is>
          <t>Electrical line installers and repairers install, repair and join electrical transmission and supply cables and related equipment.</t>
        </is>
      </c>
    </row>
    <row r="343">
      <c r="A343" s="17" t="inlineStr">
        <is>
          <t>7421</t>
        </is>
      </c>
      <c r="B343" s="18" t="inlineStr">
        <is>
          <t>Electronics Mechanics and Servicers</t>
        </is>
      </c>
      <c r="C343" s="18" t="inlineStr">
        <is>
          <t>반도체 / 전자회로 / 하드웨어</t>
        </is>
      </c>
      <c r="D343" s="17" t="inlineStr">
        <is>
          <t>02740101</t>
        </is>
      </c>
      <c r="E343" s="18" t="inlineStr">
        <is>
          <t>Electronics Mechanics and Servicers 관련 국가직무</t>
        </is>
      </c>
      <c r="F343" s="17" t="inlineStr">
        <is>
          <t>74210</t>
        </is>
      </c>
      <c r="G343" s="18" t="inlineStr">
        <is>
          <t>Electronics Mechanics and Servicers (한국 표준 직종)</t>
        </is>
      </c>
      <c r="H343" s="17" t="inlineStr">
        <is>
          <t>15-7411.00</t>
        </is>
      </c>
      <c r="I343" s="18" t="inlineStr">
        <is>
          <t>Electronics Mechanics and Servicers</t>
        </is>
      </c>
      <c r="J343" s="17" t="inlineStr">
        <is>
          <t>74210</t>
        </is>
      </c>
      <c r="K343" s="18" t="inlineStr">
        <is>
          <t>Electronics Mechanics and Servicers (CZ-ISCO)</t>
        </is>
      </c>
      <c r="L343" s="18" t="inlineStr">
        <is>
          <t>Electronics mechanics and servicers fit, maintain, adjust and repair electronic equipment such as commercial and office machines and electronic instruments and control systems.</t>
        </is>
      </c>
    </row>
    <row r="344">
      <c r="A344" s="15" t="inlineStr">
        <is>
          <t>7422</t>
        </is>
      </c>
      <c r="B344" s="16" t="inlineStr">
        <is>
          <t>Information and Communications Technology Installers and Servicers</t>
        </is>
      </c>
      <c r="C344" s="16" t="inlineStr">
        <is>
          <t>반도체 / 전자회로 / 하드웨어</t>
        </is>
      </c>
      <c r="D344" s="15" t="inlineStr">
        <is>
          <t>02740101</t>
        </is>
      </c>
      <c r="E344" s="16" t="inlineStr">
        <is>
          <t>Information and Communications Technology Installers and Servicers 관련 국가직무</t>
        </is>
      </c>
      <c r="F344" s="15" t="inlineStr">
        <is>
          <t>74220</t>
        </is>
      </c>
      <c r="G344" s="16" t="inlineStr">
        <is>
          <t>Information and Communications Technology Installers and Servicers (한국 표준 직종)</t>
        </is>
      </c>
      <c r="H344" s="15" t="inlineStr">
        <is>
          <t>15-7411.00</t>
        </is>
      </c>
      <c r="I344" s="16" t="inlineStr">
        <is>
          <t>Information and Communications Technology Installers and Servicers</t>
        </is>
      </c>
      <c r="J344" s="15" t="inlineStr">
        <is>
          <t>74220</t>
        </is>
      </c>
      <c r="K344" s="16" t="inlineStr">
        <is>
          <t>Information and Communications Technology Installers and Servicers (CZ-ISCO)</t>
        </is>
      </c>
      <c r="L344" s="16" t="inlineStr">
        <is>
          <t>Information and communications technology (ICT) installers and servicers install, repair and maintain telecommunications equipment, data transmission equipment, cables, antennae and conduits and repair, fit and maintain computers.</t>
        </is>
      </c>
    </row>
    <row r="345">
      <c r="A345" s="17" t="inlineStr">
        <is>
          <t>7511</t>
        </is>
      </c>
      <c r="B345" s="18" t="inlineStr">
        <is>
          <t>Butchers, Fishmongers and Related Food Preparers</t>
        </is>
      </c>
      <c r="C345" s="18" t="inlineStr">
        <is>
          <t>모빌리티 / 자율주행 / 로보틱스</t>
        </is>
      </c>
      <c r="D345" s="17" t="inlineStr">
        <is>
          <t>02750101</t>
        </is>
      </c>
      <c r="E345" s="18" t="inlineStr">
        <is>
          <t>Butchers, Fishmongers and Related Food Preparers 관련 국가직무</t>
        </is>
      </c>
      <c r="F345" s="17" t="inlineStr">
        <is>
          <t>75110</t>
        </is>
      </c>
      <c r="G345" s="18" t="inlineStr">
        <is>
          <t>Butchers, Fishmongers and Related Food Preparers (한국 표준 직종)</t>
        </is>
      </c>
      <c r="H345" s="17" t="inlineStr">
        <is>
          <t>15-7511.00</t>
        </is>
      </c>
      <c r="I345" s="18" t="inlineStr">
        <is>
          <t>Butchers, Fishmongers and Related Food Preparers</t>
        </is>
      </c>
      <c r="J345" s="17" t="inlineStr">
        <is>
          <t>75110</t>
        </is>
      </c>
      <c r="K345" s="18" t="inlineStr">
        <is>
          <t>Butchers, Fishmongers and Related Food Preparers (CZ-ISCO)</t>
        </is>
      </c>
      <c r="L345" s="18" t="inlineStr">
        <is>
          <t>Butchers, fishmongers and related food preparers slaughter animals, clean, cut and dress meat and fish, remove bones and prepare related food items, or preserve meat, fish and other foods and food products by drying, salting or smoking.</t>
        </is>
      </c>
    </row>
    <row r="346">
      <c r="A346" s="15" t="inlineStr">
        <is>
          <t>7512</t>
        </is>
      </c>
      <c r="B346" s="16" t="inlineStr">
        <is>
          <t>Bakers, Pastry-cooks and Confectionery Makers</t>
        </is>
      </c>
      <c r="C346" s="16" t="inlineStr">
        <is>
          <t>모빌리티 / 자율주행 / 로보틱스</t>
        </is>
      </c>
      <c r="D346" s="15" t="inlineStr">
        <is>
          <t>02750101</t>
        </is>
      </c>
      <c r="E346" s="16" t="inlineStr">
        <is>
          <t>Bakers, Pastry-cooks and Confectionery Makers 관련 국가직무</t>
        </is>
      </c>
      <c r="F346" s="15" t="inlineStr">
        <is>
          <t>75120</t>
        </is>
      </c>
      <c r="G346" s="16" t="inlineStr">
        <is>
          <t>Bakers, Pastry-cooks and Confectionery Makers (한국 표준 직종)</t>
        </is>
      </c>
      <c r="H346" s="15" t="inlineStr">
        <is>
          <t>15-7511.00</t>
        </is>
      </c>
      <c r="I346" s="16" t="inlineStr">
        <is>
          <t>Bakers, Pastry-cooks and Confectionery Makers</t>
        </is>
      </c>
      <c r="J346" s="15" t="inlineStr">
        <is>
          <t>75120</t>
        </is>
      </c>
      <c r="K346" s="16" t="inlineStr">
        <is>
          <t>Bakers, Pastry-cooks and Confectionery Makers (CZ-ISCO)</t>
        </is>
      </c>
      <c r="L346" s="16" t="inlineStr">
        <is>
          <t>Bakers, pastry-cooks and confectionery makers make various kinds of bread, cakes and other flour products, as well as handmade chocolate and sugar confectionery.</t>
        </is>
      </c>
    </row>
    <row r="347">
      <c r="A347" s="17" t="inlineStr">
        <is>
          <t>7513</t>
        </is>
      </c>
      <c r="B347" s="18" t="inlineStr">
        <is>
          <t>Dairy Products Makers</t>
        </is>
      </c>
      <c r="C347" s="18" t="inlineStr">
        <is>
          <t>모빌리티 / 자율주행 / 로보틱스</t>
        </is>
      </c>
      <c r="D347" s="17" t="inlineStr">
        <is>
          <t>02750101</t>
        </is>
      </c>
      <c r="E347" s="18" t="inlineStr">
        <is>
          <t>Dairy Products Makers 관련 국가직무</t>
        </is>
      </c>
      <c r="F347" s="17" t="inlineStr">
        <is>
          <t>75130</t>
        </is>
      </c>
      <c r="G347" s="18" t="inlineStr">
        <is>
          <t>Dairy Products Makers (한국 표준 직종)</t>
        </is>
      </c>
      <c r="H347" s="17" t="inlineStr">
        <is>
          <t>15-7511.00</t>
        </is>
      </c>
      <c r="I347" s="18" t="inlineStr">
        <is>
          <t>Dairy Products Makers</t>
        </is>
      </c>
      <c r="J347" s="17" t="inlineStr">
        <is>
          <t>75130</t>
        </is>
      </c>
      <c r="K347" s="18" t="inlineStr">
        <is>
          <t>Dairy Products Makers (CZ-ISCO)</t>
        </is>
      </c>
      <c r="L347" s="18" t="inlineStr">
        <is>
          <t>Dairy products makers process butter and various types of cheese, cream or other dairy products.</t>
        </is>
      </c>
    </row>
    <row r="348">
      <c r="A348" s="15" t="inlineStr">
        <is>
          <t>7514</t>
        </is>
      </c>
      <c r="B348" s="16" t="inlineStr">
        <is>
          <t>Fruit, Vegetable and Related Preservers</t>
        </is>
      </c>
      <c r="C348" s="16" t="inlineStr">
        <is>
          <t>모빌리티 / 자율주행 / 로보틱스</t>
        </is>
      </c>
      <c r="D348" s="15" t="inlineStr">
        <is>
          <t>02750101</t>
        </is>
      </c>
      <c r="E348" s="16" t="inlineStr">
        <is>
          <t>Fruit, Vegetable and Related Preservers 관련 국가직무</t>
        </is>
      </c>
      <c r="F348" s="15" t="inlineStr">
        <is>
          <t>75140</t>
        </is>
      </c>
      <c r="G348" s="16" t="inlineStr">
        <is>
          <t>Fruit, Vegetable and Related Preservers (한국 표준 직종)</t>
        </is>
      </c>
      <c r="H348" s="15" t="inlineStr">
        <is>
          <t>15-7511.00</t>
        </is>
      </c>
      <c r="I348" s="16" t="inlineStr">
        <is>
          <t>Fruit, Vegetable and Related Preservers</t>
        </is>
      </c>
      <c r="J348" s="15" t="inlineStr">
        <is>
          <t>75140</t>
        </is>
      </c>
      <c r="K348" s="16" t="inlineStr">
        <is>
          <t>Fruit, Vegetable and Related Preservers (CZ-ISCO)</t>
        </is>
      </c>
      <c r="L348" s="16" t="inlineStr">
        <is>
          <t>Fruit, vegetable and related preservers process or preserve fruit, nuts and related foods in various ways including cooking, drying, salting, or juice or oil extraction.</t>
        </is>
      </c>
    </row>
    <row r="349">
      <c r="A349" s="17" t="inlineStr">
        <is>
          <t>7515</t>
        </is>
      </c>
      <c r="B349" s="18" t="inlineStr">
        <is>
          <t>Food and Beverage Tasters and Graders</t>
        </is>
      </c>
      <c r="C349" s="18" t="inlineStr">
        <is>
          <t>모빌리티 / 자율주행 / 로보틱스</t>
        </is>
      </c>
      <c r="D349" s="17" t="inlineStr">
        <is>
          <t>02750101</t>
        </is>
      </c>
      <c r="E349" s="18" t="inlineStr">
        <is>
          <t>Food and Beverage Tasters and Graders 관련 국가직무</t>
        </is>
      </c>
      <c r="F349" s="17" t="inlineStr">
        <is>
          <t>75150</t>
        </is>
      </c>
      <c r="G349" s="18" t="inlineStr">
        <is>
          <t>Food and Beverage Tasters and Graders (한국 표준 직종)</t>
        </is>
      </c>
      <c r="H349" s="17" t="inlineStr">
        <is>
          <t>15-7511.00</t>
        </is>
      </c>
      <c r="I349" s="18" t="inlineStr">
        <is>
          <t>Food and Beverage Tasters and Graders</t>
        </is>
      </c>
      <c r="J349" s="17" t="inlineStr">
        <is>
          <t>75150</t>
        </is>
      </c>
      <c r="K349" s="18" t="inlineStr">
        <is>
          <t>Food and Beverage Tasters and Graders (CZ-ISCO)</t>
        </is>
      </c>
      <c r="L349" s="18" t="inlineStr">
        <is>
          <t>Food and beverage tasters and graders inspect, taste and grade various types of agricultural products, food and beverages.</t>
        </is>
      </c>
    </row>
    <row r="350">
      <c r="A350" s="15" t="inlineStr">
        <is>
          <t>7516</t>
        </is>
      </c>
      <c r="B350" s="16" t="inlineStr">
        <is>
          <t>Tobacco Preparers and Tobacco Products Makers</t>
        </is>
      </c>
      <c r="C350" s="16" t="inlineStr">
        <is>
          <t>모빌리티 / 자율주행 / 로보틱스</t>
        </is>
      </c>
      <c r="D350" s="15" t="inlineStr">
        <is>
          <t>02750101</t>
        </is>
      </c>
      <c r="E350" s="16" t="inlineStr">
        <is>
          <t>Tobacco Preparers and Tobacco Products Makers 관련 국가직무</t>
        </is>
      </c>
      <c r="F350" s="15" t="inlineStr">
        <is>
          <t>75160</t>
        </is>
      </c>
      <c r="G350" s="16" t="inlineStr">
        <is>
          <t>Tobacco Preparers and Tobacco Products Makers (한국 표준 직종)</t>
        </is>
      </c>
      <c r="H350" s="15" t="inlineStr">
        <is>
          <t>15-7511.00</t>
        </is>
      </c>
      <c r="I350" s="16" t="inlineStr">
        <is>
          <t>Tobacco Preparers and Tobacco Products Makers</t>
        </is>
      </c>
      <c r="J350" s="15" t="inlineStr">
        <is>
          <t>75160</t>
        </is>
      </c>
      <c r="K350" s="16" t="inlineStr">
        <is>
          <t>Tobacco Preparers and Tobacco Products Makers (CZ-ISCO)</t>
        </is>
      </c>
      <c r="L350" s="16" t="inlineStr">
        <is>
          <t>Tobacco preparers and tobacco products makers prepare tobacco leaves and make various tobacco products.</t>
        </is>
      </c>
    </row>
    <row r="351">
      <c r="A351" s="17" t="inlineStr">
        <is>
          <t>7521</t>
        </is>
      </c>
      <c r="B351" s="18" t="inlineStr">
        <is>
          <t>Wood Treaters</t>
        </is>
      </c>
      <c r="C351" s="18" t="inlineStr">
        <is>
          <t>모빌리티 / 자율주행 / 로보틱스</t>
        </is>
      </c>
      <c r="D351" s="17" t="inlineStr">
        <is>
          <t>02750101</t>
        </is>
      </c>
      <c r="E351" s="18" t="inlineStr">
        <is>
          <t>Wood Treaters 관련 국가직무</t>
        </is>
      </c>
      <c r="F351" s="17" t="inlineStr">
        <is>
          <t>75210</t>
        </is>
      </c>
      <c r="G351" s="18" t="inlineStr">
        <is>
          <t>Wood Treaters (한국 표준 직종)</t>
        </is>
      </c>
      <c r="H351" s="17" t="inlineStr">
        <is>
          <t>15-7511.00</t>
        </is>
      </c>
      <c r="I351" s="18" t="inlineStr">
        <is>
          <t>Wood Treaters</t>
        </is>
      </c>
      <c r="J351" s="17" t="inlineStr">
        <is>
          <t>75210</t>
        </is>
      </c>
      <c r="K351" s="18" t="inlineStr">
        <is>
          <t>Wood Treaters (CZ-ISCO)</t>
        </is>
      </c>
      <c r="L351" s="18" t="inlineStr">
        <is>
          <t>Wood treaters season, preserve and treat wood and lumber manually or using wood treatment equipment such as kilns and tanks.</t>
        </is>
      </c>
    </row>
    <row r="352">
      <c r="A352" s="15" t="inlineStr">
        <is>
          <t>7522</t>
        </is>
      </c>
      <c r="B352" s="16" t="inlineStr">
        <is>
          <t>Cabinet-makers and Related Workers</t>
        </is>
      </c>
      <c r="C352" s="16" t="inlineStr">
        <is>
          <t>모빌리티 / 자율주행 / 로보틱스</t>
        </is>
      </c>
      <c r="D352" s="15" t="inlineStr">
        <is>
          <t>02750101</t>
        </is>
      </c>
      <c r="E352" s="16" t="inlineStr">
        <is>
          <t>Cabinet-makers and Related Workers 관련 국가직무</t>
        </is>
      </c>
      <c r="F352" s="15" t="inlineStr">
        <is>
          <t>75220</t>
        </is>
      </c>
      <c r="G352" s="16" t="inlineStr">
        <is>
          <t>Cabinet-makers and Related Workers (한국 표준 직종)</t>
        </is>
      </c>
      <c r="H352" s="15" t="inlineStr">
        <is>
          <t>15-7511.00</t>
        </is>
      </c>
      <c r="I352" s="16" t="inlineStr">
        <is>
          <t>Cabinet-makers and Related Workers</t>
        </is>
      </c>
      <c r="J352" s="15" t="inlineStr">
        <is>
          <t>75220</t>
        </is>
      </c>
      <c r="K352" s="16" t="inlineStr">
        <is>
          <t>Cabinet-makers and Related Workers (CZ-ISCO)</t>
        </is>
      </c>
      <c r="L352" s="16" t="inlineStr">
        <is>
          <t>Cabinet-makers and related workers make, decorate and repair wooden furniture, carts and other vehicles, wheels, parts, fittings, patterns, models and other wooden products using woodworking machines, machine tools and specialized hand tools.</t>
        </is>
      </c>
    </row>
    <row r="353">
      <c r="A353" s="17" t="inlineStr">
        <is>
          <t>7523</t>
        </is>
      </c>
      <c r="B353" s="18" t="inlineStr">
        <is>
          <t>Woodworking Machine Tool Setters and Operators</t>
        </is>
      </c>
      <c r="C353" s="18" t="inlineStr">
        <is>
          <t>모빌리티 / 자율주행 / 로보틱스</t>
        </is>
      </c>
      <c r="D353" s="17" t="inlineStr">
        <is>
          <t>02750101</t>
        </is>
      </c>
      <c r="E353" s="18" t="inlineStr">
        <is>
          <t>Woodworking Machine Tool Setters and Operators 관련 국가직무</t>
        </is>
      </c>
      <c r="F353" s="17" t="inlineStr">
        <is>
          <t>75230</t>
        </is>
      </c>
      <c r="G353" s="18" t="inlineStr">
        <is>
          <t>Woodworking Machine Tool Setters and Operators (한국 표준 직종)</t>
        </is>
      </c>
      <c r="H353" s="17" t="inlineStr">
        <is>
          <t>15-7511.00</t>
        </is>
      </c>
      <c r="I353" s="18" t="inlineStr">
        <is>
          <t>Woodworking Machine Tool Setters and Operators</t>
        </is>
      </c>
      <c r="J353" s="17" t="inlineStr">
        <is>
          <t>75230</t>
        </is>
      </c>
      <c r="K353" s="18" t="inlineStr">
        <is>
          <t>Woodworking Machine Tool Setters and Operators (CZ-ISCO)</t>
        </is>
      </c>
      <c r="L353" s="18"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c>
    </row>
    <row r="354">
      <c r="A354" s="15" t="inlineStr">
        <is>
          <t>7531</t>
        </is>
      </c>
      <c r="B354" s="16" t="inlineStr">
        <is>
          <t>Tailors, Dressmakers, Furriers and Hatters</t>
        </is>
      </c>
      <c r="C354" s="16" t="inlineStr">
        <is>
          <t>모빌리티 / 자율주행 / 로보틱스</t>
        </is>
      </c>
      <c r="D354" s="15" t="inlineStr">
        <is>
          <t>02750101</t>
        </is>
      </c>
      <c r="E354" s="16" t="inlineStr">
        <is>
          <t>Tailors, Dressmakers, Furriers and Hatters 관련 국가직무</t>
        </is>
      </c>
      <c r="F354" s="15" t="inlineStr">
        <is>
          <t>75310</t>
        </is>
      </c>
      <c r="G354" s="16" t="inlineStr">
        <is>
          <t>Tailors, Dressmakers, Furriers and Hatters (한국 표준 직종)</t>
        </is>
      </c>
      <c r="H354" s="15" t="inlineStr">
        <is>
          <t>15-7511.00</t>
        </is>
      </c>
      <c r="I354" s="16" t="inlineStr">
        <is>
          <t>Tailors, Dressmakers, Furriers and Hatters</t>
        </is>
      </c>
      <c r="J354" s="15" t="inlineStr">
        <is>
          <t>75310</t>
        </is>
      </c>
      <c r="K354" s="16" t="inlineStr">
        <is>
          <t>Tailors, Dressmakers, Furriers and Hatters (CZ-ISCO)</t>
        </is>
      </c>
      <c r="L354" s="16"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t>
        </is>
      </c>
    </row>
    <row r="355">
      <c r="A355" s="17" t="inlineStr">
        <is>
          <t>7532</t>
        </is>
      </c>
      <c r="B355" s="18" t="inlineStr">
        <is>
          <t>Garment and Related Patternmakers and Cutters</t>
        </is>
      </c>
      <c r="C355" s="18" t="inlineStr">
        <is>
          <t>모빌리티 / 자율주행 / 로보틱스</t>
        </is>
      </c>
      <c r="D355" s="17" t="inlineStr">
        <is>
          <t>02750101</t>
        </is>
      </c>
      <c r="E355" s="18" t="inlineStr">
        <is>
          <t>Garment and Related Patternmakers and Cutters 관련 국가직무</t>
        </is>
      </c>
      <c r="F355" s="17" t="inlineStr">
        <is>
          <t>75320</t>
        </is>
      </c>
      <c r="G355" s="18" t="inlineStr">
        <is>
          <t>Garment and Related Patternmakers and Cutters (한국 표준 직종)</t>
        </is>
      </c>
      <c r="H355" s="17" t="inlineStr">
        <is>
          <t>15-7511.00</t>
        </is>
      </c>
      <c r="I355" s="18" t="inlineStr">
        <is>
          <t>Garment and Related Patternmakers and Cutters</t>
        </is>
      </c>
      <c r="J355" s="17" t="inlineStr">
        <is>
          <t>75320</t>
        </is>
      </c>
      <c r="K355" s="18" t="inlineStr">
        <is>
          <t>Garment and Related Patternmakers and Cutters (CZ-ISCO)</t>
        </is>
      </c>
      <c r="L355" s="18"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t>
        </is>
      </c>
    </row>
    <row r="356">
      <c r="A356" s="15" t="inlineStr">
        <is>
          <t>7533</t>
        </is>
      </c>
      <c r="B356" s="16" t="inlineStr">
        <is>
          <t>Sewing, Embroidery and Related Workers</t>
        </is>
      </c>
      <c r="C356" s="16" t="inlineStr">
        <is>
          <t>모빌리티 / 자율주행 / 로보틱스</t>
        </is>
      </c>
      <c r="D356" s="15" t="inlineStr">
        <is>
          <t>02750101</t>
        </is>
      </c>
      <c r="E356" s="16" t="inlineStr">
        <is>
          <t>Sewing, Embroidery and Related Workers 관련 국가직무</t>
        </is>
      </c>
      <c r="F356" s="15" t="inlineStr">
        <is>
          <t>75330</t>
        </is>
      </c>
      <c r="G356" s="16" t="inlineStr">
        <is>
          <t>Sewing, Embroidery and Related Workers (한국 표준 직종)</t>
        </is>
      </c>
      <c r="H356" s="15" t="inlineStr">
        <is>
          <t>15-7511.00</t>
        </is>
      </c>
      <c r="I356" s="16" t="inlineStr">
        <is>
          <t>Sewing, Embroidery and Related Workers</t>
        </is>
      </c>
      <c r="J356" s="15" t="inlineStr">
        <is>
          <t>75330</t>
        </is>
      </c>
      <c r="K356" s="16" t="inlineStr">
        <is>
          <t>Sewing, Embroidery and Related Workers (CZ-ISCO)</t>
        </is>
      </c>
      <c r="L356" s="16"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t>
        </is>
      </c>
    </row>
    <row r="357">
      <c r="A357" s="17" t="inlineStr">
        <is>
          <t>7534</t>
        </is>
      </c>
      <c r="B357" s="18" t="inlineStr">
        <is>
          <t>Upholsterers and Related Workers</t>
        </is>
      </c>
      <c r="C357" s="18" t="inlineStr">
        <is>
          <t>모빌리티 / 자율주행 / 로보틱스</t>
        </is>
      </c>
      <c r="D357" s="17" t="inlineStr">
        <is>
          <t>02750101</t>
        </is>
      </c>
      <c r="E357" s="18" t="inlineStr">
        <is>
          <t>Upholsterers and Related Workers 관련 국가직무</t>
        </is>
      </c>
      <c r="F357" s="17" t="inlineStr">
        <is>
          <t>75340</t>
        </is>
      </c>
      <c r="G357" s="18" t="inlineStr">
        <is>
          <t>Upholsterers and Related Workers (한국 표준 직종)</t>
        </is>
      </c>
      <c r="H357" s="17" t="inlineStr">
        <is>
          <t>15-7511.00</t>
        </is>
      </c>
      <c r="I357" s="18" t="inlineStr">
        <is>
          <t>Upholsterers and Related Workers</t>
        </is>
      </c>
      <c r="J357" s="17" t="inlineStr">
        <is>
          <t>75340</t>
        </is>
      </c>
      <c r="K357" s="18" t="inlineStr">
        <is>
          <t>Upholsterers and Related Workers (CZ-ISCO)</t>
        </is>
      </c>
      <c r="L357" s="18" t="inlineStr">
        <is>
          <t xml:space="preserve">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t>
        </is>
      </c>
    </row>
    <row r="358">
      <c r="A358" s="15" t="inlineStr">
        <is>
          <t>7535</t>
        </is>
      </c>
      <c r="B358" s="16" t="inlineStr">
        <is>
          <t>Pelt Dressers, Tanners and Fellmongers</t>
        </is>
      </c>
      <c r="C358" s="16" t="inlineStr">
        <is>
          <t>모빌리티 / 자율주행 / 로보틱스</t>
        </is>
      </c>
      <c r="D358" s="15" t="inlineStr">
        <is>
          <t>02750101</t>
        </is>
      </c>
      <c r="E358" s="16" t="inlineStr">
        <is>
          <t>Pelt Dressers, Tanners and Fellmongers 관련 국가직무</t>
        </is>
      </c>
      <c r="F358" s="15" t="inlineStr">
        <is>
          <t>75350</t>
        </is>
      </c>
      <c r="G358" s="16" t="inlineStr">
        <is>
          <t>Pelt Dressers, Tanners and Fellmongers (한국 표준 직종)</t>
        </is>
      </c>
      <c r="H358" s="15" t="inlineStr">
        <is>
          <t>15-7511.00</t>
        </is>
      </c>
      <c r="I358" s="16" t="inlineStr">
        <is>
          <t>Pelt Dressers, Tanners and Fellmongers</t>
        </is>
      </c>
      <c r="J358" s="15" t="inlineStr">
        <is>
          <t>75350</t>
        </is>
      </c>
      <c r="K358" s="16" t="inlineStr">
        <is>
          <t>Pelt Dressers, Tanners and Fellmongers (CZ-ISCO)</t>
        </is>
      </c>
      <c r="L358" s="16" t="inlineStr">
        <is>
          <t>Pelt dressers, tanners and fellmongers trim, scrape, clean, tan, buff and dye animal hides, pelts or skins to produce leather stock and finished furs for making garments and other products.</t>
        </is>
      </c>
    </row>
    <row r="359">
      <c r="A359" s="17" t="inlineStr">
        <is>
          <t>7536</t>
        </is>
      </c>
      <c r="B359" s="18" t="inlineStr">
        <is>
          <t>Shoemakers and Related Workers</t>
        </is>
      </c>
      <c r="C359" s="18" t="inlineStr">
        <is>
          <t>모빌리티 / 자율주행 / 로보틱스</t>
        </is>
      </c>
      <c r="D359" s="17" t="inlineStr">
        <is>
          <t>02750101</t>
        </is>
      </c>
      <c r="E359" s="18" t="inlineStr">
        <is>
          <t>Shoemakers and Related Workers 관련 국가직무</t>
        </is>
      </c>
      <c r="F359" s="17" t="inlineStr">
        <is>
          <t>75360</t>
        </is>
      </c>
      <c r="G359" s="18" t="inlineStr">
        <is>
          <t>Shoemakers and Related Workers (한국 표준 직종)</t>
        </is>
      </c>
      <c r="H359" s="17" t="inlineStr">
        <is>
          <t>15-7511.00</t>
        </is>
      </c>
      <c r="I359" s="18" t="inlineStr">
        <is>
          <t>Shoemakers and Related Workers</t>
        </is>
      </c>
      <c r="J359" s="17" t="inlineStr">
        <is>
          <t>75360</t>
        </is>
      </c>
      <c r="K359" s="18" t="inlineStr">
        <is>
          <t>Shoemakers and Related Workers (CZ-ISCO)</t>
        </is>
      </c>
      <c r="L359" s="18"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t>
        </is>
      </c>
    </row>
    <row r="360">
      <c r="A360" s="15" t="inlineStr">
        <is>
          <t>7541</t>
        </is>
      </c>
      <c r="B360" s="16" t="inlineStr">
        <is>
          <t>Underwater Divers</t>
        </is>
      </c>
      <c r="C360" s="16" t="inlineStr">
        <is>
          <t>모빌리티 / 자율주행 / 로보틱스</t>
        </is>
      </c>
      <c r="D360" s="15" t="inlineStr">
        <is>
          <t>02750101</t>
        </is>
      </c>
      <c r="E360" s="16" t="inlineStr">
        <is>
          <t>Underwater Divers 관련 국가직무</t>
        </is>
      </c>
      <c r="F360" s="15" t="inlineStr">
        <is>
          <t>75410</t>
        </is>
      </c>
      <c r="G360" s="16" t="inlineStr">
        <is>
          <t>Underwater Divers (한국 표준 직종)</t>
        </is>
      </c>
      <c r="H360" s="15" t="inlineStr">
        <is>
          <t>15-7511.00</t>
        </is>
      </c>
      <c r="I360" s="16" t="inlineStr">
        <is>
          <t>Underwater Divers</t>
        </is>
      </c>
      <c r="J360" s="15" t="inlineStr">
        <is>
          <t>75410</t>
        </is>
      </c>
      <c r="K360" s="16" t="inlineStr">
        <is>
          <t>Underwater Divers (CZ-ISCO)</t>
        </is>
      </c>
      <c r="L360" s="16"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t>
        </is>
      </c>
    </row>
    <row r="361">
      <c r="A361" s="17" t="inlineStr">
        <is>
          <t>7542</t>
        </is>
      </c>
      <c r="B361" s="18" t="inlineStr">
        <is>
          <t>Shotfirers and Blasters</t>
        </is>
      </c>
      <c r="C361" s="18" t="inlineStr">
        <is>
          <t>모빌리티 / 자율주행 / 로보틱스</t>
        </is>
      </c>
      <c r="D361" s="17" t="inlineStr">
        <is>
          <t>02750101</t>
        </is>
      </c>
      <c r="E361" s="18" t="inlineStr">
        <is>
          <t>Shotfirers and Blasters 관련 국가직무</t>
        </is>
      </c>
      <c r="F361" s="17" t="inlineStr">
        <is>
          <t>75420</t>
        </is>
      </c>
      <c r="G361" s="18" t="inlineStr">
        <is>
          <t>Shotfirers and Blasters (한국 표준 직종)</t>
        </is>
      </c>
      <c r="H361" s="17" t="inlineStr">
        <is>
          <t>15-7511.00</t>
        </is>
      </c>
      <c r="I361" s="18" t="inlineStr">
        <is>
          <t>Shotfirers and Blasters</t>
        </is>
      </c>
      <c r="J361" s="17" t="inlineStr">
        <is>
          <t>75420</t>
        </is>
      </c>
      <c r="K361" s="18" t="inlineStr">
        <is>
          <t>Shotfirers and Blasters (CZ-ISCO)</t>
        </is>
      </c>
      <c r="L361" s="18" t="inlineStr">
        <is>
          <t>Shotfirers and blasters position, assemble, and detonate explosives at mining, quarrying and demolition sites.</t>
        </is>
      </c>
    </row>
    <row r="362">
      <c r="A362" s="15" t="inlineStr">
        <is>
          <t>7543</t>
        </is>
      </c>
      <c r="B362" s="16" t="inlineStr">
        <is>
          <t>Product Graders and Testers (except Foods and Beverages)</t>
        </is>
      </c>
      <c r="C362" s="16" t="inlineStr">
        <is>
          <t>모빌리티 / 자율주행 / 로보틱스</t>
        </is>
      </c>
      <c r="D362" s="15" t="inlineStr">
        <is>
          <t>02750101</t>
        </is>
      </c>
      <c r="E362" s="16" t="inlineStr">
        <is>
          <t>Product Graders and Testers (except Foods and Beverages) 관련 국가직무</t>
        </is>
      </c>
      <c r="F362" s="15" t="inlineStr">
        <is>
          <t>75430</t>
        </is>
      </c>
      <c r="G362" s="16" t="inlineStr">
        <is>
          <t>Product Graders and Testers (except Foods and Beverages) (한국 표준 직종)</t>
        </is>
      </c>
      <c r="H362" s="15" t="inlineStr">
        <is>
          <t>15-7511.00</t>
        </is>
      </c>
      <c r="I362" s="16" t="inlineStr">
        <is>
          <t>Product Graders and Testers (except Foods and Beverages)</t>
        </is>
      </c>
      <c r="J362" s="15" t="inlineStr">
        <is>
          <t>75430</t>
        </is>
      </c>
      <c r="K362" s="16" t="inlineStr">
        <is>
          <t>Product Graders and Testers (except Foods and Beverages) (CZ-ISCO)</t>
        </is>
      </c>
      <c r="L362" s="16"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t>
        </is>
      </c>
    </row>
    <row r="363">
      <c r="A363" s="17" t="inlineStr">
        <is>
          <t>7544</t>
        </is>
      </c>
      <c r="B363" s="18" t="inlineStr">
        <is>
          <t>Fumigators and Other Pest and Weed Controllers</t>
        </is>
      </c>
      <c r="C363" s="18" t="inlineStr">
        <is>
          <t>모빌리티 / 자율주행 / 로보틱스</t>
        </is>
      </c>
      <c r="D363" s="17" t="inlineStr">
        <is>
          <t>02750101</t>
        </is>
      </c>
      <c r="E363" s="18" t="inlineStr">
        <is>
          <t>Fumigators and Other Pest and Weed Controllers 관련 국가직무</t>
        </is>
      </c>
      <c r="F363" s="17" t="inlineStr">
        <is>
          <t>75440</t>
        </is>
      </c>
      <c r="G363" s="18" t="inlineStr">
        <is>
          <t>Fumigators and Other Pest and Weed Controllers (한국 표준 직종)</t>
        </is>
      </c>
      <c r="H363" s="17" t="inlineStr">
        <is>
          <t>15-7511.00</t>
        </is>
      </c>
      <c r="I363" s="18" t="inlineStr">
        <is>
          <t>Fumigators and Other Pest and Weed Controllers</t>
        </is>
      </c>
      <c r="J363" s="17" t="inlineStr">
        <is>
          <t>75440</t>
        </is>
      </c>
      <c r="K363" s="18" t="inlineStr">
        <is>
          <t>Fumigators and Other Pest and Weed Controllers (CZ-ISCO)</t>
        </is>
      </c>
      <c r="L363" s="18" t="inlineStr">
        <is>
          <t>Fumigators and other pest and weed controllers use chemicals to remove harmful insects, small animals, wild plants and other unwanted organisms, to prevent damage to crops and to buildings and other structures and their surroundings, and to prevent health risks.</t>
        </is>
      </c>
    </row>
    <row r="364">
      <c r="A364" s="15" t="inlineStr">
        <is>
          <t>7549</t>
        </is>
      </c>
      <c r="B364" s="16" t="inlineStr">
        <is>
          <t>Craft and Related Workers not Elsewhere Classified</t>
        </is>
      </c>
      <c r="C364" s="16" t="inlineStr">
        <is>
          <t>모빌리티 / 자율주행 / 로보틱스</t>
        </is>
      </c>
      <c r="D364" s="15" t="inlineStr">
        <is>
          <t>02750101</t>
        </is>
      </c>
      <c r="E364" s="16" t="inlineStr">
        <is>
          <t>Craft and Related Workers not Elsewhere Classified 관련 국가직무</t>
        </is>
      </c>
      <c r="F364" s="15" t="inlineStr">
        <is>
          <t>75490</t>
        </is>
      </c>
      <c r="G364" s="16" t="inlineStr">
        <is>
          <t>Craft and Related Workers not Elsewhere Classified (한국 표준 직종)</t>
        </is>
      </c>
      <c r="H364" s="15" t="inlineStr">
        <is>
          <t>15-7511.00</t>
        </is>
      </c>
      <c r="I364" s="16" t="inlineStr">
        <is>
          <t>Craft and Related Workers not Elsewhere Classified</t>
        </is>
      </c>
      <c r="J364" s="15" t="inlineStr">
        <is>
          <t>75490</t>
        </is>
      </c>
      <c r="K364" s="16" t="inlineStr">
        <is>
          <t>Craft and Related Workers not Elsewhere Classified (CZ-ISCO)</t>
        </is>
      </c>
      <c r="L364" s="16" t="inlineStr">
        <is>
          <t>This group covers craft and trade occupations not classified elsewhere in Major Group 7: Craft and Related Trades Workers. For instance, the group includes those who mould, slice, grind and polish optical lenses and those who arrange flowers for display.</t>
        </is>
      </c>
    </row>
    <row r="365">
      <c r="A365" s="17" t="inlineStr">
        <is>
          <t>8111</t>
        </is>
      </c>
      <c r="B365" s="18" t="inlineStr">
        <is>
          <t>Miners and Quarriers</t>
        </is>
      </c>
      <c r="C365" s="18" t="inlineStr">
        <is>
          <t>배터리 / 신소재 / 에너지</t>
        </is>
      </c>
      <c r="D365" s="17" t="inlineStr">
        <is>
          <t>17010101</t>
        </is>
      </c>
      <c r="E365" s="18" t="inlineStr">
        <is>
          <t>Miners and Quarriers 관련 국가직무</t>
        </is>
      </c>
      <c r="F365" s="17" t="inlineStr">
        <is>
          <t>81110</t>
        </is>
      </c>
      <c r="G365" s="18" t="inlineStr">
        <is>
          <t>Miners and Quarriers (한국 표준 직종)</t>
        </is>
      </c>
      <c r="H365" s="17" t="inlineStr">
        <is>
          <t>51-8013.00</t>
        </is>
      </c>
      <c r="I365" s="18" t="inlineStr">
        <is>
          <t>Miners and Quarriers</t>
        </is>
      </c>
      <c r="J365" s="17" t="inlineStr">
        <is>
          <t>81110</t>
        </is>
      </c>
      <c r="K365" s="18" t="inlineStr">
        <is>
          <t>Miners and Quarriers (CZ-ISCO)</t>
        </is>
      </c>
      <c r="L365" s="18" t="inlineStr">
        <is>
          <t>Miners and quarriers operate plant, machinery and hand tools to extract rock, mineral ores and other deposits from underground and surface mines and quarries.</t>
        </is>
      </c>
    </row>
    <row r="366">
      <c r="A366" s="15" t="inlineStr">
        <is>
          <t>8112</t>
        </is>
      </c>
      <c r="B366" s="16" t="inlineStr">
        <is>
          <t>Mineral and Stone Processing Plant Operators</t>
        </is>
      </c>
      <c r="C366" s="16" t="inlineStr">
        <is>
          <t>배터리 / 신소재 / 에너지</t>
        </is>
      </c>
      <c r="D366" s="15" t="inlineStr">
        <is>
          <t>17010101</t>
        </is>
      </c>
      <c r="E366" s="16" t="inlineStr">
        <is>
          <t>Mineral and Stone Processing Plant Operators 관련 국가직무</t>
        </is>
      </c>
      <c r="F366" s="15" t="inlineStr">
        <is>
          <t>81120</t>
        </is>
      </c>
      <c r="G366" s="16" t="inlineStr">
        <is>
          <t>Mineral and Stone Processing Plant Operators (한국 표준 직종)</t>
        </is>
      </c>
      <c r="H366" s="15" t="inlineStr">
        <is>
          <t>51-8013.00</t>
        </is>
      </c>
      <c r="I366" s="16" t="inlineStr">
        <is>
          <t>Mineral and Stone Processing Plant Operators</t>
        </is>
      </c>
      <c r="J366" s="15" t="inlineStr">
        <is>
          <t>81120</t>
        </is>
      </c>
      <c r="K366" s="16" t="inlineStr">
        <is>
          <t>Mineral and Stone Processing Plant Operators (CZ-ISCO)</t>
        </is>
      </c>
      <c r="L366" s="16" t="inlineStr">
        <is>
          <t>Mineral and stone processing plant operators operate and monitor machinery and equipment for processing rocks, minerals and stone to recover refined products for immediate use or further processing.</t>
        </is>
      </c>
    </row>
    <row r="367">
      <c r="A367" s="17" t="inlineStr">
        <is>
          <t>8113</t>
        </is>
      </c>
      <c r="B367" s="18" t="inlineStr">
        <is>
          <t>Well Drillers and Borers and Related Workers</t>
        </is>
      </c>
      <c r="C367" s="18" t="inlineStr">
        <is>
          <t>배터리 / 신소재 / 에너지</t>
        </is>
      </c>
      <c r="D367" s="17" t="inlineStr">
        <is>
          <t>17010101</t>
        </is>
      </c>
      <c r="E367" s="18" t="inlineStr">
        <is>
          <t>Well Drillers and Borers and Related Workers 관련 국가직무</t>
        </is>
      </c>
      <c r="F367" s="17" t="inlineStr">
        <is>
          <t>81130</t>
        </is>
      </c>
      <c r="G367" s="18" t="inlineStr">
        <is>
          <t>Well Drillers and Borers and Related Workers (한국 표준 직종)</t>
        </is>
      </c>
      <c r="H367" s="17" t="inlineStr">
        <is>
          <t>51-8013.00</t>
        </is>
      </c>
      <c r="I367" s="18" t="inlineStr">
        <is>
          <t>Well Drillers and Borers and Related Workers</t>
        </is>
      </c>
      <c r="J367" s="17" t="inlineStr">
        <is>
          <t>81130</t>
        </is>
      </c>
      <c r="K367" s="18" t="inlineStr">
        <is>
          <t>Well Drillers and Borers and Related Workers (CZ-ISCO)</t>
        </is>
      </c>
      <c r="L367" s="18" t="inlineStr">
        <is>
          <t>Well drillers and borers and related workers position, assemble and operate drilling machinery and related equipment to sink wells, extract rock samples, liquids and gases or for a variety of other purposes.</t>
        </is>
      </c>
    </row>
    <row r="368">
      <c r="A368" s="15" t="inlineStr">
        <is>
          <t>8114</t>
        </is>
      </c>
      <c r="B368" s="16" t="inlineStr">
        <is>
          <t>Cement, Stone and Other Mineral Products Machine Operators</t>
        </is>
      </c>
      <c r="C368" s="16" t="inlineStr">
        <is>
          <t>배터리 / 신소재 / 에너지</t>
        </is>
      </c>
      <c r="D368" s="15" t="inlineStr">
        <is>
          <t>17010101</t>
        </is>
      </c>
      <c r="E368" s="16" t="inlineStr">
        <is>
          <t>Cement, Stone and Other Mineral Products Machine Operators 관련 국가직무</t>
        </is>
      </c>
      <c r="F368" s="15" t="inlineStr">
        <is>
          <t>81140</t>
        </is>
      </c>
      <c r="G368" s="16" t="inlineStr">
        <is>
          <t>Cement, Stone and Other Mineral Products Machine Operators (한국 표준 직종)</t>
        </is>
      </c>
      <c r="H368" s="15" t="inlineStr">
        <is>
          <t>51-8013.00</t>
        </is>
      </c>
      <c r="I368" s="16" t="inlineStr">
        <is>
          <t>Cement, Stone and Other Mineral Products Machine Operators</t>
        </is>
      </c>
      <c r="J368" s="15" t="inlineStr">
        <is>
          <t>81140</t>
        </is>
      </c>
      <c r="K368" s="16" t="inlineStr">
        <is>
          <t>Cement, Stone and Other Mineral Products Machine Operators (CZ-ISCO)</t>
        </is>
      </c>
      <c r="L368" s="16" t="inlineStr">
        <is>
          <t>Cement, stone and other mineral products machine operators monitor and operate machines for manufacturing and finishing precast concrete, bitumen and stone products, and making cast stone for building purposes.</t>
        </is>
      </c>
    </row>
    <row r="369">
      <c r="A369" s="17" t="inlineStr">
        <is>
          <t>8121</t>
        </is>
      </c>
      <c r="B369" s="18" t="inlineStr">
        <is>
          <t>Metal Processing Plant Operators</t>
        </is>
      </c>
      <c r="C369" s="18" t="inlineStr">
        <is>
          <t>배터리 / 신소재 / 에너지</t>
        </is>
      </c>
      <c r="D369" s="17" t="inlineStr">
        <is>
          <t>17010101</t>
        </is>
      </c>
      <c r="E369" s="18" t="inlineStr">
        <is>
          <t>Metal Processing Plant Operators 관련 국가직무</t>
        </is>
      </c>
      <c r="F369" s="17" t="inlineStr">
        <is>
          <t>81210</t>
        </is>
      </c>
      <c r="G369" s="18" t="inlineStr">
        <is>
          <t>Metal Processing Plant Operators (한국 표준 직종)</t>
        </is>
      </c>
      <c r="H369" s="17" t="inlineStr">
        <is>
          <t>51-8013.00</t>
        </is>
      </c>
      <c r="I369" s="18" t="inlineStr">
        <is>
          <t>Metal Processing Plant Operators</t>
        </is>
      </c>
      <c r="J369" s="17" t="inlineStr">
        <is>
          <t>81210</t>
        </is>
      </c>
      <c r="K369" s="18" t="inlineStr">
        <is>
          <t>Metal Processing Plant Operators (CZ-ISCO)</t>
        </is>
      </c>
      <c r="L369" s="18" t="inlineStr">
        <is>
          <t>Metal processing plant operators, monitor, operate, adjust and maintain single-function process machinery and equipment to process and convert mineral ores and refine, harden, roll and extrude metals.</t>
        </is>
      </c>
    </row>
    <row r="370">
      <c r="A370" s="15" t="inlineStr">
        <is>
          <t>8122</t>
        </is>
      </c>
      <c r="B370" s="16" t="inlineStr">
        <is>
          <t>Metal Finishing, Plating and Coating Machine Operators</t>
        </is>
      </c>
      <c r="C370" s="16" t="inlineStr">
        <is>
          <t>배터리 / 신소재 / 에너지</t>
        </is>
      </c>
      <c r="D370" s="15" t="inlineStr">
        <is>
          <t>17010101</t>
        </is>
      </c>
      <c r="E370" s="16" t="inlineStr">
        <is>
          <t>Metal Finishing, Plating and Coating Machine Operators 관련 국가직무</t>
        </is>
      </c>
      <c r="F370" s="15" t="inlineStr">
        <is>
          <t>81220</t>
        </is>
      </c>
      <c r="G370" s="16" t="inlineStr">
        <is>
          <t>Metal Finishing, Plating and Coating Machine Operators (한국 표준 직종)</t>
        </is>
      </c>
      <c r="H370" s="15" t="inlineStr">
        <is>
          <t>51-8013.00</t>
        </is>
      </c>
      <c r="I370" s="16" t="inlineStr">
        <is>
          <t>Metal Finishing, Plating and Coating Machine Operators</t>
        </is>
      </c>
      <c r="J370" s="15" t="inlineStr">
        <is>
          <t>81220</t>
        </is>
      </c>
      <c r="K370" s="16" t="inlineStr">
        <is>
          <t>Metal Finishing, Plating and Coating Machine Operators (CZ-ISCO)</t>
        </is>
      </c>
      <c r="L370" s="16" t="inlineStr">
        <is>
          <t>Photographic-products machine operators operate and monitor equipment which makes photographic film and paper, and which processes exposed photographic film and makes prints.</t>
        </is>
      </c>
    </row>
    <row r="371">
      <c r="A371" s="17" t="inlineStr">
        <is>
          <t>8131</t>
        </is>
      </c>
      <c r="B371" s="18" t="inlineStr">
        <is>
          <t>Chemical Products Plant and Machine Operators</t>
        </is>
      </c>
      <c r="C371" s="18" t="inlineStr">
        <is>
          <t>배터리 / 신소재 / 에너지</t>
        </is>
      </c>
      <c r="D371" s="17" t="inlineStr">
        <is>
          <t>17010101</t>
        </is>
      </c>
      <c r="E371" s="18" t="inlineStr">
        <is>
          <t>Chemical Products Plant and Machine Operators 관련 국가직무</t>
        </is>
      </c>
      <c r="F371" s="17" t="inlineStr">
        <is>
          <t>81310</t>
        </is>
      </c>
      <c r="G371" s="18" t="inlineStr">
        <is>
          <t>Chemical Products Plant and Machine Operators (한국 표준 직종)</t>
        </is>
      </c>
      <c r="H371" s="17" t="inlineStr">
        <is>
          <t>51-8013.00</t>
        </is>
      </c>
      <c r="I371" s="18" t="inlineStr">
        <is>
          <t>Chemical Products Plant and Machine Operators</t>
        </is>
      </c>
      <c r="J371" s="17" t="inlineStr">
        <is>
          <t>81310</t>
        </is>
      </c>
      <c r="K371" s="18" t="inlineStr">
        <is>
          <t>Chemical Products Plant and Machine Operators (CZ-ISCO)</t>
        </is>
      </c>
      <c r="L371" s="18" t="inlineStr">
        <is>
          <t>Chemical products plant and machine operators operate and monitor units and machinery to blend, mix, process and package a wide range of chemical products.</t>
        </is>
      </c>
    </row>
    <row r="372">
      <c r="A372" s="15" t="inlineStr">
        <is>
          <t>8132</t>
        </is>
      </c>
      <c r="B372" s="16" t="inlineStr">
        <is>
          <t>Photographic Products Machine Operators</t>
        </is>
      </c>
      <c r="C372" s="16" t="inlineStr">
        <is>
          <t>배터리 / 신소재 / 에너지</t>
        </is>
      </c>
      <c r="D372" s="15" t="inlineStr">
        <is>
          <t>17010101</t>
        </is>
      </c>
      <c r="E372" s="16" t="inlineStr">
        <is>
          <t>Photographic Products Machine Operators 관련 국가직무</t>
        </is>
      </c>
      <c r="F372" s="15" t="inlineStr">
        <is>
          <t>81320</t>
        </is>
      </c>
      <c r="G372" s="16" t="inlineStr">
        <is>
          <t>Photographic Products Machine Operators (한국 표준 직종)</t>
        </is>
      </c>
      <c r="H372" s="15" t="inlineStr">
        <is>
          <t>51-8013.00</t>
        </is>
      </c>
      <c r="I372" s="16" t="inlineStr">
        <is>
          <t>Photographic Products Machine Operators</t>
        </is>
      </c>
      <c r="J372" s="15" t="inlineStr">
        <is>
          <t>81320</t>
        </is>
      </c>
      <c r="K372" s="16" t="inlineStr">
        <is>
          <t>Photographic Products Machine Operators (CZ-ISCO)</t>
        </is>
      </c>
      <c r="L372" s="16" t="inlineStr">
        <is>
          <t>Photographic products machine operators operate and monitor equipment which makes photographic film and paper, and which processes exposed photographic film and makes prints.</t>
        </is>
      </c>
    </row>
    <row r="373">
      <c r="A373" s="17" t="inlineStr">
        <is>
          <t>8141</t>
        </is>
      </c>
      <c r="B373" s="18" t="inlineStr">
        <is>
          <t>Rubber Products Machine Operators</t>
        </is>
      </c>
      <c r="C373" s="18" t="inlineStr">
        <is>
          <t>배터리 / 신소재 / 에너지</t>
        </is>
      </c>
      <c r="D373" s="17" t="inlineStr">
        <is>
          <t>17010101</t>
        </is>
      </c>
      <c r="E373" s="18" t="inlineStr">
        <is>
          <t>Rubber Products Machine Operators 관련 국가직무</t>
        </is>
      </c>
      <c r="F373" s="17" t="inlineStr">
        <is>
          <t>81410</t>
        </is>
      </c>
      <c r="G373" s="18" t="inlineStr">
        <is>
          <t>Rubber Products Machine Operators (한국 표준 직종)</t>
        </is>
      </c>
      <c r="H373" s="17" t="inlineStr">
        <is>
          <t>51-8013.00</t>
        </is>
      </c>
      <c r="I373" s="18" t="inlineStr">
        <is>
          <t>Rubber Products Machine Operators</t>
        </is>
      </c>
      <c r="J373" s="17" t="inlineStr">
        <is>
          <t>81410</t>
        </is>
      </c>
      <c r="K373" s="18" t="inlineStr">
        <is>
          <t>Rubber Products Machine Operators (CZ-ISCO)</t>
        </is>
      </c>
      <c r="L373" s="18"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c>
    </row>
    <row r="374">
      <c r="A374" s="15" t="inlineStr">
        <is>
          <t>8142</t>
        </is>
      </c>
      <c r="B374" s="16" t="inlineStr">
        <is>
          <t>Plastic Products Machine Operators</t>
        </is>
      </c>
      <c r="C374" s="16" t="inlineStr">
        <is>
          <t>배터리 / 신소재 / 에너지</t>
        </is>
      </c>
      <c r="D374" s="15" t="inlineStr">
        <is>
          <t>17010101</t>
        </is>
      </c>
      <c r="E374" s="16" t="inlineStr">
        <is>
          <t>Plastic Products Machine Operators 관련 국가직무</t>
        </is>
      </c>
      <c r="F374" s="15" t="inlineStr">
        <is>
          <t>81420</t>
        </is>
      </c>
      <c r="G374" s="16" t="inlineStr">
        <is>
          <t>Plastic Products Machine Operators (한국 표준 직종)</t>
        </is>
      </c>
      <c r="H374" s="15" t="inlineStr">
        <is>
          <t>51-8013.00</t>
        </is>
      </c>
      <c r="I374" s="16" t="inlineStr">
        <is>
          <t>Plastic Products Machine Operators</t>
        </is>
      </c>
      <c r="J374" s="15" t="inlineStr">
        <is>
          <t>81420</t>
        </is>
      </c>
      <c r="K374" s="16" t="inlineStr">
        <is>
          <t>Plastic Products Machine Operators (CZ-ISCO)</t>
        </is>
      </c>
      <c r="L374" s="16" t="inlineStr">
        <is>
          <t>Products machine operators monitor and operate machines which knead and blend compounds to obtain plastic materials and which make various plastic components and articles.</t>
        </is>
      </c>
    </row>
    <row r="375">
      <c r="A375" s="17" t="inlineStr">
        <is>
          <t>8143</t>
        </is>
      </c>
      <c r="B375" s="18" t="inlineStr">
        <is>
          <t>Paper Products Machine Operators</t>
        </is>
      </c>
      <c r="C375" s="18" t="inlineStr">
        <is>
          <t>배터리 / 신소재 / 에너지</t>
        </is>
      </c>
      <c r="D375" s="17" t="inlineStr">
        <is>
          <t>17010101</t>
        </is>
      </c>
      <c r="E375" s="18" t="inlineStr">
        <is>
          <t>Paper Products Machine Operators 관련 국가직무</t>
        </is>
      </c>
      <c r="F375" s="17" t="inlineStr">
        <is>
          <t>81430</t>
        </is>
      </c>
      <c r="G375" s="18" t="inlineStr">
        <is>
          <t>Paper Products Machine Operators (한국 표준 직종)</t>
        </is>
      </c>
      <c r="H375" s="17" t="inlineStr">
        <is>
          <t>51-8013.00</t>
        </is>
      </c>
      <c r="I375" s="18" t="inlineStr">
        <is>
          <t>Paper Products Machine Operators</t>
        </is>
      </c>
      <c r="J375" s="17" t="inlineStr">
        <is>
          <t>81430</t>
        </is>
      </c>
      <c r="K375" s="18" t="inlineStr">
        <is>
          <t>Paper Products Machine Operators (CZ-ISCO)</t>
        </is>
      </c>
      <c r="L375" s="18" t="inlineStr">
        <is>
          <t>Paper products machine operators monitor and operate machines which produce boxes, envelopes, bags and other goods from paper, paperboard, cardboard and similar materials.</t>
        </is>
      </c>
    </row>
    <row r="376">
      <c r="A376" s="15" t="inlineStr">
        <is>
          <t>8151</t>
        </is>
      </c>
      <c r="B376" s="16" t="inlineStr">
        <is>
          <t>Fibre Preparing, Spinning and Winding Machine Operators</t>
        </is>
      </c>
      <c r="C376" s="16" t="inlineStr">
        <is>
          <t>배터리 / 신소재 / 에너지</t>
        </is>
      </c>
      <c r="D376" s="15" t="inlineStr">
        <is>
          <t>17010101</t>
        </is>
      </c>
      <c r="E376" s="16" t="inlineStr">
        <is>
          <t>Fibre Preparing, Spinning and Winding Machine Operators 관련 국가직무</t>
        </is>
      </c>
      <c r="F376" s="15" t="inlineStr">
        <is>
          <t>81510</t>
        </is>
      </c>
      <c r="G376" s="16" t="inlineStr">
        <is>
          <t>Fibre Preparing, Spinning and Winding Machine Operators (한국 표준 직종)</t>
        </is>
      </c>
      <c r="H376" s="15" t="inlineStr">
        <is>
          <t>51-8013.00</t>
        </is>
      </c>
      <c r="I376" s="16" t="inlineStr">
        <is>
          <t>Fibre Preparing, Spinning and Winding Machine Operators</t>
        </is>
      </c>
      <c r="J376" s="15" t="inlineStr">
        <is>
          <t>81510</t>
        </is>
      </c>
      <c r="K376" s="16" t="inlineStr">
        <is>
          <t>Fibre Preparing, Spinning and Winding Machine Operators (CZ-ISCO)</t>
        </is>
      </c>
      <c r="L376" s="16"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t>
        </is>
      </c>
    </row>
    <row r="377">
      <c r="A377" s="17" t="inlineStr">
        <is>
          <t>8152</t>
        </is>
      </c>
      <c r="B377" s="18" t="inlineStr">
        <is>
          <t>Weaving and Knitting Machine Operators</t>
        </is>
      </c>
      <c r="C377" s="18" t="inlineStr">
        <is>
          <t>배터리 / 신소재 / 에너지</t>
        </is>
      </c>
      <c r="D377" s="17" t="inlineStr">
        <is>
          <t>17010101</t>
        </is>
      </c>
      <c r="E377" s="18" t="inlineStr">
        <is>
          <t>Weaving and Knitting Machine Operators 관련 국가직무</t>
        </is>
      </c>
      <c r="F377" s="17" t="inlineStr">
        <is>
          <t>81520</t>
        </is>
      </c>
      <c r="G377" s="18" t="inlineStr">
        <is>
          <t>Weaving and Knitting Machine Operators (한국 표준 직종)</t>
        </is>
      </c>
      <c r="H377" s="17" t="inlineStr">
        <is>
          <t>51-8013.00</t>
        </is>
      </c>
      <c r="I377" s="18" t="inlineStr">
        <is>
          <t>Weaving and Knitting Machine Operators</t>
        </is>
      </c>
      <c r="J377" s="17" t="inlineStr">
        <is>
          <t>81520</t>
        </is>
      </c>
      <c r="K377" s="18" t="inlineStr">
        <is>
          <t>Weaving and Knitting Machine Operators (CZ-ISCO)</t>
        </is>
      </c>
      <c r="L377" s="18"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c>
    </row>
    <row r="378">
      <c r="A378" s="15" t="inlineStr">
        <is>
          <t>8153</t>
        </is>
      </c>
      <c r="B378" s="16" t="inlineStr">
        <is>
          <t>Sewing Machine Operators</t>
        </is>
      </c>
      <c r="C378" s="16" t="inlineStr">
        <is>
          <t>배터리 / 신소재 / 에너지</t>
        </is>
      </c>
      <c r="D378" s="15" t="inlineStr">
        <is>
          <t>17010101</t>
        </is>
      </c>
      <c r="E378" s="16" t="inlineStr">
        <is>
          <t>Sewing Machine Operators 관련 국가직무</t>
        </is>
      </c>
      <c r="F378" s="15" t="inlineStr">
        <is>
          <t>81530</t>
        </is>
      </c>
      <c r="G378" s="16" t="inlineStr">
        <is>
          <t>Sewing Machine Operators (한국 표준 직종)</t>
        </is>
      </c>
      <c r="H378" s="15" t="inlineStr">
        <is>
          <t>51-8013.00</t>
        </is>
      </c>
      <c r="I378" s="16" t="inlineStr">
        <is>
          <t>Sewing Machine Operators</t>
        </is>
      </c>
      <c r="J378" s="15" t="inlineStr">
        <is>
          <t>81530</t>
        </is>
      </c>
      <c r="K378" s="16" t="inlineStr">
        <is>
          <t>Sewing Machine Operators (CZ-ISCO)</t>
        </is>
      </c>
      <c r="L378" s="16"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
        </is>
      </c>
    </row>
    <row r="379">
      <c r="A379" s="17" t="inlineStr">
        <is>
          <t>8154</t>
        </is>
      </c>
      <c r="B379" s="18" t="inlineStr">
        <is>
          <t>Bleaching, Dyeing and Fabric Cleaning Machine Operators</t>
        </is>
      </c>
      <c r="C379" s="18" t="inlineStr">
        <is>
          <t>배터리 / 신소재 / 에너지</t>
        </is>
      </c>
      <c r="D379" s="17" t="inlineStr">
        <is>
          <t>17010101</t>
        </is>
      </c>
      <c r="E379" s="18" t="inlineStr">
        <is>
          <t>Bleaching, Dyeing and Fabric Cleaning Machine Operators 관련 국가직무</t>
        </is>
      </c>
      <c r="F379" s="17" t="inlineStr">
        <is>
          <t>81540</t>
        </is>
      </c>
      <c r="G379" s="18" t="inlineStr">
        <is>
          <t>Bleaching, Dyeing and Fabric Cleaning Machine Operators (한국 표준 직종)</t>
        </is>
      </c>
      <c r="H379" s="17" t="inlineStr">
        <is>
          <t>51-8013.00</t>
        </is>
      </c>
      <c r="I379" s="18" t="inlineStr">
        <is>
          <t>Bleaching, Dyeing and Fabric Cleaning Machine Operators</t>
        </is>
      </c>
      <c r="J379" s="17" t="inlineStr">
        <is>
          <t>81540</t>
        </is>
      </c>
      <c r="K379" s="18" t="inlineStr">
        <is>
          <t>Bleaching, Dyeing and Fabric Cleaning Machine Operators (CZ-ISCO)</t>
        </is>
      </c>
      <c r="L379" s="18" t="inlineStr">
        <is>
          <t>Bleaching, dyeing and fabric cleaning machine operators operate and monitor machines that bleach, shrink, dye and otherwise treat fibres, yarn or cloth.</t>
        </is>
      </c>
    </row>
    <row r="380">
      <c r="A380" s="15" t="inlineStr">
        <is>
          <t>8155</t>
        </is>
      </c>
      <c r="B380" s="16" t="inlineStr">
        <is>
          <t>Fur and Leather Preparing Machine Operators</t>
        </is>
      </c>
      <c r="C380" s="16" t="inlineStr">
        <is>
          <t>배터리 / 신소재 / 에너지</t>
        </is>
      </c>
      <c r="D380" s="15" t="inlineStr">
        <is>
          <t>17010101</t>
        </is>
      </c>
      <c r="E380" s="16" t="inlineStr">
        <is>
          <t>Fur and Leather Preparing Machine Operators 관련 국가직무</t>
        </is>
      </c>
      <c r="F380" s="15" t="inlineStr">
        <is>
          <t>81550</t>
        </is>
      </c>
      <c r="G380" s="16" t="inlineStr">
        <is>
          <t>Fur and Leather Preparing Machine Operators (한국 표준 직종)</t>
        </is>
      </c>
      <c r="H380" s="15" t="inlineStr">
        <is>
          <t>51-8013.00</t>
        </is>
      </c>
      <c r="I380" s="16" t="inlineStr">
        <is>
          <t>Fur and Leather Preparing Machine Operators</t>
        </is>
      </c>
      <c r="J380" s="15" t="inlineStr">
        <is>
          <t>81550</t>
        </is>
      </c>
      <c r="K380" s="16" t="inlineStr">
        <is>
          <t>Fur and Leather Preparing Machine Operators (CZ-ISCO)</t>
        </is>
      </c>
      <c r="L380" s="16" t="inlineStr">
        <is>
          <t>Fur and leather preparing machine operators monitor and operate various machines that prepare leather or treat fur- or wool-bearing pelts. They trim, scrape, clean, tan, buff and dye animal hides, pelts or skins to produce leather stock and finished furs.</t>
        </is>
      </c>
    </row>
    <row r="381">
      <c r="A381" s="17" t="inlineStr">
        <is>
          <t>8156</t>
        </is>
      </c>
      <c r="B381" s="18" t="inlineStr">
        <is>
          <t>Shoemaking and Related Machine Operators</t>
        </is>
      </c>
      <c r="C381" s="18" t="inlineStr">
        <is>
          <t>배터리 / 신소재 / 에너지</t>
        </is>
      </c>
      <c r="D381" s="17" t="inlineStr">
        <is>
          <t>17010101</t>
        </is>
      </c>
      <c r="E381" s="18" t="inlineStr">
        <is>
          <t>Shoemaking and Related Machine Operators 관련 국가직무</t>
        </is>
      </c>
      <c r="F381" s="17" t="inlineStr">
        <is>
          <t>81560</t>
        </is>
      </c>
      <c r="G381" s="18" t="inlineStr">
        <is>
          <t>Shoemaking and Related Machine Operators (한국 표준 직종)</t>
        </is>
      </c>
      <c r="H381" s="17" t="inlineStr">
        <is>
          <t>51-8013.00</t>
        </is>
      </c>
      <c r="I381" s="18" t="inlineStr">
        <is>
          <t>Shoemaking and Related Machine Operators</t>
        </is>
      </c>
      <c r="J381" s="17" t="inlineStr">
        <is>
          <t>81560</t>
        </is>
      </c>
      <c r="K381" s="18" t="inlineStr">
        <is>
          <t>Shoemaking and Related Machine Operators (CZ-ISCO)</t>
        </is>
      </c>
      <c r="L381" s="18" t="inlineStr">
        <is>
          <t>Shoemaking and related machine operators monitor and operate machines which produce and repair standard or special footwear, handbags and other accessories, mainly made of leather.</t>
        </is>
      </c>
    </row>
    <row r="382">
      <c r="A382" s="15" t="inlineStr">
        <is>
          <t>8157</t>
        </is>
      </c>
      <c r="B382" s="16" t="inlineStr">
        <is>
          <t>Laundry Machine Operators</t>
        </is>
      </c>
      <c r="C382" s="16" t="inlineStr">
        <is>
          <t>배터리 / 신소재 / 에너지</t>
        </is>
      </c>
      <c r="D382" s="15" t="inlineStr">
        <is>
          <t>17010101</t>
        </is>
      </c>
      <c r="E382" s="16" t="inlineStr">
        <is>
          <t>Laundry Machine Operators 관련 국가직무</t>
        </is>
      </c>
      <c r="F382" s="15" t="inlineStr">
        <is>
          <t>81570</t>
        </is>
      </c>
      <c r="G382" s="16" t="inlineStr">
        <is>
          <t>Laundry Machine Operators (한국 표준 직종)</t>
        </is>
      </c>
      <c r="H382" s="15" t="inlineStr">
        <is>
          <t>51-8013.00</t>
        </is>
      </c>
      <c r="I382" s="16" t="inlineStr">
        <is>
          <t>Laundry Machine Operators</t>
        </is>
      </c>
      <c r="J382" s="15" t="inlineStr">
        <is>
          <t>81570</t>
        </is>
      </c>
      <c r="K382" s="16" t="inlineStr">
        <is>
          <t>Laundry Machine Operators (CZ-ISCO)</t>
        </is>
      </c>
      <c r="L382" s="16" t="inlineStr">
        <is>
          <t>Laundry machine operators operate laundry, dry cleaning, pressing and fabric treatment machines in laundries and dry-cleaning establishments.</t>
        </is>
      </c>
    </row>
    <row r="383">
      <c r="A383" s="17" t="inlineStr">
        <is>
          <t>8159</t>
        </is>
      </c>
      <c r="B383" s="18" t="inlineStr">
        <is>
          <t>Textile, Fur and Leather Products Machine Operators Not Elsewhere Classified</t>
        </is>
      </c>
      <c r="C383" s="18" t="inlineStr">
        <is>
          <t>배터리 / 신소재 / 에너지</t>
        </is>
      </c>
      <c r="D383" s="17" t="inlineStr">
        <is>
          <t>17010101</t>
        </is>
      </c>
      <c r="E383" s="18" t="inlineStr">
        <is>
          <t>Textile, Fur and Leather Products Machine Operators Not Elsewhere Classified 관련 국가직무</t>
        </is>
      </c>
      <c r="F383" s="17" t="inlineStr">
        <is>
          <t>81590</t>
        </is>
      </c>
      <c r="G383" s="18" t="inlineStr">
        <is>
          <t>Textile, Fur and Leather Products Machine Operators Not Elsewhere Classified (한국 표준 직종)</t>
        </is>
      </c>
      <c r="H383" s="17" t="inlineStr">
        <is>
          <t>51-8013.00</t>
        </is>
      </c>
      <c r="I383" s="18" t="inlineStr">
        <is>
          <t>Textile, Fur and Leather Products Machine Operators Not Elsewhere Classified</t>
        </is>
      </c>
      <c r="J383" s="17" t="inlineStr">
        <is>
          <t>81590</t>
        </is>
      </c>
      <c r="K383" s="18" t="inlineStr">
        <is>
          <t>Textile, Fur and Leather Products Machine Operators Not Elsewhere Classified (CZ-ISCO)</t>
        </is>
      </c>
      <c r="L383" s="18"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t>
        </is>
      </c>
    </row>
    <row r="384">
      <c r="A384" s="15" t="inlineStr">
        <is>
          <t>8160</t>
        </is>
      </c>
      <c r="B384" s="16" t="inlineStr">
        <is>
          <t>Food and Related Products Machine Operators</t>
        </is>
      </c>
      <c r="C384" s="16" t="inlineStr">
        <is>
          <t>배터리 / 신소재 / 에너지</t>
        </is>
      </c>
      <c r="D384" s="15" t="inlineStr">
        <is>
          <t>17010101</t>
        </is>
      </c>
      <c r="E384" s="16" t="inlineStr">
        <is>
          <t>Food and Related Products Machine Operators 관련 국가직무</t>
        </is>
      </c>
      <c r="F384" s="15" t="inlineStr">
        <is>
          <t>81600</t>
        </is>
      </c>
      <c r="G384" s="16" t="inlineStr">
        <is>
          <t>Food and Related Products Machine Operators (한국 표준 직종)</t>
        </is>
      </c>
      <c r="H384" s="15" t="inlineStr">
        <is>
          <t>51-8013.00</t>
        </is>
      </c>
      <c r="I384" s="16" t="inlineStr">
        <is>
          <t>Food and Related Products Machine Operators</t>
        </is>
      </c>
      <c r="J384" s="15" t="inlineStr">
        <is>
          <t>81600</t>
        </is>
      </c>
      <c r="K384" s="16" t="inlineStr">
        <is>
          <t>Food and Related Products Machine Operators (CZ-ISCO)</t>
        </is>
      </c>
      <c r="L384" s="16" t="inlineStr">
        <is>
          <t>Food and related machine operators set, operate and attend machinery used to slaughter animals, trim meat from carcasses, and bake, freeze, heat, crush, mix, blend and otherwise process foodstuffs, beverages and tobacco leaves.</t>
        </is>
      </c>
    </row>
    <row r="385">
      <c r="A385" s="17" t="inlineStr">
        <is>
          <t>8171</t>
        </is>
      </c>
      <c r="B385" s="18" t="inlineStr">
        <is>
          <t>Pulp and Papermaking Plant Operators</t>
        </is>
      </c>
      <c r="C385" s="18" t="inlineStr">
        <is>
          <t>배터리 / 신소재 / 에너지</t>
        </is>
      </c>
      <c r="D385" s="17" t="inlineStr">
        <is>
          <t>17010101</t>
        </is>
      </c>
      <c r="E385" s="18" t="inlineStr">
        <is>
          <t>Pulp and Papermaking Plant Operators 관련 국가직무</t>
        </is>
      </c>
      <c r="F385" s="17" t="inlineStr">
        <is>
          <t>81710</t>
        </is>
      </c>
      <c r="G385" s="18" t="inlineStr">
        <is>
          <t>Pulp and Papermaking Plant Operators (한국 표준 직종)</t>
        </is>
      </c>
      <c r="H385" s="17" t="inlineStr">
        <is>
          <t>51-8013.00</t>
        </is>
      </c>
      <c r="I385" s="18" t="inlineStr">
        <is>
          <t>Pulp and Papermaking Plant Operators</t>
        </is>
      </c>
      <c r="J385" s="17" t="inlineStr">
        <is>
          <t>81710</t>
        </is>
      </c>
      <c r="K385" s="18" t="inlineStr">
        <is>
          <t>Pulp and Papermaking Plant Operators (CZ-ISCO)</t>
        </is>
      </c>
      <c r="L385" s="18" t="inlineStr">
        <is>
          <t>Pulp and papermaking plant operators operate and monitor equipment to process wood, pulp and other cellulose materials in the production of pulp and to produce coat and finish paper.</t>
        </is>
      </c>
    </row>
    <row r="386">
      <c r="A386" s="15" t="inlineStr">
        <is>
          <t>8172</t>
        </is>
      </c>
      <c r="B386" s="16" t="inlineStr">
        <is>
          <t>Wood Processing Plant Operators</t>
        </is>
      </c>
      <c r="C386" s="16" t="inlineStr">
        <is>
          <t>배터리 / 신소재 / 에너지</t>
        </is>
      </c>
      <c r="D386" s="15" t="inlineStr">
        <is>
          <t>17010101</t>
        </is>
      </c>
      <c r="E386" s="16" t="inlineStr">
        <is>
          <t>Wood Processing Plant Operators 관련 국가직무</t>
        </is>
      </c>
      <c r="F386" s="15" t="inlineStr">
        <is>
          <t>81720</t>
        </is>
      </c>
      <c r="G386" s="16" t="inlineStr">
        <is>
          <t>Wood Processing Plant Operators (한국 표준 직종)</t>
        </is>
      </c>
      <c r="H386" s="15" t="inlineStr">
        <is>
          <t>51-8013.00</t>
        </is>
      </c>
      <c r="I386" s="16" t="inlineStr">
        <is>
          <t>Wood Processing Plant Operators</t>
        </is>
      </c>
      <c r="J386" s="15" t="inlineStr">
        <is>
          <t>81720</t>
        </is>
      </c>
      <c r="K386" s="16" t="inlineStr">
        <is>
          <t>Wood Processing Plant Operators (CZ-ISCO)</t>
        </is>
      </c>
      <c r="L386" s="16" t="inlineStr">
        <is>
          <t>Wood processing plant operators monitor, operate, and control lumber mill equipment for sawing timber logs into rough lumber, cutting veneer, making plywood and particle board, and otherwise preparing wood for further use.</t>
        </is>
      </c>
    </row>
    <row r="387">
      <c r="A387" s="17" t="inlineStr">
        <is>
          <t>8181</t>
        </is>
      </c>
      <c r="B387" s="18" t="inlineStr">
        <is>
          <t>Glass and Ceramics Plant Operators</t>
        </is>
      </c>
      <c r="C387" s="18" t="inlineStr">
        <is>
          <t>배터리 / 신소재 / 에너지</t>
        </is>
      </c>
      <c r="D387" s="17" t="inlineStr">
        <is>
          <t>17010101</t>
        </is>
      </c>
      <c r="E387" s="18" t="inlineStr">
        <is>
          <t>Glass and Ceramics Plant Operators 관련 국가직무</t>
        </is>
      </c>
      <c r="F387" s="17" t="inlineStr">
        <is>
          <t>81810</t>
        </is>
      </c>
      <c r="G387" s="18" t="inlineStr">
        <is>
          <t>Glass and Ceramics Plant Operators (한국 표준 직종)</t>
        </is>
      </c>
      <c r="H387" s="17" t="inlineStr">
        <is>
          <t>51-8013.00</t>
        </is>
      </c>
      <c r="I387" s="18" t="inlineStr">
        <is>
          <t>Glass and Ceramics Plant Operators</t>
        </is>
      </c>
      <c r="J387" s="17" t="inlineStr">
        <is>
          <t>81810</t>
        </is>
      </c>
      <c r="K387" s="18" t="inlineStr">
        <is>
          <t>Glass and Ceramics Plant Operators (CZ-ISCO)</t>
        </is>
      </c>
      <c r="L387" s="18" t="inlineStr">
        <is>
          <t>Glass and ceramics plant operators operate and monitor kilns, furnaces and other machinery and equipment used in the manufacture of glass, ceramics, porcelain, tiles or bricks. They operate machines to anneal, harden or decorate glass and ceramics.</t>
        </is>
      </c>
    </row>
    <row r="388">
      <c r="A388" s="15" t="inlineStr">
        <is>
          <t>8182</t>
        </is>
      </c>
      <c r="B388" s="16" t="inlineStr">
        <is>
          <t>Steam Engine and Boiler Operators</t>
        </is>
      </c>
      <c r="C388" s="16" t="inlineStr">
        <is>
          <t>배터리 / 신소재 / 에너지</t>
        </is>
      </c>
      <c r="D388" s="15" t="inlineStr">
        <is>
          <t>17010101</t>
        </is>
      </c>
      <c r="E388" s="16" t="inlineStr">
        <is>
          <t>Steam Engine and Boiler Operators 관련 국가직무</t>
        </is>
      </c>
      <c r="F388" s="15" t="inlineStr">
        <is>
          <t>81820</t>
        </is>
      </c>
      <c r="G388" s="16" t="inlineStr">
        <is>
          <t>Steam Engine and Boiler Operators (한국 표준 직종)</t>
        </is>
      </c>
      <c r="H388" s="15" t="inlineStr">
        <is>
          <t>51-8013.00</t>
        </is>
      </c>
      <c r="I388" s="16" t="inlineStr">
        <is>
          <t>Steam Engine and Boiler Operators</t>
        </is>
      </c>
      <c r="J388" s="15" t="inlineStr">
        <is>
          <t>81820</t>
        </is>
      </c>
      <c r="K388" s="16" t="inlineStr">
        <is>
          <t>Steam Engine and Boiler Operators (CZ-ISCO)</t>
        </is>
      </c>
      <c r="L388" s="16"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c>
    </row>
    <row r="389">
      <c r="A389" s="17" t="inlineStr">
        <is>
          <t>8183</t>
        </is>
      </c>
      <c r="B389" s="18" t="inlineStr">
        <is>
          <t>Packing, Bottling and Labelling Machine Operators</t>
        </is>
      </c>
      <c r="C389" s="18" t="inlineStr">
        <is>
          <t>배터리 / 신소재 / 에너지</t>
        </is>
      </c>
      <c r="D389" s="17" t="inlineStr">
        <is>
          <t>17010101</t>
        </is>
      </c>
      <c r="E389" s="18" t="inlineStr">
        <is>
          <t>Packing, Bottling and Labelling Machine Operators 관련 국가직무</t>
        </is>
      </c>
      <c r="F389" s="17" t="inlineStr">
        <is>
          <t>81830</t>
        </is>
      </c>
      <c r="G389" s="18" t="inlineStr">
        <is>
          <t>Packing, Bottling and Labelling Machine Operators (한국 표준 직종)</t>
        </is>
      </c>
      <c r="H389" s="17" t="inlineStr">
        <is>
          <t>51-8013.00</t>
        </is>
      </c>
      <c r="I389" s="18" t="inlineStr">
        <is>
          <t>Packing, Bottling and Labelling Machine Operators</t>
        </is>
      </c>
      <c r="J389" s="17" t="inlineStr">
        <is>
          <t>81830</t>
        </is>
      </c>
      <c r="K389" s="18" t="inlineStr">
        <is>
          <t>Packing, Bottling and Labelling Machine Operators (CZ-ISCO)</t>
        </is>
      </c>
      <c r="L389" s="18" t="inlineStr">
        <is>
          <t>Packing, bottling and labelling machine operators monitor and operate machines which weigh, pack and label various products, or fill different containers with products.</t>
        </is>
      </c>
    </row>
    <row r="390">
      <c r="A390" s="15" t="inlineStr">
        <is>
          <t>8189</t>
        </is>
      </c>
      <c r="B390" s="16" t="inlineStr">
        <is>
          <t>Stationary Plant and Machine Operators Not Elsewhere Classified</t>
        </is>
      </c>
      <c r="C390" s="16" t="inlineStr">
        <is>
          <t>배터리 / 신소재 / 에너지</t>
        </is>
      </c>
      <c r="D390" s="15" t="inlineStr">
        <is>
          <t>17010101</t>
        </is>
      </c>
      <c r="E390" s="16" t="inlineStr">
        <is>
          <t>Stationary Plant and Machine Operators Not Elsewhere Classified 관련 국가직무</t>
        </is>
      </c>
      <c r="F390" s="15" t="inlineStr">
        <is>
          <t>81890</t>
        </is>
      </c>
      <c r="G390" s="16" t="inlineStr">
        <is>
          <t>Stationary Plant and Machine Operators Not Elsewhere Classified (한국 표준 직종)</t>
        </is>
      </c>
      <c r="H390" s="15" t="inlineStr">
        <is>
          <t>51-8013.00</t>
        </is>
      </c>
      <c r="I390" s="16" t="inlineStr">
        <is>
          <t>Stationary Plant and Machine Operators Not Elsewhere Classified</t>
        </is>
      </c>
      <c r="J390" s="15" t="inlineStr">
        <is>
          <t>81890</t>
        </is>
      </c>
      <c r="K390" s="16" t="inlineStr">
        <is>
          <t>Stationary Plant and Machine Operators Not Elsewhere Classified (CZ-ISCO)</t>
        </is>
      </c>
      <c r="L390" s="16" t="inlineStr">
        <is>
          <t>This unit group includes stationary plant and machine operators not classified elsewhere in Sub-major Group 81: Stationary Plant and Machine Operators. The group includes, for instance, operators of machines which make silicon chips and splice cables and ropes.</t>
        </is>
      </c>
    </row>
    <row r="391">
      <c r="A391" s="17" t="inlineStr">
        <is>
          <t>8211</t>
        </is>
      </c>
      <c r="B391" s="18" t="inlineStr">
        <is>
          <t>Mechanical Machinery Assemblers</t>
        </is>
      </c>
      <c r="C391" s="18" t="inlineStr">
        <is>
          <t>배터리 / 신소재 / 에너지</t>
        </is>
      </c>
      <c r="D391" s="17" t="inlineStr">
        <is>
          <t>16010101</t>
        </is>
      </c>
      <c r="E391" s="18" t="inlineStr">
        <is>
          <t>Mechanical Machinery Assemblers 관련 국가직무</t>
        </is>
      </c>
      <c r="F391" s="17" t="inlineStr">
        <is>
          <t>82110</t>
        </is>
      </c>
      <c r="G391" s="18" t="inlineStr">
        <is>
          <t>Mechanical Machinery Assemblers (한국 표준 직종)</t>
        </is>
      </c>
      <c r="H391" s="17" t="inlineStr">
        <is>
          <t>51-9061.00</t>
        </is>
      </c>
      <c r="I391" s="18" t="inlineStr">
        <is>
          <t>Mechanical Machinery Assemblers</t>
        </is>
      </c>
      <c r="J391" s="17" t="inlineStr">
        <is>
          <t>82110</t>
        </is>
      </c>
      <c r="K391" s="18" t="inlineStr">
        <is>
          <t>Mechanical Machinery Assemblers (CZ-ISCO)</t>
        </is>
      </c>
      <c r="L391" s="18" t="inlineStr">
        <is>
          <t>Mechanical machinery assemblers assemble, according to procedures strictly laid down, component parts of mechanical machinery such as engines, motor vehicles, turbines and aircraft.</t>
        </is>
      </c>
    </row>
    <row r="392">
      <c r="A392" s="15" t="inlineStr">
        <is>
          <t>8212</t>
        </is>
      </c>
      <c r="B392" s="16" t="inlineStr">
        <is>
          <t>Electrical and Electronic Equipment Assemblers</t>
        </is>
      </c>
      <c r="C392" s="16" t="inlineStr">
        <is>
          <t>배터리 / 신소재 / 에너지</t>
        </is>
      </c>
      <c r="D392" s="15" t="inlineStr">
        <is>
          <t>16010101</t>
        </is>
      </c>
      <c r="E392" s="16" t="inlineStr">
        <is>
          <t>Electrical and Electronic Equipment Assemblers 관련 국가직무</t>
        </is>
      </c>
      <c r="F392" s="15" t="inlineStr">
        <is>
          <t>82120</t>
        </is>
      </c>
      <c r="G392" s="16" t="inlineStr">
        <is>
          <t>Electrical and Electronic Equipment Assemblers (한국 표준 직종)</t>
        </is>
      </c>
      <c r="H392" s="15" t="inlineStr">
        <is>
          <t>51-9061.00</t>
        </is>
      </c>
      <c r="I392" s="16" t="inlineStr">
        <is>
          <t>Electrical and Electronic Equipment Assemblers</t>
        </is>
      </c>
      <c r="J392" s="15" t="inlineStr">
        <is>
          <t>82120</t>
        </is>
      </c>
      <c r="K392" s="16" t="inlineStr">
        <is>
          <t>Electrical and Electronic Equipment Assemblers (CZ-ISCO)</t>
        </is>
      </c>
      <c r="L392" s="16" t="inlineStr">
        <is>
          <t>Electrical and electronic equipment assemblers assemble or modify, according to strictly laid down procedures, components of electrical, electromechanical and electronic equipment.</t>
        </is>
      </c>
    </row>
    <row r="393">
      <c r="A393" s="17" t="inlineStr">
        <is>
          <t>8219</t>
        </is>
      </c>
      <c r="B393" s="18" t="inlineStr">
        <is>
          <t>Assemblers Not Elsewhere Classified</t>
        </is>
      </c>
      <c r="C393" s="18" t="inlineStr">
        <is>
          <t>배터리 / 신소재 / 에너지</t>
        </is>
      </c>
      <c r="D393" s="17" t="inlineStr">
        <is>
          <t>16010101</t>
        </is>
      </c>
      <c r="E393" s="18" t="inlineStr">
        <is>
          <t>Assemblers Not Elsewhere Classified 관련 국가직무</t>
        </is>
      </c>
      <c r="F393" s="17" t="inlineStr">
        <is>
          <t>82190</t>
        </is>
      </c>
      <c r="G393" s="18" t="inlineStr">
        <is>
          <t>Assemblers Not Elsewhere Classified (한국 표준 직종)</t>
        </is>
      </c>
      <c r="H393" s="17" t="inlineStr">
        <is>
          <t>51-9061.00</t>
        </is>
      </c>
      <c r="I393" s="18" t="inlineStr">
        <is>
          <t>Assemblers Not Elsewhere Classified</t>
        </is>
      </c>
      <c r="J393" s="17" t="inlineStr">
        <is>
          <t>82190</t>
        </is>
      </c>
      <c r="K393" s="18" t="inlineStr">
        <is>
          <t>Assemblers Not Elsewhere Classified (CZ-ISCO)</t>
        </is>
      </c>
      <c r="L393" s="18" t="inlineStr">
        <is>
          <t>Assemblers not elsewhere classified assemble, according to procedures strictly laid down, various products that do not include electronic, electrical or mechanical components.</t>
        </is>
      </c>
    </row>
    <row r="394">
      <c r="A394" s="15" t="inlineStr">
        <is>
          <t>8311</t>
        </is>
      </c>
      <c r="B394" s="16" t="inlineStr">
        <is>
          <t>Locomotive Engine Drivers</t>
        </is>
      </c>
      <c r="C394" s="16" t="inlineStr">
        <is>
          <t>모빌리티 / 자율주행 / 로보틱스</t>
        </is>
      </c>
      <c r="D394" s="15" t="inlineStr">
        <is>
          <t>02830101</t>
        </is>
      </c>
      <c r="E394" s="16" t="inlineStr">
        <is>
          <t>Locomotive Engine Drivers 관련 국가직무</t>
        </is>
      </c>
      <c r="F394" s="15" t="inlineStr">
        <is>
          <t>83110</t>
        </is>
      </c>
      <c r="G394" s="16" t="inlineStr">
        <is>
          <t>Locomotive Engine Drivers (한국 표준 직종)</t>
        </is>
      </c>
      <c r="H394" s="15" t="inlineStr">
        <is>
          <t>15-8311.00</t>
        </is>
      </c>
      <c r="I394" s="16" t="inlineStr">
        <is>
          <t>Locomotive Engine Drivers</t>
        </is>
      </c>
      <c r="J394" s="15" t="inlineStr">
        <is>
          <t>83110</t>
        </is>
      </c>
      <c r="K394" s="16" t="inlineStr">
        <is>
          <t>Locomotive Engine Drivers (CZ-ISCO)</t>
        </is>
      </c>
      <c r="L394" s="16" t="inlineStr">
        <is>
          <t>Locomotive engine drivers drive, or assist in driving, locomotive engines to transport passengers and freight.</t>
        </is>
      </c>
    </row>
    <row r="395">
      <c r="A395" s="17" t="inlineStr">
        <is>
          <t>8312</t>
        </is>
      </c>
      <c r="B395" s="18" t="inlineStr">
        <is>
          <t>Railway Brake, Signal and Switch Operators</t>
        </is>
      </c>
      <c r="C395" s="18" t="inlineStr">
        <is>
          <t>모빌리티 / 자율주행 / 로보틱스</t>
        </is>
      </c>
      <c r="D395" s="17" t="inlineStr">
        <is>
          <t>02830101</t>
        </is>
      </c>
      <c r="E395" s="18" t="inlineStr">
        <is>
          <t>Railway Brake, Signal and Switch Operators 관련 국가직무</t>
        </is>
      </c>
      <c r="F395" s="17" t="inlineStr">
        <is>
          <t>83120</t>
        </is>
      </c>
      <c r="G395" s="18" t="inlineStr">
        <is>
          <t>Railway Brake, Signal and Switch Operators (한국 표준 직종)</t>
        </is>
      </c>
      <c r="H395" s="17" t="inlineStr">
        <is>
          <t>15-8311.00</t>
        </is>
      </c>
      <c r="I395" s="18" t="inlineStr">
        <is>
          <t>Railway Brake, Signal and Switch Operators</t>
        </is>
      </c>
      <c r="J395" s="17" t="inlineStr">
        <is>
          <t>83120</t>
        </is>
      </c>
      <c r="K395" s="18" t="inlineStr">
        <is>
          <t>Railway Brake, Signal and Switch Operators (CZ-ISCO)</t>
        </is>
      </c>
      <c r="L395" s="18"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c>
    </row>
    <row r="396">
      <c r="A396" s="15" t="inlineStr">
        <is>
          <t>8321</t>
        </is>
      </c>
      <c r="B396" s="16" t="inlineStr">
        <is>
          <t>Motorcycle Drivers</t>
        </is>
      </c>
      <c r="C396" s="16" t="inlineStr">
        <is>
          <t>모빌리티 / 자율주행 / 로보틱스</t>
        </is>
      </c>
      <c r="D396" s="15" t="inlineStr">
        <is>
          <t>02830101</t>
        </is>
      </c>
      <c r="E396" s="16" t="inlineStr">
        <is>
          <t>Motorcycle Drivers 관련 국가직무</t>
        </is>
      </c>
      <c r="F396" s="15" t="inlineStr">
        <is>
          <t>83210</t>
        </is>
      </c>
      <c r="G396" s="16" t="inlineStr">
        <is>
          <t>Motorcycle Drivers (한국 표준 직종)</t>
        </is>
      </c>
      <c r="H396" s="15" t="inlineStr">
        <is>
          <t>15-8311.00</t>
        </is>
      </c>
      <c r="I396" s="16" t="inlineStr">
        <is>
          <t>Motorcycle Drivers</t>
        </is>
      </c>
      <c r="J396" s="15" t="inlineStr">
        <is>
          <t>83210</t>
        </is>
      </c>
      <c r="K396" s="16" t="inlineStr">
        <is>
          <t>Motorcycle Drivers (CZ-ISCO)</t>
        </is>
      </c>
      <c r="L396" s="16" t="inlineStr">
        <is>
          <t>Motorcycle drivers drive and tend motorcycles or motorized tricycles equipped to transport materials, goods or passengers.</t>
        </is>
      </c>
    </row>
    <row r="397">
      <c r="A397" s="17" t="inlineStr">
        <is>
          <t>8322</t>
        </is>
      </c>
      <c r="B397" s="18" t="inlineStr">
        <is>
          <t>Car, Taxi and Van Drivers</t>
        </is>
      </c>
      <c r="C397" s="18" t="inlineStr">
        <is>
          <t>모빌리티 / 자율주행 / 로보틱스</t>
        </is>
      </c>
      <c r="D397" s="17" t="inlineStr">
        <is>
          <t>02830101</t>
        </is>
      </c>
      <c r="E397" s="18" t="inlineStr">
        <is>
          <t>Car, Taxi and Van Drivers 관련 국가직무</t>
        </is>
      </c>
      <c r="F397" s="17" t="inlineStr">
        <is>
          <t>83220</t>
        </is>
      </c>
      <c r="G397" s="18" t="inlineStr">
        <is>
          <t>Car, Taxi and Van Drivers (한국 표준 직종)</t>
        </is>
      </c>
      <c r="H397" s="17" t="inlineStr">
        <is>
          <t>15-8311.00</t>
        </is>
      </c>
      <c r="I397" s="18" t="inlineStr">
        <is>
          <t>Car, Taxi and Van Drivers</t>
        </is>
      </c>
      <c r="J397" s="17" t="inlineStr">
        <is>
          <t>83220</t>
        </is>
      </c>
      <c r="K397" s="18" t="inlineStr">
        <is>
          <t>Car, Taxi and Van Drivers (CZ-ISCO)</t>
        </is>
      </c>
      <c r="L397" s="18" t="inlineStr">
        <is>
          <t>Car, taxi and van drivers drive and tend motor cars and vans to transport passengers, mail or goods.</t>
        </is>
      </c>
    </row>
    <row r="398">
      <c r="A398" s="15" t="inlineStr">
        <is>
          <t>8331</t>
        </is>
      </c>
      <c r="B398" s="16" t="inlineStr">
        <is>
          <t>Bus and Tram Drivers</t>
        </is>
      </c>
      <c r="C398" s="16" t="inlineStr">
        <is>
          <t>모빌리티 / 자율주행 / 로보틱스</t>
        </is>
      </c>
      <c r="D398" s="15" t="inlineStr">
        <is>
          <t>02830101</t>
        </is>
      </c>
      <c r="E398" s="16" t="inlineStr">
        <is>
          <t>Bus and Tram Drivers 관련 국가직무</t>
        </is>
      </c>
      <c r="F398" s="15" t="inlineStr">
        <is>
          <t>83310</t>
        </is>
      </c>
      <c r="G398" s="16" t="inlineStr">
        <is>
          <t>Bus and Tram Drivers (한국 표준 직종)</t>
        </is>
      </c>
      <c r="H398" s="15" t="inlineStr">
        <is>
          <t>15-8311.00</t>
        </is>
      </c>
      <c r="I398" s="16" t="inlineStr">
        <is>
          <t>Bus and Tram Drivers</t>
        </is>
      </c>
      <c r="J398" s="15" t="inlineStr">
        <is>
          <t>83310</t>
        </is>
      </c>
      <c r="K398" s="16" t="inlineStr">
        <is>
          <t>Bus and Tram Drivers (CZ-ISCO)</t>
        </is>
      </c>
      <c r="L398" s="16" t="inlineStr">
        <is>
          <t>Bus and tram drivers drive and tend buses or street tramcars to transport passengers, mail or goods.</t>
        </is>
      </c>
    </row>
    <row r="399">
      <c r="A399" s="17" t="inlineStr">
        <is>
          <t>8332</t>
        </is>
      </c>
      <c r="B399" s="18" t="inlineStr">
        <is>
          <t>Heavy Truck and Lorry Drivers</t>
        </is>
      </c>
      <c r="C399" s="18" t="inlineStr">
        <is>
          <t>모빌리티 / 자율주행 / 로보틱스</t>
        </is>
      </c>
      <c r="D399" s="17" t="inlineStr">
        <is>
          <t>02830101</t>
        </is>
      </c>
      <c r="E399" s="18" t="inlineStr">
        <is>
          <t>Heavy Truck and Lorry Drivers 관련 국가직무</t>
        </is>
      </c>
      <c r="F399" s="17" t="inlineStr">
        <is>
          <t>83320</t>
        </is>
      </c>
      <c r="G399" s="18" t="inlineStr">
        <is>
          <t>Heavy Truck and Lorry Drivers (한국 표준 직종)</t>
        </is>
      </c>
      <c r="H399" s="17" t="inlineStr">
        <is>
          <t>15-8311.00</t>
        </is>
      </c>
      <c r="I399" s="18" t="inlineStr">
        <is>
          <t>Heavy Truck and Lorry Drivers</t>
        </is>
      </c>
      <c r="J399" s="17" t="inlineStr">
        <is>
          <t>83320</t>
        </is>
      </c>
      <c r="K399" s="18" t="inlineStr">
        <is>
          <t>Heavy Truck and Lorry Drivers (CZ-ISCO)</t>
        </is>
      </c>
      <c r="L399" s="18" t="inlineStr">
        <is>
          <t>Heavy-truck and lorry drivers drive and tend heavy motor vehicles to transport goods, liquids and heavy materials over short or long distances.</t>
        </is>
      </c>
    </row>
    <row r="400">
      <c r="A400" s="15" t="inlineStr">
        <is>
          <t>8341</t>
        </is>
      </c>
      <c r="B400" s="16" t="inlineStr">
        <is>
          <t>Mobile Farm and Forestry Plant Operators</t>
        </is>
      </c>
      <c r="C400" s="16" t="inlineStr">
        <is>
          <t>모빌리티 / 자율주행 / 로보틱스</t>
        </is>
      </c>
      <c r="D400" s="15" t="inlineStr">
        <is>
          <t>02830101</t>
        </is>
      </c>
      <c r="E400" s="16" t="inlineStr">
        <is>
          <t>Mobile Farm and Forestry Plant Operators 관련 국가직무</t>
        </is>
      </c>
      <c r="F400" s="15" t="inlineStr">
        <is>
          <t>83410</t>
        </is>
      </c>
      <c r="G400" s="16" t="inlineStr">
        <is>
          <t>Mobile Farm and Forestry Plant Operators (한국 표준 직종)</t>
        </is>
      </c>
      <c r="H400" s="15" t="inlineStr">
        <is>
          <t>15-8311.00</t>
        </is>
      </c>
      <c r="I400" s="16" t="inlineStr">
        <is>
          <t>Mobile Farm and Forestry Plant Operators</t>
        </is>
      </c>
      <c r="J400" s="15" t="inlineStr">
        <is>
          <t>83410</t>
        </is>
      </c>
      <c r="K400" s="16" t="inlineStr">
        <is>
          <t>Mobile Farm and Forestry Plant Operators (CZ-ISCO)</t>
        </is>
      </c>
      <c r="L400" s="16" t="inlineStr">
        <is>
          <t>Mobile farm and forestry plant operators drive, tend, operate and monitor one or more types of special-purpose motorized, mobile machinery or equipment used in agricultural, horticultural and forestry operations.</t>
        </is>
      </c>
    </row>
    <row r="401">
      <c r="A401" s="17" t="inlineStr">
        <is>
          <t>8342</t>
        </is>
      </c>
      <c r="B401" s="18" t="inlineStr">
        <is>
          <t>Earthmoving and Related Plant Operators</t>
        </is>
      </c>
      <c r="C401" s="18" t="inlineStr">
        <is>
          <t>모빌리티 / 자율주행 / 로보틱스</t>
        </is>
      </c>
      <c r="D401" s="17" t="inlineStr">
        <is>
          <t>02830101</t>
        </is>
      </c>
      <c r="E401" s="18" t="inlineStr">
        <is>
          <t>Earthmoving and Related Plant Operators 관련 국가직무</t>
        </is>
      </c>
      <c r="F401" s="17" t="inlineStr">
        <is>
          <t>83420</t>
        </is>
      </c>
      <c r="G401" s="18" t="inlineStr">
        <is>
          <t>Earthmoving and Related Plant Operators (한국 표준 직종)</t>
        </is>
      </c>
      <c r="H401" s="17" t="inlineStr">
        <is>
          <t>15-8311.00</t>
        </is>
      </c>
      <c r="I401" s="18" t="inlineStr">
        <is>
          <t>Earthmoving and Related Plant Operators</t>
        </is>
      </c>
      <c r="J401" s="17" t="inlineStr">
        <is>
          <t>83420</t>
        </is>
      </c>
      <c r="K401" s="18" t="inlineStr">
        <is>
          <t>Earthmoving and Related Plant Operators (CZ-ISCO)</t>
        </is>
      </c>
      <c r="L401" s="18" t="inlineStr">
        <is>
          <t>Earthmoving and related plant operators operate machines to excavate, grade, level, smooth and compact earth or similar materials.</t>
        </is>
      </c>
    </row>
    <row r="402">
      <c r="A402" s="15" t="inlineStr">
        <is>
          <t>8343</t>
        </is>
      </c>
      <c r="B402" s="16" t="inlineStr">
        <is>
          <t>Crane, hoist and related plant operators</t>
        </is>
      </c>
      <c r="C402" s="16" t="inlineStr">
        <is>
          <t>모빌리티 / 자율주행 / 로보틱스</t>
        </is>
      </c>
      <c r="D402" s="15" t="inlineStr">
        <is>
          <t>02830101</t>
        </is>
      </c>
      <c r="E402" s="16" t="inlineStr">
        <is>
          <t>Crane, hoist and related plant operators 관련 국가직무</t>
        </is>
      </c>
      <c r="F402" s="15" t="inlineStr">
        <is>
          <t>83430</t>
        </is>
      </c>
      <c r="G402" s="16" t="inlineStr">
        <is>
          <t>Crane, hoist and related plant operators (한국 표준 직종)</t>
        </is>
      </c>
      <c r="H402" s="15" t="inlineStr">
        <is>
          <t>15-8311.00</t>
        </is>
      </c>
      <c r="I402" s="16" t="inlineStr">
        <is>
          <t>Crane, hoist and related plant operators</t>
        </is>
      </c>
      <c r="J402" s="15" t="inlineStr">
        <is>
          <t>83430</t>
        </is>
      </c>
      <c r="K402" s="16" t="inlineStr">
        <is>
          <t>Crane, hoist and related plant operators (CZ-ISCO)</t>
        </is>
      </c>
      <c r="L402" s="16" t="inlineStr">
        <is>
          <t>Crane, hoist and related plant operators operate and monitor stationary and mobile cranes and other hoisting equipment.</t>
        </is>
      </c>
    </row>
    <row r="403">
      <c r="A403" s="17" t="inlineStr">
        <is>
          <t>8344</t>
        </is>
      </c>
      <c r="B403" s="18" t="inlineStr">
        <is>
          <t>Lifting Truck Operators</t>
        </is>
      </c>
      <c r="C403" s="18" t="inlineStr">
        <is>
          <t>모빌리티 / 자율주행 / 로보틱스</t>
        </is>
      </c>
      <c r="D403" s="17" t="inlineStr">
        <is>
          <t>02830101</t>
        </is>
      </c>
      <c r="E403" s="18" t="inlineStr">
        <is>
          <t>Lifting Truck Operators 관련 국가직무</t>
        </is>
      </c>
      <c r="F403" s="17" t="inlineStr">
        <is>
          <t>83440</t>
        </is>
      </c>
      <c r="G403" s="18" t="inlineStr">
        <is>
          <t>Lifting Truck Operators (한국 표준 직종)</t>
        </is>
      </c>
      <c r="H403" s="17" t="inlineStr">
        <is>
          <t>15-8311.00</t>
        </is>
      </c>
      <c r="I403" s="18" t="inlineStr">
        <is>
          <t>Lifting Truck Operators</t>
        </is>
      </c>
      <c r="J403" s="17" t="inlineStr">
        <is>
          <t>83440</t>
        </is>
      </c>
      <c r="K403" s="18" t="inlineStr">
        <is>
          <t>Lifting Truck Operators (CZ-ISCO)</t>
        </is>
      </c>
      <c r="L403" s="18" t="inlineStr">
        <is>
          <t>Lifting-truck operators drive, operate and monitor lifting trucks or similar vehicles to transport, lift and stack pallets with goods.</t>
        </is>
      </c>
    </row>
    <row r="404">
      <c r="A404" s="15" t="inlineStr">
        <is>
          <t>8350</t>
        </is>
      </c>
      <c r="B404" s="16" t="inlineStr">
        <is>
          <t>Ships' Deck Crews and Related Workers</t>
        </is>
      </c>
      <c r="C404" s="16" t="inlineStr">
        <is>
          <t>모빌리티 / 자율주행 / 로보틱스</t>
        </is>
      </c>
      <c r="D404" s="15" t="inlineStr">
        <is>
          <t>02830101</t>
        </is>
      </c>
      <c r="E404" s="16" t="inlineStr">
        <is>
          <t>Ships' Deck Crews and Related Workers 관련 국가직무</t>
        </is>
      </c>
      <c r="F404" s="15" t="inlineStr">
        <is>
          <t>83500</t>
        </is>
      </c>
      <c r="G404" s="16" t="inlineStr">
        <is>
          <t>Ships' Deck Crews and Related Workers (한국 표준 직종)</t>
        </is>
      </c>
      <c r="H404" s="15" t="inlineStr">
        <is>
          <t>15-8311.00</t>
        </is>
      </c>
      <c r="I404" s="16" t="inlineStr">
        <is>
          <t>Ships' Deck Crews and Related Workers</t>
        </is>
      </c>
      <c r="J404" s="15" t="inlineStr">
        <is>
          <t>83500</t>
        </is>
      </c>
      <c r="K404" s="16" t="inlineStr">
        <is>
          <t>Ships' Deck Crews and Related Workers (CZ-ISCO)</t>
        </is>
      </c>
      <c r="L404" s="16" t="inlineStr">
        <is>
          <t>Ship’s deck crews and related workers carry out deck duties on board ships and similar duties on board other water-borne craft.</t>
        </is>
      </c>
    </row>
    <row r="405">
      <c r="A405" s="17" t="inlineStr">
        <is>
          <t>9111</t>
        </is>
      </c>
      <c r="B405" s="18" t="inlineStr">
        <is>
          <t>Domestic Cleaners and Helpers</t>
        </is>
      </c>
      <c r="C405" s="18" t="inlineStr">
        <is>
          <t>탄소중립 / 산업안전 / ESG</t>
        </is>
      </c>
      <c r="D405" s="17" t="inlineStr">
        <is>
          <t>14020101</t>
        </is>
      </c>
      <c r="E405" s="18" t="inlineStr">
        <is>
          <t>Domestic Cleaners and Helpers 관련 국가직무</t>
        </is>
      </c>
      <c r="F405" s="17" t="inlineStr">
        <is>
          <t>91110</t>
        </is>
      </c>
      <c r="G405" s="18" t="inlineStr">
        <is>
          <t>Domestic Cleaners and Helpers (한국 표준 직종)</t>
        </is>
      </c>
      <c r="H405" s="17" t="inlineStr">
        <is>
          <t>37-2011.00</t>
        </is>
      </c>
      <c r="I405" s="18" t="inlineStr">
        <is>
          <t>Domestic Cleaners and Helpers</t>
        </is>
      </c>
      <c r="J405" s="17" t="inlineStr">
        <is>
          <t>91110</t>
        </is>
      </c>
      <c r="K405" s="18" t="inlineStr">
        <is>
          <t>Domestic Cleaners and Helpers (CZ-ISCO)</t>
        </is>
      </c>
      <c r="L405" s="18" t="inlineStr">
        <is>
          <t>Domestic cleaners and helpers sweep, vacuum clean, wash and polish, take care of household linen, purchase household supplies, prepare food, serve meals and perform various other domestic duties.</t>
        </is>
      </c>
    </row>
    <row r="406">
      <c r="A406" s="15" t="inlineStr">
        <is>
          <t>9112</t>
        </is>
      </c>
      <c r="B406" s="16" t="inlineStr">
        <is>
          <t>Cleaners and Helpers in Offices, Hotels and Other Establishments</t>
        </is>
      </c>
      <c r="C406" s="16" t="inlineStr">
        <is>
          <t>탄소중립 / 산업안전 / ESG</t>
        </is>
      </c>
      <c r="D406" s="15" t="inlineStr">
        <is>
          <t>14020101</t>
        </is>
      </c>
      <c r="E406" s="16" t="inlineStr">
        <is>
          <t>Cleaners and Helpers in Offices, Hotels and Other Establishments 관련 국가직무</t>
        </is>
      </c>
      <c r="F406" s="15" t="inlineStr">
        <is>
          <t>91120</t>
        </is>
      </c>
      <c r="G406" s="16" t="inlineStr">
        <is>
          <t>Cleaners and Helpers in Offices, Hotels and Other Establishments (한국 표준 직종)</t>
        </is>
      </c>
      <c r="H406" s="15" t="inlineStr">
        <is>
          <t>37-2011.00</t>
        </is>
      </c>
      <c r="I406" s="16" t="inlineStr">
        <is>
          <t>Cleaners and Helpers in Offices, Hotels and Other Establishments</t>
        </is>
      </c>
      <c r="J406" s="15" t="inlineStr">
        <is>
          <t>91120</t>
        </is>
      </c>
      <c r="K406" s="16" t="inlineStr">
        <is>
          <t>Cleaners and Helpers in Offices, Hotels and Other Establishments (CZ-ISCO)</t>
        </is>
      </c>
      <c r="L406" s="16" t="inlineStr">
        <is>
          <t>Cleaners and helpers in offices, hotels and other establishments perform various cleaning tasks in order to keep clean and tidy the interiors and fixtures of hotels, offices and other establishments, as well as of aircraft, trains, buses and similar vehicles.</t>
        </is>
      </c>
    </row>
    <row r="407">
      <c r="A407" s="17" t="inlineStr">
        <is>
          <t>9121</t>
        </is>
      </c>
      <c r="B407" s="18" t="inlineStr">
        <is>
          <t>Hand Launderers and Pressers</t>
        </is>
      </c>
      <c r="C407" s="18" t="inlineStr">
        <is>
          <t>탄소중립 / 산업안전 / ESG</t>
        </is>
      </c>
      <c r="D407" s="17" t="inlineStr">
        <is>
          <t>14020101</t>
        </is>
      </c>
      <c r="E407" s="18" t="inlineStr">
        <is>
          <t>Hand Launderers and Pressers 관련 국가직무</t>
        </is>
      </c>
      <c r="F407" s="17" t="inlineStr">
        <is>
          <t>91210</t>
        </is>
      </c>
      <c r="G407" s="18" t="inlineStr">
        <is>
          <t>Hand Launderers and Pressers (한국 표준 직종)</t>
        </is>
      </c>
      <c r="H407" s="17" t="inlineStr">
        <is>
          <t>37-2011.00</t>
        </is>
      </c>
      <c r="I407" s="18" t="inlineStr">
        <is>
          <t>Hand Launderers and Pressers</t>
        </is>
      </c>
      <c r="J407" s="17" t="inlineStr">
        <is>
          <t>91210</t>
        </is>
      </c>
      <c r="K407" s="18" t="inlineStr">
        <is>
          <t>Hand Launderers and Pressers (CZ-ISCO)</t>
        </is>
      </c>
      <c r="L407" s="18" t="inlineStr">
        <is>
          <t>Hand launderers and pressers launder, press or dry-clean garments, linen and other textiles by hand.</t>
        </is>
      </c>
    </row>
    <row r="408">
      <c r="A408" s="15" t="inlineStr">
        <is>
          <t>9122</t>
        </is>
      </c>
      <c r="B408" s="16" t="inlineStr">
        <is>
          <t>Vehicle Cleaners</t>
        </is>
      </c>
      <c r="C408" s="16" t="inlineStr">
        <is>
          <t>탄소중립 / 산업안전 / ESG</t>
        </is>
      </c>
      <c r="D408" s="15" t="inlineStr">
        <is>
          <t>14020101</t>
        </is>
      </c>
      <c r="E408" s="16" t="inlineStr">
        <is>
          <t>Vehicle Cleaners 관련 국가직무</t>
        </is>
      </c>
      <c r="F408" s="15" t="inlineStr">
        <is>
          <t>91220</t>
        </is>
      </c>
      <c r="G408" s="16" t="inlineStr">
        <is>
          <t>Vehicle Cleaners (한국 표준 직종)</t>
        </is>
      </c>
      <c r="H408" s="15" t="inlineStr">
        <is>
          <t>37-2011.00</t>
        </is>
      </c>
      <c r="I408" s="16" t="inlineStr">
        <is>
          <t>Vehicle Cleaners</t>
        </is>
      </c>
      <c r="J408" s="15" t="inlineStr">
        <is>
          <t>91220</t>
        </is>
      </c>
      <c r="K408" s="16" t="inlineStr">
        <is>
          <t>Vehicle Cleaners (CZ-ISCO)</t>
        </is>
      </c>
      <c r="L408" s="16" t="inlineStr">
        <is>
          <t>Vehicle cleaners wash, clean and polish the exterior and interior of vehicles.</t>
        </is>
      </c>
    </row>
    <row r="409">
      <c r="A409" s="17" t="inlineStr">
        <is>
          <t>9123</t>
        </is>
      </c>
      <c r="B409" s="18" t="inlineStr">
        <is>
          <t>Window Cleaners</t>
        </is>
      </c>
      <c r="C409" s="18" t="inlineStr">
        <is>
          <t>탄소중립 / 산업안전 / ESG</t>
        </is>
      </c>
      <c r="D409" s="17" t="inlineStr">
        <is>
          <t>14020101</t>
        </is>
      </c>
      <c r="E409" s="18" t="inlineStr">
        <is>
          <t>Window Cleaners 관련 국가직무</t>
        </is>
      </c>
      <c r="F409" s="17" t="inlineStr">
        <is>
          <t>91230</t>
        </is>
      </c>
      <c r="G409" s="18" t="inlineStr">
        <is>
          <t>Window Cleaners (한국 표준 직종)</t>
        </is>
      </c>
      <c r="H409" s="17" t="inlineStr">
        <is>
          <t>37-2011.00</t>
        </is>
      </c>
      <c r="I409" s="18" t="inlineStr">
        <is>
          <t>Window Cleaners</t>
        </is>
      </c>
      <c r="J409" s="17" t="inlineStr">
        <is>
          <t>91230</t>
        </is>
      </c>
      <c r="K409" s="18" t="inlineStr">
        <is>
          <t>Window Cleaners (CZ-ISCO)</t>
        </is>
      </c>
      <c r="L409" s="18" t="inlineStr">
        <is>
          <t>Window cleaners wash and polish windows and other glass fittings.</t>
        </is>
      </c>
    </row>
    <row r="410">
      <c r="A410" s="15" t="inlineStr">
        <is>
          <t>9129</t>
        </is>
      </c>
      <c r="B410" s="16" t="inlineStr">
        <is>
          <t>Other Cleaning Workers</t>
        </is>
      </c>
      <c r="C410" s="16" t="inlineStr">
        <is>
          <t>탄소중립 / 산업안전 / ESG</t>
        </is>
      </c>
      <c r="D410" s="15" t="inlineStr">
        <is>
          <t>14020101</t>
        </is>
      </c>
      <c r="E410" s="16" t="inlineStr">
        <is>
          <t>Other Cleaning Workers 관련 국가직무</t>
        </is>
      </c>
      <c r="F410" s="15" t="inlineStr">
        <is>
          <t>91290</t>
        </is>
      </c>
      <c r="G410" s="16" t="inlineStr">
        <is>
          <t>Other Cleaning Workers (한국 표준 직종)</t>
        </is>
      </c>
      <c r="H410" s="15" t="inlineStr">
        <is>
          <t>37-2011.00</t>
        </is>
      </c>
      <c r="I410" s="16" t="inlineStr">
        <is>
          <t>Other Cleaning Workers</t>
        </is>
      </c>
      <c r="J410" s="15" t="inlineStr">
        <is>
          <t>91290</t>
        </is>
      </c>
      <c r="K410" s="16" t="inlineStr">
        <is>
          <t>Other Cleaning Workers (CZ-ISCO)</t>
        </is>
      </c>
      <c r="L410" s="16" t="inlineStr">
        <is>
          <t>This unit group includes cleaning workers not classified elsewhere. The group includes, for instance, those who clean surfaces, materials and objects, such as carpets, walls, swimming pools and cooling towers, using specialized cleaning equipment and chemicals.</t>
        </is>
      </c>
    </row>
    <row r="411">
      <c r="A411" s="17" t="inlineStr">
        <is>
          <t>9211</t>
        </is>
      </c>
      <c r="B411" s="18" t="inlineStr">
        <is>
          <t>Crop Farm Labourers</t>
        </is>
      </c>
      <c r="C411" s="18" t="inlineStr">
        <is>
          <t>탄소중립 / 산업안전 / ESG</t>
        </is>
      </c>
      <c r="D411" s="17" t="inlineStr">
        <is>
          <t>02920101</t>
        </is>
      </c>
      <c r="E411" s="18" t="inlineStr">
        <is>
          <t>Crop Farm Labourers 관련 국가직무</t>
        </is>
      </c>
      <c r="F411" s="17" t="inlineStr">
        <is>
          <t>92110</t>
        </is>
      </c>
      <c r="G411" s="18" t="inlineStr">
        <is>
          <t>Crop Farm Labourers (한국 표준 직종)</t>
        </is>
      </c>
      <c r="H411" s="17" t="inlineStr">
        <is>
          <t>15-9211.00</t>
        </is>
      </c>
      <c r="I411" s="18" t="inlineStr">
        <is>
          <t>Crop Farm Labourers</t>
        </is>
      </c>
      <c r="J411" s="17" t="inlineStr">
        <is>
          <t>92110</t>
        </is>
      </c>
      <c r="K411" s="18" t="inlineStr">
        <is>
          <t>Crop Farm Labourers (CZ-ISCO)</t>
        </is>
      </c>
      <c r="L411" s="18" t="inlineStr">
        <is>
          <t>Crop farm labourers perform simple and routine tasks on farms in the production of crops such as fruit, nuts, grains and vegetables.</t>
        </is>
      </c>
    </row>
    <row r="412">
      <c r="A412" s="15" t="inlineStr">
        <is>
          <t>9212</t>
        </is>
      </c>
      <c r="B412" s="16" t="inlineStr">
        <is>
          <t>Livestock Farm Labourers</t>
        </is>
      </c>
      <c r="C412" s="16" t="inlineStr">
        <is>
          <t>탄소중립 / 산업안전 / ESG</t>
        </is>
      </c>
      <c r="D412" s="15" t="inlineStr">
        <is>
          <t>02920101</t>
        </is>
      </c>
      <c r="E412" s="16" t="inlineStr">
        <is>
          <t>Livestock Farm Labourers 관련 국가직무</t>
        </is>
      </c>
      <c r="F412" s="15" t="inlineStr">
        <is>
          <t>92120</t>
        </is>
      </c>
      <c r="G412" s="16" t="inlineStr">
        <is>
          <t>Livestock Farm Labourers (한국 표준 직종)</t>
        </is>
      </c>
      <c r="H412" s="15" t="inlineStr">
        <is>
          <t>15-9211.00</t>
        </is>
      </c>
      <c r="I412" s="16" t="inlineStr">
        <is>
          <t>Livestock Farm Labourers</t>
        </is>
      </c>
      <c r="J412" s="15" t="inlineStr">
        <is>
          <t>92120</t>
        </is>
      </c>
      <c r="K412" s="16" t="inlineStr">
        <is>
          <t>Livestock Farm Labourers (CZ-ISCO)</t>
        </is>
      </c>
      <c r="L412" s="16" t="inlineStr">
        <is>
          <t>Livestock farm labourers perform simple and routine tasks in farm production of animals, including poultry and insects.</t>
        </is>
      </c>
    </row>
    <row r="413">
      <c r="A413" s="17" t="inlineStr">
        <is>
          <t>9213</t>
        </is>
      </c>
      <c r="B413" s="18" t="inlineStr">
        <is>
          <t>Mixed Crop and Livestock Farm Labourers</t>
        </is>
      </c>
      <c r="C413" s="18" t="inlineStr">
        <is>
          <t>탄소중립 / 산업안전 / ESG</t>
        </is>
      </c>
      <c r="D413" s="17" t="inlineStr">
        <is>
          <t>02920101</t>
        </is>
      </c>
      <c r="E413" s="18" t="inlineStr">
        <is>
          <t>Mixed Crop and Livestock Farm Labourers 관련 국가직무</t>
        </is>
      </c>
      <c r="F413" s="17" t="inlineStr">
        <is>
          <t>92130</t>
        </is>
      </c>
      <c r="G413" s="18" t="inlineStr">
        <is>
          <t>Mixed Crop and Livestock Farm Labourers (한국 표준 직종)</t>
        </is>
      </c>
      <c r="H413" s="17" t="inlineStr">
        <is>
          <t>15-9211.00</t>
        </is>
      </c>
      <c r="I413" s="18" t="inlineStr">
        <is>
          <t>Mixed Crop and Livestock Farm Labourers</t>
        </is>
      </c>
      <c r="J413" s="17" t="inlineStr">
        <is>
          <t>92130</t>
        </is>
      </c>
      <c r="K413" s="18" t="inlineStr">
        <is>
          <t>Mixed Crop and Livestock Farm Labourers (CZ-ISCO)</t>
        </is>
      </c>
      <c r="L413" s="18" t="inlineStr">
        <is>
          <t>Mixed crop and livestock farm labourers perform simple and routine tasks in farm production of both crops and animals.</t>
        </is>
      </c>
    </row>
    <row r="414">
      <c r="A414" s="15" t="inlineStr">
        <is>
          <t>9214</t>
        </is>
      </c>
      <c r="B414" s="16" t="inlineStr">
        <is>
          <t>Garden and Horticultural Labourers</t>
        </is>
      </c>
      <c r="C414" s="16" t="inlineStr">
        <is>
          <t>탄소중립 / 산업안전 / ESG</t>
        </is>
      </c>
      <c r="D414" s="15" t="inlineStr">
        <is>
          <t>02920101</t>
        </is>
      </c>
      <c r="E414" s="16" t="inlineStr">
        <is>
          <t>Garden and Horticultural Labourers 관련 국가직무</t>
        </is>
      </c>
      <c r="F414" s="15" t="inlineStr">
        <is>
          <t>92140</t>
        </is>
      </c>
      <c r="G414" s="16" t="inlineStr">
        <is>
          <t>Garden and Horticultural Labourers (한국 표준 직종)</t>
        </is>
      </c>
      <c r="H414" s="15" t="inlineStr">
        <is>
          <t>15-9211.00</t>
        </is>
      </c>
      <c r="I414" s="16" t="inlineStr">
        <is>
          <t>Garden and Horticultural Labourers</t>
        </is>
      </c>
      <c r="J414" s="15" t="inlineStr">
        <is>
          <t>92140</t>
        </is>
      </c>
      <c r="K414" s="16" t="inlineStr">
        <is>
          <t>Garden and Horticultural Labourers (CZ-ISCO)</t>
        </is>
      </c>
      <c r="L414" s="16"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c>
    </row>
    <row r="415">
      <c r="A415" s="17" t="inlineStr">
        <is>
          <t>9215</t>
        </is>
      </c>
      <c r="B415" s="18" t="inlineStr">
        <is>
          <t>Forestry Labourers</t>
        </is>
      </c>
      <c r="C415" s="18" t="inlineStr">
        <is>
          <t>탄소중립 / 산업안전 / ESG</t>
        </is>
      </c>
      <c r="D415" s="17" t="inlineStr">
        <is>
          <t>02920101</t>
        </is>
      </c>
      <c r="E415" s="18" t="inlineStr">
        <is>
          <t>Forestry Labourers 관련 국가직무</t>
        </is>
      </c>
      <c r="F415" s="17" t="inlineStr">
        <is>
          <t>92150</t>
        </is>
      </c>
      <c r="G415" s="18" t="inlineStr">
        <is>
          <t>Forestry Labourers (한국 표준 직종)</t>
        </is>
      </c>
      <c r="H415" s="17" t="inlineStr">
        <is>
          <t>15-9211.00</t>
        </is>
      </c>
      <c r="I415" s="18" t="inlineStr">
        <is>
          <t>Forestry Labourers</t>
        </is>
      </c>
      <c r="J415" s="17" t="inlineStr">
        <is>
          <t>92150</t>
        </is>
      </c>
      <c r="K415" s="18" t="inlineStr">
        <is>
          <t>Forestry Labourers (CZ-ISCO)</t>
        </is>
      </c>
      <c r="L415" s="18" t="inlineStr">
        <is>
          <t>Forestry labourers perform simple and routine tasks to cultivate and maintain natural and plantation forests, and log, fell and saw trees.</t>
        </is>
      </c>
    </row>
    <row r="416">
      <c r="A416" s="15" t="inlineStr">
        <is>
          <t>9216</t>
        </is>
      </c>
      <c r="B416" s="16" t="inlineStr">
        <is>
          <t>Fishery and Aquaculture Labourers</t>
        </is>
      </c>
      <c r="C416" s="16" t="inlineStr">
        <is>
          <t>탄소중립 / 산업안전 / ESG</t>
        </is>
      </c>
      <c r="D416" s="15" t="inlineStr">
        <is>
          <t>02920101</t>
        </is>
      </c>
      <c r="E416" s="16" t="inlineStr">
        <is>
          <t>Fishery and Aquaculture Labourers 관련 국가직무</t>
        </is>
      </c>
      <c r="F416" s="15" t="inlineStr">
        <is>
          <t>92160</t>
        </is>
      </c>
      <c r="G416" s="16" t="inlineStr">
        <is>
          <t>Fishery and Aquaculture Labourers (한국 표준 직종)</t>
        </is>
      </c>
      <c r="H416" s="15" t="inlineStr">
        <is>
          <t>15-9211.00</t>
        </is>
      </c>
      <c r="I416" s="16" t="inlineStr">
        <is>
          <t>Fishery and Aquaculture Labourers</t>
        </is>
      </c>
      <c r="J416" s="15" t="inlineStr">
        <is>
          <t>92160</t>
        </is>
      </c>
      <c r="K416" s="16" t="inlineStr">
        <is>
          <t>Fishery and Aquaculture Labourers (CZ-ISCO)</t>
        </is>
      </c>
      <c r="L416" s="16" t="inlineStr">
        <is>
          <t>Fishery and aquaculture labourers perform simple and routine tasks to cultivate, catch and harvest fish and seafood in aquaculture and inland, coastal and deep sea fishing operations.</t>
        </is>
      </c>
    </row>
    <row r="417">
      <c r="A417" s="17" t="inlineStr">
        <is>
          <t>9311</t>
        </is>
      </c>
      <c r="B417" s="18" t="inlineStr">
        <is>
          <t>Mining and Quarrying Labourers</t>
        </is>
      </c>
      <c r="C417" s="18" t="inlineStr">
        <is>
          <t>모빌리티 / 자율주행 / 로보틱스</t>
        </is>
      </c>
      <c r="D417" s="17" t="inlineStr">
        <is>
          <t>02930101</t>
        </is>
      </c>
      <c r="E417" s="18" t="inlineStr">
        <is>
          <t>Mining and Quarrying Labourers 관련 국가직무</t>
        </is>
      </c>
      <c r="F417" s="17" t="inlineStr">
        <is>
          <t>93110</t>
        </is>
      </c>
      <c r="G417" s="18" t="inlineStr">
        <is>
          <t>Mining and Quarrying Labourers (한국 표준 직종)</t>
        </is>
      </c>
      <c r="H417" s="17" t="inlineStr">
        <is>
          <t>15-9311.00</t>
        </is>
      </c>
      <c r="I417" s="18" t="inlineStr">
        <is>
          <t>Mining and Quarrying Labourers</t>
        </is>
      </c>
      <c r="J417" s="17" t="inlineStr">
        <is>
          <t>93110</t>
        </is>
      </c>
      <c r="K417" s="18" t="inlineStr">
        <is>
          <t>Mining and Quarrying Labourers (CZ-ISCO)</t>
        </is>
      </c>
      <c r="L417" s="18" t="inlineStr">
        <is>
          <t>Mining and quarrying labourers perform routine tasks in mining and quarrying operations.</t>
        </is>
      </c>
    </row>
    <row r="418">
      <c r="A418" s="15" t="inlineStr">
        <is>
          <t>9312</t>
        </is>
      </c>
      <c r="B418" s="16" t="inlineStr">
        <is>
          <t>Civil Engineering Labourers</t>
        </is>
      </c>
      <c r="C418" s="16" t="inlineStr">
        <is>
          <t>모빌리티 / 자율주행 / 로보틱스</t>
        </is>
      </c>
      <c r="D418" s="15" t="inlineStr">
        <is>
          <t>02930101</t>
        </is>
      </c>
      <c r="E418" s="16" t="inlineStr">
        <is>
          <t>Civil Engineering Labourers 관련 국가직무</t>
        </is>
      </c>
      <c r="F418" s="15" t="inlineStr">
        <is>
          <t>93120</t>
        </is>
      </c>
      <c r="G418" s="16" t="inlineStr">
        <is>
          <t>Civil Engineering Labourers (한국 표준 직종)</t>
        </is>
      </c>
      <c r="H418" s="15" t="inlineStr">
        <is>
          <t>15-9311.00</t>
        </is>
      </c>
      <c r="I418" s="16" t="inlineStr">
        <is>
          <t>Civil Engineering Labourers</t>
        </is>
      </c>
      <c r="J418" s="15" t="inlineStr">
        <is>
          <t>93120</t>
        </is>
      </c>
      <c r="K418" s="16" t="inlineStr">
        <is>
          <t>Civil Engineering Labourers (CZ-ISCO)</t>
        </is>
      </c>
      <c r="L418" s="16" t="inlineStr">
        <is>
          <t>Civil engineering labourers perform routine tasks in connection with the building and maintenance of roads, railways, dams and other civil engineering projects.</t>
        </is>
      </c>
    </row>
    <row r="419">
      <c r="A419" s="17" t="inlineStr">
        <is>
          <t>9313</t>
        </is>
      </c>
      <c r="B419" s="18" t="inlineStr">
        <is>
          <t>Building Construction Labourers</t>
        </is>
      </c>
      <c r="C419" s="18" t="inlineStr">
        <is>
          <t>모빌리티 / 자율주행 / 로보틱스</t>
        </is>
      </c>
      <c r="D419" s="17" t="inlineStr">
        <is>
          <t>02930101</t>
        </is>
      </c>
      <c r="E419" s="18" t="inlineStr">
        <is>
          <t>Building Construction Labourers 관련 국가직무</t>
        </is>
      </c>
      <c r="F419" s="17" t="inlineStr">
        <is>
          <t>93130</t>
        </is>
      </c>
      <c r="G419" s="18" t="inlineStr">
        <is>
          <t>Building Construction Labourers (한국 표준 직종)</t>
        </is>
      </c>
      <c r="H419" s="17" t="inlineStr">
        <is>
          <t>15-9311.00</t>
        </is>
      </c>
      <c r="I419" s="18" t="inlineStr">
        <is>
          <t>Building Construction Labourers</t>
        </is>
      </c>
      <c r="J419" s="17" t="inlineStr">
        <is>
          <t>93130</t>
        </is>
      </c>
      <c r="K419" s="18" t="inlineStr">
        <is>
          <t>Building Construction Labourers (CZ-ISCO)</t>
        </is>
      </c>
      <c r="L419" s="18" t="inlineStr">
        <is>
          <t>Building construction labourers perform routine tasks in connection with building construction and demolition work.</t>
        </is>
      </c>
    </row>
    <row r="420">
      <c r="A420" s="15" t="inlineStr">
        <is>
          <t>9321</t>
        </is>
      </c>
      <c r="B420" s="16" t="inlineStr">
        <is>
          <t>Hand Packers</t>
        </is>
      </c>
      <c r="C420" s="16" t="inlineStr">
        <is>
          <t>모빌리티 / 자율주행 / 로보틱스</t>
        </is>
      </c>
      <c r="D420" s="15" t="inlineStr">
        <is>
          <t>02930101</t>
        </is>
      </c>
      <c r="E420" s="16" t="inlineStr">
        <is>
          <t>Hand Packers 관련 국가직무</t>
        </is>
      </c>
      <c r="F420" s="15" t="inlineStr">
        <is>
          <t>93210</t>
        </is>
      </c>
      <c r="G420" s="16" t="inlineStr">
        <is>
          <t>Hand Packers (한국 표준 직종)</t>
        </is>
      </c>
      <c r="H420" s="15" t="inlineStr">
        <is>
          <t>15-9311.00</t>
        </is>
      </c>
      <c r="I420" s="16" t="inlineStr">
        <is>
          <t>Hand Packers</t>
        </is>
      </c>
      <c r="J420" s="15" t="inlineStr">
        <is>
          <t>93210</t>
        </is>
      </c>
      <c r="K420" s="16" t="inlineStr">
        <is>
          <t>Hand Packers (CZ-ISCO)</t>
        </is>
      </c>
      <c r="L420" s="16" t="inlineStr">
        <is>
          <t>Hand packers weigh, pack and label materials and products by hand.</t>
        </is>
      </c>
    </row>
    <row r="421">
      <c r="A421" s="17" t="inlineStr">
        <is>
          <t>9329</t>
        </is>
      </c>
      <c r="B421" s="18" t="inlineStr">
        <is>
          <t>Manufacturing Labourers Not Elsewhere Classified</t>
        </is>
      </c>
      <c r="C421" s="18" t="inlineStr">
        <is>
          <t>모빌리티 / 자율주행 / 로보틱스</t>
        </is>
      </c>
      <c r="D421" s="17" t="inlineStr">
        <is>
          <t>02930101</t>
        </is>
      </c>
      <c r="E421" s="18" t="inlineStr">
        <is>
          <t>Manufacturing Labourers Not Elsewhere Classified 관련 국가직무</t>
        </is>
      </c>
      <c r="F421" s="17" t="inlineStr">
        <is>
          <t>93290</t>
        </is>
      </c>
      <c r="G421" s="18" t="inlineStr">
        <is>
          <t>Manufacturing Labourers Not Elsewhere Classified (한국 표준 직종)</t>
        </is>
      </c>
      <c r="H421" s="17" t="inlineStr">
        <is>
          <t>15-9311.00</t>
        </is>
      </c>
      <c r="I421" s="18" t="inlineStr">
        <is>
          <t>Manufacturing Labourers Not Elsewhere Classified</t>
        </is>
      </c>
      <c r="J421" s="17" t="inlineStr">
        <is>
          <t>93290</t>
        </is>
      </c>
      <c r="K421" s="18" t="inlineStr">
        <is>
          <t>Manufacturing Labourers Not Elsewhere Classified (CZ-ISCO)</t>
        </is>
      </c>
      <c r="L421" s="18" t="inlineStr">
        <is>
          <t>Manufacturing labourers not elsewhere classified assist the work of machine operators and assemblers and perform a variety of simple and routine manual tasks in manufacturing, excluding packing and labelling finished products.</t>
        </is>
      </c>
    </row>
    <row r="422">
      <c r="A422" s="15" t="inlineStr">
        <is>
          <t>9331</t>
        </is>
      </c>
      <c r="B422" s="16" t="inlineStr">
        <is>
          <t>Hand and Pedal Vehicle Drivers</t>
        </is>
      </c>
      <c r="C422" s="16" t="inlineStr">
        <is>
          <t>모빌리티 / 자율주행 / 로보틱스</t>
        </is>
      </c>
      <c r="D422" s="15" t="inlineStr">
        <is>
          <t>02930101</t>
        </is>
      </c>
      <c r="E422" s="16" t="inlineStr">
        <is>
          <t>Hand and Pedal Vehicle Drivers 관련 국가직무</t>
        </is>
      </c>
      <c r="F422" s="15" t="inlineStr">
        <is>
          <t>93310</t>
        </is>
      </c>
      <c r="G422" s="16" t="inlineStr">
        <is>
          <t>Hand and Pedal Vehicle Drivers (한국 표준 직종)</t>
        </is>
      </c>
      <c r="H422" s="15" t="inlineStr">
        <is>
          <t>15-9311.00</t>
        </is>
      </c>
      <c r="I422" s="16" t="inlineStr">
        <is>
          <t>Hand and Pedal Vehicle Drivers</t>
        </is>
      </c>
      <c r="J422" s="15" t="inlineStr">
        <is>
          <t>93310</t>
        </is>
      </c>
      <c r="K422" s="16" t="inlineStr">
        <is>
          <t>Hand and Pedal Vehicle Drivers (CZ-ISCO)</t>
        </is>
      </c>
      <c r="L422" s="16" t="inlineStr">
        <is>
          <t>Hand and pedal vehicle drivers propel cycles, hand carts and similar vehicles to deliver messages and transport passengers or goods.</t>
        </is>
      </c>
    </row>
    <row r="423">
      <c r="A423" s="17" t="inlineStr">
        <is>
          <t>9332</t>
        </is>
      </c>
      <c r="B423" s="18" t="inlineStr">
        <is>
          <t>Drivers of Animal-drawn Vehicles and Machinery</t>
        </is>
      </c>
      <c r="C423" s="18" t="inlineStr">
        <is>
          <t>모빌리티 / 자율주행 / 로보틱스</t>
        </is>
      </c>
      <c r="D423" s="17" t="inlineStr">
        <is>
          <t>02930101</t>
        </is>
      </c>
      <c r="E423" s="18" t="inlineStr">
        <is>
          <t>Drivers of Animal-drawn Vehicles and Machinery 관련 국가직무</t>
        </is>
      </c>
      <c r="F423" s="17" t="inlineStr">
        <is>
          <t>93320</t>
        </is>
      </c>
      <c r="G423" s="18" t="inlineStr">
        <is>
          <t>Drivers of Animal-drawn Vehicles and Machinery (한국 표준 직종)</t>
        </is>
      </c>
      <c r="H423" s="17" t="inlineStr">
        <is>
          <t>15-9311.00</t>
        </is>
      </c>
      <c r="I423" s="18" t="inlineStr">
        <is>
          <t>Drivers of Animal-drawn Vehicles and Machinery</t>
        </is>
      </c>
      <c r="J423" s="17" t="inlineStr">
        <is>
          <t>93320</t>
        </is>
      </c>
      <c r="K423" s="18" t="inlineStr">
        <is>
          <t>Drivers of Animal-drawn Vehicles and Machinery (CZ-ISCO)</t>
        </is>
      </c>
      <c r="L423" s="18" t="inlineStr">
        <is>
          <t>Drivers of animal-drawn vehicles and machinery drive animal-drawn vehicles to transport passengers or goods, as well as animal-drawn machinery usually in connection with farming.</t>
        </is>
      </c>
    </row>
    <row r="424">
      <c r="A424" s="15" t="inlineStr">
        <is>
          <t>9333</t>
        </is>
      </c>
      <c r="B424" s="16" t="inlineStr">
        <is>
          <t>Freight Handlers</t>
        </is>
      </c>
      <c r="C424" s="16" t="inlineStr">
        <is>
          <t>모빌리티 / 자율주행 / 로보틱스</t>
        </is>
      </c>
      <c r="D424" s="15" t="inlineStr">
        <is>
          <t>02930101</t>
        </is>
      </c>
      <c r="E424" s="16" t="inlineStr">
        <is>
          <t>Freight Handlers 관련 국가직무</t>
        </is>
      </c>
      <c r="F424" s="15" t="inlineStr">
        <is>
          <t>93330</t>
        </is>
      </c>
      <c r="G424" s="16" t="inlineStr">
        <is>
          <t>Freight Handlers (한국 표준 직종)</t>
        </is>
      </c>
      <c r="H424" s="15" t="inlineStr">
        <is>
          <t>15-9311.00</t>
        </is>
      </c>
      <c r="I424" s="16" t="inlineStr">
        <is>
          <t>Freight Handlers</t>
        </is>
      </c>
      <c r="J424" s="15" t="inlineStr">
        <is>
          <t>93330</t>
        </is>
      </c>
      <c r="K424" s="16" t="inlineStr">
        <is>
          <t>Freight Handlers (CZ-ISCO)</t>
        </is>
      </c>
      <c r="L424" s="16" t="inlineStr">
        <is>
          <t>Freight handlers carry out tasks such as packing, carrying, loading and unloading furniture and other household items, or loading and unloading ship and aircraft cargoes and other freight, or carrying and stacking goods in various warehouses.</t>
        </is>
      </c>
    </row>
    <row r="425">
      <c r="A425" s="17" t="inlineStr">
        <is>
          <t>9334</t>
        </is>
      </c>
      <c r="B425" s="18" t="inlineStr">
        <is>
          <t>Shelf Fillers</t>
        </is>
      </c>
      <c r="C425" s="18" t="inlineStr">
        <is>
          <t>모빌리티 / 자율주행 / 로보틱스</t>
        </is>
      </c>
      <c r="D425" s="17" t="inlineStr">
        <is>
          <t>02930101</t>
        </is>
      </c>
      <c r="E425" s="18" t="inlineStr">
        <is>
          <t>Shelf Fillers 관련 국가직무</t>
        </is>
      </c>
      <c r="F425" s="17" t="inlineStr">
        <is>
          <t>93340</t>
        </is>
      </c>
      <c r="G425" s="18" t="inlineStr">
        <is>
          <t>Shelf Fillers (한국 표준 직종)</t>
        </is>
      </c>
      <c r="H425" s="17" t="inlineStr">
        <is>
          <t>15-9311.00</t>
        </is>
      </c>
      <c r="I425" s="18" t="inlineStr">
        <is>
          <t>Shelf Fillers</t>
        </is>
      </c>
      <c r="J425" s="17" t="inlineStr">
        <is>
          <t>93340</t>
        </is>
      </c>
      <c r="K425" s="18" t="inlineStr">
        <is>
          <t>Shelf Fillers (CZ-ISCO)</t>
        </is>
      </c>
      <c r="L425" s="18" t="inlineStr">
        <is>
          <t>Shelf fillers stock shelves and display areas and keep stock clean and in order in supermarkets and other retail and wholesale shops.</t>
        </is>
      </c>
    </row>
    <row r="426">
      <c r="A426" s="15" t="inlineStr">
        <is>
          <t>9411</t>
        </is>
      </c>
      <c r="B426" s="16" t="inlineStr">
        <is>
          <t>Fast Food Preparers</t>
        </is>
      </c>
      <c r="C426" s="16" t="inlineStr">
        <is>
          <t>B2B영업 / 마케팅 / GTM</t>
        </is>
      </c>
      <c r="D426" s="15" t="inlineStr">
        <is>
          <t>02940101</t>
        </is>
      </c>
      <c r="E426" s="16" t="inlineStr">
        <is>
          <t>Fast Food Preparers 관련 국가직무</t>
        </is>
      </c>
      <c r="F426" s="15" t="inlineStr">
        <is>
          <t>94110</t>
        </is>
      </c>
      <c r="G426" s="16" t="inlineStr">
        <is>
          <t>Fast Food Preparers (한국 표준 직종)</t>
        </is>
      </c>
      <c r="H426" s="15" t="inlineStr">
        <is>
          <t>15-9411.00</t>
        </is>
      </c>
      <c r="I426" s="16" t="inlineStr">
        <is>
          <t>Fast Food Preparers</t>
        </is>
      </c>
      <c r="J426" s="15" t="inlineStr">
        <is>
          <t>94110</t>
        </is>
      </c>
      <c r="K426" s="16" t="inlineStr">
        <is>
          <t>Fast Food Preparers (CZ-ISCO)</t>
        </is>
      </c>
      <c r="L426" s="16" t="inlineStr">
        <is>
          <t>Fast food preparers prepare and cook to order a limited range of foods or beverages that involve simple preparation processes and a small number of ingredients. They may take orders from customers and serve at counters or tables.</t>
        </is>
      </c>
    </row>
    <row r="427">
      <c r="A427" s="17" t="inlineStr">
        <is>
          <t>9412</t>
        </is>
      </c>
      <c r="B427" s="18" t="inlineStr">
        <is>
          <t>Kitchen Helpers</t>
        </is>
      </c>
      <c r="C427" s="18" t="inlineStr">
        <is>
          <t>B2B영업 / 마케팅 / GTM</t>
        </is>
      </c>
      <c r="D427" s="17" t="inlineStr">
        <is>
          <t>02940101</t>
        </is>
      </c>
      <c r="E427" s="18" t="inlineStr">
        <is>
          <t>Kitchen Helpers 관련 국가직무</t>
        </is>
      </c>
      <c r="F427" s="17" t="inlineStr">
        <is>
          <t>94120</t>
        </is>
      </c>
      <c r="G427" s="18" t="inlineStr">
        <is>
          <t>Kitchen Helpers (한국 표준 직종)</t>
        </is>
      </c>
      <c r="H427" s="17" t="inlineStr">
        <is>
          <t>15-9411.00</t>
        </is>
      </c>
      <c r="I427" s="18" t="inlineStr">
        <is>
          <t>Kitchen Helpers</t>
        </is>
      </c>
      <c r="J427" s="17" t="inlineStr">
        <is>
          <t>94120</t>
        </is>
      </c>
      <c r="K427" s="18" t="inlineStr">
        <is>
          <t>Kitchen Helpers (CZ-ISCO)</t>
        </is>
      </c>
      <c r="L427" s="18" t="inlineStr">
        <is>
          <t>Kitchen helpers clear tables, clean kitchen areas, wash dishes, prepare ingredients and perform other duties to assist workers who prepare or serve food and beverages.</t>
        </is>
      </c>
    </row>
    <row r="428">
      <c r="A428" s="15" t="inlineStr">
        <is>
          <t>9510</t>
        </is>
      </c>
      <c r="B428" s="16" t="inlineStr">
        <is>
          <t>Street and Related Service Workers</t>
        </is>
      </c>
      <c r="C428" s="16" t="inlineStr">
        <is>
          <t>B2B영업 / 마케팅 / GTM</t>
        </is>
      </c>
      <c r="D428" s="15" t="inlineStr">
        <is>
          <t>02950101</t>
        </is>
      </c>
      <c r="E428" s="16" t="inlineStr">
        <is>
          <t>Street and Related Service Workers 관련 국가직무</t>
        </is>
      </c>
      <c r="F428" s="15" t="inlineStr">
        <is>
          <t>95100</t>
        </is>
      </c>
      <c r="G428" s="16" t="inlineStr">
        <is>
          <t>Street and Related Service Workers (한국 표준 직종)</t>
        </is>
      </c>
      <c r="H428" s="15" t="inlineStr">
        <is>
          <t>15-9511.00</t>
        </is>
      </c>
      <c r="I428" s="16" t="inlineStr">
        <is>
          <t>Street and Related Service Workers</t>
        </is>
      </c>
      <c r="J428" s="15" t="inlineStr">
        <is>
          <t>95100</t>
        </is>
      </c>
      <c r="K428" s="16" t="inlineStr">
        <is>
          <t>Street and Related Service Workers (CZ-ISCO)</t>
        </is>
      </c>
      <c r="L428" s="16" t="inlineStr">
        <is>
          <t>Street and related service workers provide a variety of services on streets and in other public places, including cleaning shoes, washing car windows, running errands, handing out leaflets, looking after property, and providing other on-the-spot street services.</t>
        </is>
      </c>
    </row>
    <row r="429">
      <c r="A429" s="17" t="inlineStr">
        <is>
          <t>9520</t>
        </is>
      </c>
      <c r="B429" s="18" t="inlineStr">
        <is>
          <t>Street Vendors (excluding Food)</t>
        </is>
      </c>
      <c r="C429" s="18" t="inlineStr">
        <is>
          <t>B2B영업 / 마케팅 / GTM</t>
        </is>
      </c>
      <c r="D429" s="17" t="inlineStr">
        <is>
          <t>02950101</t>
        </is>
      </c>
      <c r="E429" s="18" t="inlineStr">
        <is>
          <t>Street Vendors (excluding Food) 관련 국가직무</t>
        </is>
      </c>
      <c r="F429" s="17" t="inlineStr">
        <is>
          <t>95200</t>
        </is>
      </c>
      <c r="G429" s="18" t="inlineStr">
        <is>
          <t>Street Vendors (excluding Food) (한국 표준 직종)</t>
        </is>
      </c>
      <c r="H429" s="17" t="inlineStr">
        <is>
          <t>15-9511.00</t>
        </is>
      </c>
      <c r="I429" s="18" t="inlineStr">
        <is>
          <t>Street Vendors (excluding Food)</t>
        </is>
      </c>
      <c r="J429" s="17" t="inlineStr">
        <is>
          <t>95200</t>
        </is>
      </c>
      <c r="K429" s="18" t="inlineStr">
        <is>
          <t>Street Vendors (excluding Food) (CZ-ISCO)</t>
        </is>
      </c>
      <c r="L429" s="18" t="inlineStr">
        <is>
          <t>Street vendors (excluding food) sell a usually limited range of goods (excluding food for immediate consumption) in streets and public places such as stations, cinemas or theatres.</t>
        </is>
      </c>
    </row>
    <row r="430">
      <c r="A430" s="15" t="inlineStr">
        <is>
          <t>9611</t>
        </is>
      </c>
      <c r="B430" s="16" t="inlineStr">
        <is>
          <t>Garbage and Recycling Collectors</t>
        </is>
      </c>
      <c r="C430" s="16" t="inlineStr">
        <is>
          <t>탄소중립 / 산업안전 / ESG</t>
        </is>
      </c>
      <c r="D430" s="15" t="inlineStr">
        <is>
          <t>02960101</t>
        </is>
      </c>
      <c r="E430" s="16" t="inlineStr">
        <is>
          <t>Garbage and Recycling Collectors 관련 국가직무</t>
        </is>
      </c>
      <c r="F430" s="15" t="inlineStr">
        <is>
          <t>96110</t>
        </is>
      </c>
      <c r="G430" s="16" t="inlineStr">
        <is>
          <t>Garbage and Recycling Collectors (한국 표준 직종)</t>
        </is>
      </c>
      <c r="H430" s="15" t="inlineStr">
        <is>
          <t>15-9611.00</t>
        </is>
      </c>
      <c r="I430" s="16" t="inlineStr">
        <is>
          <t>Garbage and Recycling Collectors</t>
        </is>
      </c>
      <c r="J430" s="15" t="inlineStr">
        <is>
          <t>96110</t>
        </is>
      </c>
      <c r="K430" s="16" t="inlineStr">
        <is>
          <t>Garbage and Recycling Collectors (CZ-ISCO)</t>
        </is>
      </c>
      <c r="L430" s="16" t="inlineStr">
        <is>
          <t>Garbage collectors collect and remove rubbish and items for recycling from buildings, yards, streets and other places.</t>
        </is>
      </c>
    </row>
    <row r="431">
      <c r="A431" s="17" t="inlineStr">
        <is>
          <t>9612</t>
        </is>
      </c>
      <c r="B431" s="18" t="inlineStr">
        <is>
          <t>Refuse Sorters</t>
        </is>
      </c>
      <c r="C431" s="18" t="inlineStr">
        <is>
          <t>탄소중립 / 산업안전 / ESG</t>
        </is>
      </c>
      <c r="D431" s="17" t="inlineStr">
        <is>
          <t>02960101</t>
        </is>
      </c>
      <c r="E431" s="18" t="inlineStr">
        <is>
          <t>Refuse Sorters 관련 국가직무</t>
        </is>
      </c>
      <c r="F431" s="17" t="inlineStr">
        <is>
          <t>96120</t>
        </is>
      </c>
      <c r="G431" s="18" t="inlineStr">
        <is>
          <t>Refuse Sorters (한국 표준 직종)</t>
        </is>
      </c>
      <c r="H431" s="17" t="inlineStr">
        <is>
          <t>15-9611.00</t>
        </is>
      </c>
      <c r="I431" s="18" t="inlineStr">
        <is>
          <t>Refuse Sorters</t>
        </is>
      </c>
      <c r="J431" s="17" t="inlineStr">
        <is>
          <t>96120</t>
        </is>
      </c>
      <c r="K431" s="18" t="inlineStr">
        <is>
          <t>Refuse Sorters (CZ-ISCO)</t>
        </is>
      </c>
      <c r="L431" s="18" t="inlineStr">
        <is>
          <t>Refuse sorters identify, collect and sort discarded items suitable for recycling at dump sites and recycling enterprises or in buildings, streets and other public places.</t>
        </is>
      </c>
    </row>
    <row r="432">
      <c r="A432" s="15" t="inlineStr">
        <is>
          <t>9613</t>
        </is>
      </c>
      <c r="B432" s="16" t="inlineStr">
        <is>
          <t>Sweepers and Related Labourers</t>
        </is>
      </c>
      <c r="C432" s="16" t="inlineStr">
        <is>
          <t>탄소중립 / 산업안전 / ESG</t>
        </is>
      </c>
      <c r="D432" s="15" t="inlineStr">
        <is>
          <t>02960101</t>
        </is>
      </c>
      <c r="E432" s="16" t="inlineStr">
        <is>
          <t>Sweepers and Related Labourers 관련 국가직무</t>
        </is>
      </c>
      <c r="F432" s="15" t="inlineStr">
        <is>
          <t>96130</t>
        </is>
      </c>
      <c r="G432" s="16" t="inlineStr">
        <is>
          <t>Sweepers and Related Labourers (한국 표준 직종)</t>
        </is>
      </c>
      <c r="H432" s="15" t="inlineStr">
        <is>
          <t>15-9611.00</t>
        </is>
      </c>
      <c r="I432" s="16" t="inlineStr">
        <is>
          <t>Sweepers and Related Labourers</t>
        </is>
      </c>
      <c r="J432" s="15" t="inlineStr">
        <is>
          <t>96130</t>
        </is>
      </c>
      <c r="K432" s="16" t="inlineStr">
        <is>
          <t>Sweepers and Related Labourers (CZ-ISCO)</t>
        </is>
      </c>
      <c r="L432" s="16" t="inlineStr">
        <is>
          <t>Sweepers and related labourers sweep and clean streets, parks, airports, stations and other public places.</t>
        </is>
      </c>
    </row>
    <row r="433">
      <c r="A433" s="17" t="inlineStr">
        <is>
          <t>9621</t>
        </is>
      </c>
      <c r="B433" s="18" t="inlineStr">
        <is>
          <t>Messengers, Package Deliverers and Luggage Porters</t>
        </is>
      </c>
      <c r="C433" s="18" t="inlineStr">
        <is>
          <t>탄소중립 / 산업안전 / ESG</t>
        </is>
      </c>
      <c r="D433" s="17" t="inlineStr">
        <is>
          <t>02960101</t>
        </is>
      </c>
      <c r="E433" s="18" t="inlineStr">
        <is>
          <t>Messengers, Package Deliverers and Luggage Porters 관련 국가직무</t>
        </is>
      </c>
      <c r="F433" s="17" t="inlineStr">
        <is>
          <t>96210</t>
        </is>
      </c>
      <c r="G433" s="18" t="inlineStr">
        <is>
          <t>Messengers, Package Deliverers and Luggage Porters (한국 표준 직종)</t>
        </is>
      </c>
      <c r="H433" s="17" t="inlineStr">
        <is>
          <t>15-9611.00</t>
        </is>
      </c>
      <c r="I433" s="18" t="inlineStr">
        <is>
          <t>Messengers, Package Deliverers and Luggage Porters</t>
        </is>
      </c>
      <c r="J433" s="17" t="inlineStr">
        <is>
          <t>96210</t>
        </is>
      </c>
      <c r="K433" s="18" t="inlineStr">
        <is>
          <t>Messengers, Package Deliverers and Luggage Porters (CZ-ISCO)</t>
        </is>
      </c>
      <c r="L433" s="18" t="inlineStr">
        <is>
          <t>Messengers, package deliverers and luggage porters carry and deliver messages, packages and other items on foot, within an establishment or between establishments, to households and elsewhere, or carry luggage, especially at hotels, stations and airports.</t>
        </is>
      </c>
    </row>
    <row r="434">
      <c r="A434" s="15" t="inlineStr">
        <is>
          <t>9622</t>
        </is>
      </c>
      <c r="B434" s="16" t="inlineStr">
        <is>
          <t>Odd Job Persons</t>
        </is>
      </c>
      <c r="C434" s="16" t="inlineStr">
        <is>
          <t>탄소중립 / 산업안전 / ESG</t>
        </is>
      </c>
      <c r="D434" s="15" t="inlineStr">
        <is>
          <t>02960101</t>
        </is>
      </c>
      <c r="E434" s="16" t="inlineStr">
        <is>
          <t>Odd Job Persons 관련 국가직무</t>
        </is>
      </c>
      <c r="F434" s="15" t="inlineStr">
        <is>
          <t>96220</t>
        </is>
      </c>
      <c r="G434" s="16" t="inlineStr">
        <is>
          <t>Odd Job Persons (한국 표준 직종)</t>
        </is>
      </c>
      <c r="H434" s="15" t="inlineStr">
        <is>
          <t>15-9611.00</t>
        </is>
      </c>
      <c r="I434" s="16" t="inlineStr">
        <is>
          <t>Odd Job Persons</t>
        </is>
      </c>
      <c r="J434" s="15" t="inlineStr">
        <is>
          <t>96220</t>
        </is>
      </c>
      <c r="K434" s="16" t="inlineStr">
        <is>
          <t>Odd Job Persons (CZ-ISCO)</t>
        </is>
      </c>
      <c r="L434" s="16" t="inlineStr">
        <is>
          <t>Odd job persons clean, paint and maintain buildings, grounds and facilities, and undertake simple repairs.</t>
        </is>
      </c>
    </row>
    <row r="435">
      <c r="A435" s="17" t="inlineStr">
        <is>
          <t>9623</t>
        </is>
      </c>
      <c r="B435" s="18" t="inlineStr">
        <is>
          <t>Meter Readers and Vending-machine Collectors</t>
        </is>
      </c>
      <c r="C435" s="18" t="inlineStr">
        <is>
          <t>탄소중립 / 산업안전 / ESG</t>
        </is>
      </c>
      <c r="D435" s="17" t="inlineStr">
        <is>
          <t>02960101</t>
        </is>
      </c>
      <c r="E435" s="18" t="inlineStr">
        <is>
          <t>Meter Readers and Vending-machine Collectors 관련 국가직무</t>
        </is>
      </c>
      <c r="F435" s="17" t="inlineStr">
        <is>
          <t>96230</t>
        </is>
      </c>
      <c r="G435" s="18" t="inlineStr">
        <is>
          <t>Meter Readers and Vending-machine Collectors (한국 표준 직종)</t>
        </is>
      </c>
      <c r="H435" s="17" t="inlineStr">
        <is>
          <t>15-9611.00</t>
        </is>
      </c>
      <c r="I435" s="18" t="inlineStr">
        <is>
          <t>Meter Readers and Vending-machine Collectors</t>
        </is>
      </c>
      <c r="J435" s="17" t="inlineStr">
        <is>
          <t>96230</t>
        </is>
      </c>
      <c r="K435" s="18" t="inlineStr">
        <is>
          <t>Meter Readers and Vending-machine Collectors (CZ-ISCO)</t>
        </is>
      </c>
      <c r="L435" s="18" t="inlineStr">
        <is>
          <t>Meter readers and vending-machine collectors stock vending machines and collect money from them or from parking meters and other coin-boxes, or read electricity, gas or water meters.</t>
        </is>
      </c>
    </row>
    <row r="436">
      <c r="A436" s="15" t="inlineStr">
        <is>
          <t>9624</t>
        </is>
      </c>
      <c r="B436" s="16" t="inlineStr">
        <is>
          <t>Water and Firewood Collectors</t>
        </is>
      </c>
      <c r="C436" s="16" t="inlineStr">
        <is>
          <t>탄소중립 / 산업안전 / ESG</t>
        </is>
      </c>
      <c r="D436" s="15" t="inlineStr">
        <is>
          <t>02960101</t>
        </is>
      </c>
      <c r="E436" s="16" t="inlineStr">
        <is>
          <t>Water and Firewood Collectors 관련 국가직무</t>
        </is>
      </c>
      <c r="F436" s="15" t="inlineStr">
        <is>
          <t>96240</t>
        </is>
      </c>
      <c r="G436" s="16" t="inlineStr">
        <is>
          <t>Water and Firewood Collectors (한국 표준 직종)</t>
        </is>
      </c>
      <c r="H436" s="15" t="inlineStr">
        <is>
          <t>15-9611.00</t>
        </is>
      </c>
      <c r="I436" s="16" t="inlineStr">
        <is>
          <t>Water and Firewood Collectors</t>
        </is>
      </c>
      <c r="J436" s="15" t="inlineStr">
        <is>
          <t>96240</t>
        </is>
      </c>
      <c r="K436" s="16" t="inlineStr">
        <is>
          <t>Water and Firewood Collectors (CZ-ISCO)</t>
        </is>
      </c>
      <c r="L436" s="16" t="inlineStr">
        <is>
          <t>Water and firewood collectors collect water and firewood and transport them on foot or using hand or animal carts.</t>
        </is>
      </c>
    </row>
    <row r="437">
      <c r="A437" s="17" t="inlineStr">
        <is>
          <t>9629</t>
        </is>
      </c>
      <c r="B437" s="18" t="inlineStr">
        <is>
          <t>Elementary Workers Not Elsewhere Classified</t>
        </is>
      </c>
      <c r="C437" s="18" t="inlineStr">
        <is>
          <t>탄소중립 / 산업안전 / ESG</t>
        </is>
      </c>
      <c r="D437" s="17" t="inlineStr">
        <is>
          <t>02960101</t>
        </is>
      </c>
      <c r="E437" s="18" t="inlineStr">
        <is>
          <t>Elementary Workers Not Elsewhere Classified 관련 국가직무</t>
        </is>
      </c>
      <c r="F437" s="17" t="inlineStr">
        <is>
          <t>96290</t>
        </is>
      </c>
      <c r="G437" s="18" t="inlineStr">
        <is>
          <t>Elementary Workers Not Elsewhere Classified (한국 표준 직종)</t>
        </is>
      </c>
      <c r="H437" s="17" t="inlineStr">
        <is>
          <t>15-9611.00</t>
        </is>
      </c>
      <c r="I437" s="18" t="inlineStr">
        <is>
          <t>Elementary Workers Not Elsewhere Classified</t>
        </is>
      </c>
      <c r="J437" s="17" t="inlineStr">
        <is>
          <t>96290</t>
        </is>
      </c>
      <c r="K437" s="18" t="inlineStr">
        <is>
          <t>Elementary Workers Not Elsewhere Classified (CZ-ISCO)</t>
        </is>
      </c>
      <c r="L437" s="18"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42"/>
  <sheetViews>
    <sheetView showGridLines="1" workbookViewId="0">
      <selection activeCell="A1" sqref="A1"/>
    </sheetView>
  </sheetViews>
  <sheetFormatPr baseColWidth="8" defaultRowHeight="15"/>
  <cols>
    <col width="16" customWidth="1" min="1" max="1"/>
    <col width="12" customWidth="1" min="2" max="2"/>
    <col width="45" customWidth="1" min="3" max="3"/>
    <col width="12" customWidth="1" min="4" max="4"/>
    <col width="45" customWidth="1" min="5" max="5"/>
    <col width="29" customWidth="1" min="6" max="6"/>
    <col width="27" customWidth="1" min="7" max="7"/>
    <col width="45" customWidth="1" min="8" max="8"/>
    <col width="45" customWidth="1" min="9" max="9"/>
    <col width="32" customWidth="1" min="10" max="10"/>
    <col width="19" customWidth="1" min="11" max="11"/>
    <col width="29" customWidth="1" min="12" max="12"/>
  </cols>
  <sheetData>
    <row r="1">
      <c r="A1" s="19" t="inlineStr">
        <is>
          <t>Transition_ID</t>
        </is>
      </c>
      <c r="B1" s="19" t="inlineStr">
        <is>
          <t>From_ISCO</t>
        </is>
      </c>
      <c r="C1" s="19" t="inlineStr">
        <is>
          <t>From_Role_Title</t>
        </is>
      </c>
      <c r="D1" s="19" t="inlineStr">
        <is>
          <t>To_ISCO</t>
        </is>
      </c>
      <c r="E1" s="19" t="inlineStr">
        <is>
          <t>To_Role_Title</t>
        </is>
      </c>
      <c r="F1" s="19" t="inlineStr">
        <is>
          <t>Domain</t>
        </is>
      </c>
      <c r="G1" s="19" t="inlineStr">
        <is>
          <t>Transition_Type</t>
        </is>
      </c>
      <c r="H1" s="19" t="inlineStr">
        <is>
          <t>Mandatory_Skill_Delta (ΔSkill)</t>
        </is>
      </c>
      <c r="I1" s="19" t="inlineStr">
        <is>
          <t>Preferred_Skill_Delta</t>
        </is>
      </c>
      <c r="J1" s="19" t="inlineStr">
        <is>
          <t>Required_Certs_Tenure</t>
        </is>
      </c>
      <c r="K1" s="19" t="inlineStr">
        <is>
          <t>Difficulty_Stars</t>
        </is>
      </c>
      <c r="L1" s="19" t="inlineStr">
        <is>
          <t>Expected_Salary_Growth_Pct</t>
        </is>
      </c>
    </row>
    <row r="2">
      <c r="A2" s="15" t="inlineStr">
        <is>
          <t>TR-0001</t>
        </is>
      </c>
      <c r="B2" s="15" t="inlineStr">
        <is>
          <t>1211</t>
        </is>
      </c>
      <c r="C2" s="16" t="inlineStr">
        <is>
          <t>Finance Managers</t>
        </is>
      </c>
      <c r="D2" s="15" t="inlineStr">
        <is>
          <t>1346</t>
        </is>
      </c>
      <c r="E2" s="16" t="inlineStr">
        <is>
          <t>Financial and Insurance Services Branch managers</t>
        </is>
      </c>
      <c r="F2" s="16" t="inlineStr">
        <is>
          <t>경영전략 / 인사 / 사업개발</t>
        </is>
      </c>
      <c r="G2" s="15" t="inlineStr">
        <is>
          <t>horizontal_transfer</t>
        </is>
      </c>
      <c r="H2" s="16" t="inlineStr">
        <is>
          <t>planning, coordinating, activities</t>
        </is>
      </c>
      <c r="I2" s="16" t="inlineStr">
        <is>
          <t>심화 Financial and Insurance Services Branch managers 실무, 프로젝트 관리 역량</t>
        </is>
      </c>
      <c r="J2" s="16" t="inlineStr">
        <is>
          <t>실무 1년 이상 및 전문 자격</t>
        </is>
      </c>
      <c r="K2" s="15" t="inlineStr">
        <is>
          <t>★★☆☆☆</t>
        </is>
      </c>
      <c r="L2" s="20" t="inlineStr">
        <is>
          <t>+15.0%</t>
        </is>
      </c>
    </row>
    <row r="3">
      <c r="A3" s="17" t="inlineStr">
        <is>
          <t>TR-0002</t>
        </is>
      </c>
      <c r="B3" s="17" t="inlineStr">
        <is>
          <t>1211</t>
        </is>
      </c>
      <c r="C3" s="18" t="inlineStr">
        <is>
          <t>Finance Managers</t>
        </is>
      </c>
      <c r="D3" s="17" t="inlineStr">
        <is>
          <t>2411</t>
        </is>
      </c>
      <c r="E3" s="18" t="inlineStr">
        <is>
          <t>Accountants</t>
        </is>
      </c>
      <c r="F3" s="18" t="inlineStr">
        <is>
          <t>경영전략 / 인사 / 사업개발</t>
        </is>
      </c>
      <c r="G3" s="17" t="inlineStr">
        <is>
          <t>horizontal_transfer</t>
        </is>
      </c>
      <c r="H3" s="18" t="inlineStr">
        <is>
          <t>advising, planning, installing</t>
        </is>
      </c>
      <c r="I3" s="18" t="inlineStr">
        <is>
          <t>심화 Accountants 실무, 프로젝트 관리 역량</t>
        </is>
      </c>
      <c r="J3" s="18" t="inlineStr">
        <is>
          <t>실무 1년 이상 및 전문 자격</t>
        </is>
      </c>
      <c r="K3" s="17" t="inlineStr">
        <is>
          <t>★☆☆☆☆</t>
        </is>
      </c>
      <c r="L3" s="21" t="inlineStr">
        <is>
          <t>+8.0%</t>
        </is>
      </c>
    </row>
    <row r="4">
      <c r="A4" s="15" t="inlineStr">
        <is>
          <t>TR-0003</t>
        </is>
      </c>
      <c r="B4" s="15" t="inlineStr">
        <is>
          <t>1312</t>
        </is>
      </c>
      <c r="C4" s="16" t="inlineStr">
        <is>
          <t>Aquaculture and Fisheries Production Managers</t>
        </is>
      </c>
      <c r="D4" s="15" t="inlineStr">
        <is>
          <t>6221</t>
        </is>
      </c>
      <c r="E4" s="16" t="inlineStr">
        <is>
          <t>Aquaculture Workers</t>
        </is>
      </c>
      <c r="F4" s="16" t="inlineStr">
        <is>
          <t>모빌리티 / 자율주행 / 로보틱스</t>
        </is>
      </c>
      <c r="G4" s="15" t="inlineStr">
        <is>
          <t>horizontal_transfer</t>
        </is>
      </c>
      <c r="H4" s="16" t="inlineStr">
        <is>
          <t>breeding, raising, cultivating</t>
        </is>
      </c>
      <c r="I4" s="16" t="inlineStr">
        <is>
          <t>심화 Aquaculture Workers 실무, 프로젝트 관리 역량</t>
        </is>
      </c>
      <c r="J4" s="16" t="inlineStr">
        <is>
          <t>실무 1년 이상 및 전문 자격</t>
        </is>
      </c>
      <c r="K4" s="15" t="inlineStr">
        <is>
          <t>★☆☆☆☆</t>
        </is>
      </c>
      <c r="L4" s="20" t="inlineStr">
        <is>
          <t>+8.0%</t>
        </is>
      </c>
    </row>
    <row r="5">
      <c r="A5" s="17" t="inlineStr">
        <is>
          <t>TR-0004</t>
        </is>
      </c>
      <c r="B5" s="17" t="inlineStr">
        <is>
          <t>1312</t>
        </is>
      </c>
      <c r="C5" s="18" t="inlineStr">
        <is>
          <t>Aquaculture and Fisheries Production Managers</t>
        </is>
      </c>
      <c r="D5" s="17" t="inlineStr">
        <is>
          <t>6222</t>
        </is>
      </c>
      <c r="E5" s="18" t="inlineStr">
        <is>
          <t>Inland and Coastal Waters Fishery Workers</t>
        </is>
      </c>
      <c r="F5" s="18" t="inlineStr">
        <is>
          <t>모빌리티 / 자율주행 / 로보틱스</t>
        </is>
      </c>
      <c r="G5" s="17" t="inlineStr">
        <is>
          <t>horizontal_transfer</t>
        </is>
      </c>
      <c r="H5" s="18" t="inlineStr">
        <is>
          <t>preparing, repairing, nets</t>
        </is>
      </c>
      <c r="I5" s="18" t="inlineStr">
        <is>
          <t>심화 Inland and Coastal Waters Fishery Workers 실무, 프로젝트 관리 역량</t>
        </is>
      </c>
      <c r="J5" s="18" t="inlineStr">
        <is>
          <t>실무 1년 이상 및 전문 자격</t>
        </is>
      </c>
      <c r="K5" s="17" t="inlineStr">
        <is>
          <t>★☆☆☆☆</t>
        </is>
      </c>
      <c r="L5" s="21" t="inlineStr">
        <is>
          <t>+8.0%</t>
        </is>
      </c>
    </row>
    <row r="6">
      <c r="A6" s="15" t="inlineStr">
        <is>
          <t>TR-0005</t>
        </is>
      </c>
      <c r="B6" s="15" t="inlineStr">
        <is>
          <t>1312</t>
        </is>
      </c>
      <c r="C6" s="16" t="inlineStr">
        <is>
          <t>Aquaculture and Fisheries Production Managers</t>
        </is>
      </c>
      <c r="D6" s="15" t="inlineStr">
        <is>
          <t>6223</t>
        </is>
      </c>
      <c r="E6" s="16" t="inlineStr">
        <is>
          <t>Deep-sea Fishery Workers</t>
        </is>
      </c>
      <c r="F6" s="16" t="inlineStr">
        <is>
          <t>모빌리티 / 자율주행 / 로보틱스</t>
        </is>
      </c>
      <c r="G6" s="15" t="inlineStr">
        <is>
          <t>horizontal_transfer</t>
        </is>
      </c>
      <c r="H6" s="16" t="inlineStr">
        <is>
          <t>preparing, repairing, nets</t>
        </is>
      </c>
      <c r="I6" s="16" t="inlineStr">
        <is>
          <t>심화 Deep-sea Fishery Workers 실무, 프로젝트 관리 역량</t>
        </is>
      </c>
      <c r="J6" s="16" t="inlineStr">
        <is>
          <t>실무 1년 이상 및 전문 자격</t>
        </is>
      </c>
      <c r="K6" s="15" t="inlineStr">
        <is>
          <t>★☆☆☆☆</t>
        </is>
      </c>
      <c r="L6" s="20" t="inlineStr">
        <is>
          <t>+8.0%</t>
        </is>
      </c>
    </row>
    <row r="7">
      <c r="A7" s="17" t="inlineStr">
        <is>
          <t>TR-0006</t>
        </is>
      </c>
      <c r="B7" s="17" t="inlineStr">
        <is>
          <t>1321</t>
        </is>
      </c>
      <c r="C7" s="18" t="inlineStr">
        <is>
          <t>Manufacturing Managers</t>
        </is>
      </c>
      <c r="D7" s="17" t="inlineStr">
        <is>
          <t>3122</t>
        </is>
      </c>
      <c r="E7" s="18" t="inlineStr">
        <is>
          <t>Manufacturing Supervisors</t>
        </is>
      </c>
      <c r="F7" s="18" t="inlineStr">
        <is>
          <t>모빌리티 / 자율주행 / 로보틱스</t>
        </is>
      </c>
      <c r="G7" s="17" t="inlineStr">
        <is>
          <t>horizontal_transfer</t>
        </is>
      </c>
      <c r="H7" s="18" t="inlineStr">
        <is>
          <t>ordinating, supervising, activities</t>
        </is>
      </c>
      <c r="I7" s="18" t="inlineStr">
        <is>
          <t>심화 Manufacturing Supervisors 실무, 프로젝트 관리 역량</t>
        </is>
      </c>
      <c r="J7" s="18" t="inlineStr">
        <is>
          <t>실무 1년 이상 및 전문 자격</t>
        </is>
      </c>
      <c r="K7" s="17" t="inlineStr">
        <is>
          <t>★☆☆☆☆</t>
        </is>
      </c>
      <c r="L7" s="21" t="inlineStr">
        <is>
          <t>+8.0%</t>
        </is>
      </c>
    </row>
    <row r="8">
      <c r="A8" s="15" t="inlineStr">
        <is>
          <t>TR-0007</t>
        </is>
      </c>
      <c r="B8" s="15" t="inlineStr">
        <is>
          <t>1322</t>
        </is>
      </c>
      <c r="C8" s="16" t="inlineStr">
        <is>
          <t>Mining Managers</t>
        </is>
      </c>
      <c r="D8" s="15" t="inlineStr">
        <is>
          <t>3121</t>
        </is>
      </c>
      <c r="E8" s="16" t="inlineStr">
        <is>
          <t>Mining Supervisors</t>
        </is>
      </c>
      <c r="F8" s="16" t="inlineStr">
        <is>
          <t>모빌리티 / 자율주행 / 로보틱스</t>
        </is>
      </c>
      <c r="G8" s="15" t="inlineStr">
        <is>
          <t>horizontal_transfer</t>
        </is>
      </c>
      <c r="H8" s="16" t="inlineStr">
        <is>
          <t>supervising, coordinating, activities</t>
        </is>
      </c>
      <c r="I8" s="16" t="inlineStr">
        <is>
          <t>심화 Mining Supervisors 실무, 프로젝트 관리 역량</t>
        </is>
      </c>
      <c r="J8" s="16" t="inlineStr">
        <is>
          <t>실무 1년 이상 및 전문 자격</t>
        </is>
      </c>
      <c r="K8" s="15" t="inlineStr">
        <is>
          <t>★☆☆☆☆</t>
        </is>
      </c>
      <c r="L8" s="20" t="inlineStr">
        <is>
          <t>+8.0%</t>
        </is>
      </c>
    </row>
    <row r="9">
      <c r="A9" s="17" t="inlineStr">
        <is>
          <t>TR-0008</t>
        </is>
      </c>
      <c r="B9" s="17" t="inlineStr">
        <is>
          <t>1323</t>
        </is>
      </c>
      <c r="C9" s="18" t="inlineStr">
        <is>
          <t>Construction Managers</t>
        </is>
      </c>
      <c r="D9" s="17" t="inlineStr">
        <is>
          <t>3123</t>
        </is>
      </c>
      <c r="E9" s="18" t="inlineStr">
        <is>
          <t>Construction Supervisors</t>
        </is>
      </c>
      <c r="F9" s="18" t="inlineStr">
        <is>
          <t>모빌리티 / 자율주행 / 로보틱스</t>
        </is>
      </c>
      <c r="G9" s="17" t="inlineStr">
        <is>
          <t>horizontal_transfer</t>
        </is>
      </c>
      <c r="H9" s="18" t="inlineStr">
        <is>
          <t>reading, specifications, determine</t>
        </is>
      </c>
      <c r="I9" s="18" t="inlineStr">
        <is>
          <t>심화 Construction Supervisors 실무, 프로젝트 관리 역량</t>
        </is>
      </c>
      <c r="J9" s="18" t="inlineStr">
        <is>
          <t>실무 1년 이상 및 전문 자격</t>
        </is>
      </c>
      <c r="K9" s="17" t="inlineStr">
        <is>
          <t>★☆☆☆☆</t>
        </is>
      </c>
      <c r="L9" s="21" t="inlineStr">
        <is>
          <t>+8.0%</t>
        </is>
      </c>
    </row>
    <row r="10">
      <c r="A10" s="15" t="inlineStr">
        <is>
          <t>TR-0009</t>
        </is>
      </c>
      <c r="B10" s="15" t="inlineStr">
        <is>
          <t>1323</t>
        </is>
      </c>
      <c r="C10" s="16" t="inlineStr">
        <is>
          <t>Construction Managers</t>
        </is>
      </c>
      <c r="D10" s="15" t="inlineStr">
        <is>
          <t>7111</t>
        </is>
      </c>
      <c r="E10" s="16" t="inlineStr">
        <is>
          <t>House Builders</t>
        </is>
      </c>
      <c r="F10" s="16" t="inlineStr">
        <is>
          <t>모빌리티 / 자율주행 / 로보틱스</t>
        </is>
      </c>
      <c r="G10" s="15" t="inlineStr">
        <is>
          <t>horizontal_transfer</t>
        </is>
      </c>
      <c r="H10" s="16" t="inlineStr">
        <is>
          <t>preparing, ground, erecting</t>
        </is>
      </c>
      <c r="I10" s="16" t="inlineStr">
        <is>
          <t>심화 House Builders 실무, 프로젝트 관리 역량</t>
        </is>
      </c>
      <c r="J10" s="16" t="inlineStr">
        <is>
          <t>실무 1년 이상 및 전문 자격</t>
        </is>
      </c>
      <c r="K10" s="15" t="inlineStr">
        <is>
          <t>★☆☆☆☆</t>
        </is>
      </c>
      <c r="L10" s="20" t="inlineStr">
        <is>
          <t>+8.0%</t>
        </is>
      </c>
    </row>
    <row r="11">
      <c r="A11" s="17" t="inlineStr">
        <is>
          <t>TR-0010</t>
        </is>
      </c>
      <c r="B11" s="17" t="inlineStr">
        <is>
          <t>1342</t>
        </is>
      </c>
      <c r="C11" s="18" t="inlineStr">
        <is>
          <t>Health Service Managers</t>
        </is>
      </c>
      <c r="D11" s="17" t="inlineStr">
        <is>
          <t>1343</t>
        </is>
      </c>
      <c r="E11" s="18" t="inlineStr">
        <is>
          <t>Aged Care Service Managers</t>
        </is>
      </c>
      <c r="F11" s="18" t="inlineStr">
        <is>
          <t>모빌리티 / 자율주행 / 로보틱스</t>
        </is>
      </c>
      <c r="G11" s="17" t="inlineStr">
        <is>
          <t>horizontal_transfer</t>
        </is>
      </c>
      <c r="H11" s="18" t="inlineStr">
        <is>
          <t>overall, direction, management</t>
        </is>
      </c>
      <c r="I11" s="18" t="inlineStr">
        <is>
          <t>심화 Aged Care Service Managers 실무, 프로젝트 관리 역량</t>
        </is>
      </c>
      <c r="J11" s="18" t="inlineStr">
        <is>
          <t>실무 1년 이상 및 전문 자격</t>
        </is>
      </c>
      <c r="K11" s="17" t="inlineStr">
        <is>
          <t>★★☆☆☆</t>
        </is>
      </c>
      <c r="L11" s="21" t="inlineStr">
        <is>
          <t>+15.0%</t>
        </is>
      </c>
    </row>
    <row r="12">
      <c r="A12" s="15" t="inlineStr">
        <is>
          <t>TR-0011</t>
        </is>
      </c>
      <c r="B12" s="15" t="inlineStr">
        <is>
          <t>1343</t>
        </is>
      </c>
      <c r="C12" s="16" t="inlineStr">
        <is>
          <t>Aged Care Service Managers</t>
        </is>
      </c>
      <c r="D12" s="15" t="inlineStr">
        <is>
          <t>1342</t>
        </is>
      </c>
      <c r="E12" s="16" t="inlineStr">
        <is>
          <t>Health Service Managers</t>
        </is>
      </c>
      <c r="F12" s="16" t="inlineStr">
        <is>
          <t>모빌리티 / 자율주행 / 로보틱스</t>
        </is>
      </c>
      <c r="G12" s="15" t="inlineStr">
        <is>
          <t>horizontal_transfer</t>
        </is>
      </c>
      <c r="H12" s="16" t="inlineStr">
        <is>
          <t>overall, direction, management</t>
        </is>
      </c>
      <c r="I12" s="16" t="inlineStr">
        <is>
          <t>심화 Health Service Managers 실무, 프로젝트 관리 역량</t>
        </is>
      </c>
      <c r="J12" s="16" t="inlineStr">
        <is>
          <t>실무 1년 이상 및 전문 자격</t>
        </is>
      </c>
      <c r="K12" s="15" t="inlineStr">
        <is>
          <t>★★☆☆☆</t>
        </is>
      </c>
      <c r="L12" s="20" t="inlineStr">
        <is>
          <t>+15.0%</t>
        </is>
      </c>
    </row>
    <row r="13">
      <c r="A13" s="17" t="inlineStr">
        <is>
          <t>TR-0012</t>
        </is>
      </c>
      <c r="B13" s="17" t="inlineStr">
        <is>
          <t>1346</t>
        </is>
      </c>
      <c r="C13" s="18" t="inlineStr">
        <is>
          <t>Financial and Insurance Services Branch managers</t>
        </is>
      </c>
      <c r="D13" s="17" t="inlineStr">
        <is>
          <t>1211</t>
        </is>
      </c>
      <c r="E13" s="18" t="inlineStr">
        <is>
          <t>Finance Managers</t>
        </is>
      </c>
      <c r="F13" s="18" t="inlineStr">
        <is>
          <t>모빌리티 / 자율주행 / 로보틱스</t>
        </is>
      </c>
      <c r="G13" s="17" t="inlineStr">
        <is>
          <t>horizontal_transfer</t>
        </is>
      </c>
      <c r="H13" s="18" t="inlineStr">
        <is>
          <t>planning, coordinating, financial</t>
        </is>
      </c>
      <c r="I13" s="18" t="inlineStr">
        <is>
          <t>심화 Finance Managers 실무, 프로젝트 관리 역량</t>
        </is>
      </c>
      <c r="J13" s="18" t="inlineStr">
        <is>
          <t>실무 1년 이상 및 전문 자격</t>
        </is>
      </c>
      <c r="K13" s="17" t="inlineStr">
        <is>
          <t>★★☆☆☆</t>
        </is>
      </c>
      <c r="L13" s="21" t="inlineStr">
        <is>
          <t>+15.0%</t>
        </is>
      </c>
    </row>
    <row r="14">
      <c r="A14" s="15" t="inlineStr">
        <is>
          <t>TR-0013</t>
        </is>
      </c>
      <c r="B14" s="15" t="inlineStr">
        <is>
          <t>1346</t>
        </is>
      </c>
      <c r="C14" s="16" t="inlineStr">
        <is>
          <t>Financial and Insurance Services Branch managers</t>
        </is>
      </c>
      <c r="D14" s="15" t="inlineStr">
        <is>
          <t>3312</t>
        </is>
      </c>
      <c r="E14" s="16" t="inlineStr">
        <is>
          <t>Credit and Loans Officers</t>
        </is>
      </c>
      <c r="F14" s="16" t="inlineStr">
        <is>
          <t>모빌리티 / 자율주행 / 로보틱스</t>
        </is>
      </c>
      <c r="G14" s="15" t="inlineStr">
        <is>
          <t>horizontal_transfer</t>
        </is>
      </c>
      <c r="H14" s="16" t="inlineStr">
        <is>
          <t>interviewing, applicants, personal</t>
        </is>
      </c>
      <c r="I14" s="16" t="inlineStr">
        <is>
          <t>심화 Credit and Loans Officers 실무, 프로젝트 관리 역량</t>
        </is>
      </c>
      <c r="J14" s="16" t="inlineStr">
        <is>
          <t>실무 1년 이상 및 전문 자격</t>
        </is>
      </c>
      <c r="K14" s="15" t="inlineStr">
        <is>
          <t>★☆☆☆☆</t>
        </is>
      </c>
      <c r="L14" s="20" t="inlineStr">
        <is>
          <t>+8.0%</t>
        </is>
      </c>
    </row>
    <row r="15">
      <c r="A15" s="17" t="inlineStr">
        <is>
          <t>TR-0014</t>
        </is>
      </c>
      <c r="B15" s="17" t="inlineStr">
        <is>
          <t>1346</t>
        </is>
      </c>
      <c r="C15" s="18" t="inlineStr">
        <is>
          <t>Financial and Insurance Services Branch managers</t>
        </is>
      </c>
      <c r="D15" s="17" t="inlineStr">
        <is>
          <t>3321</t>
        </is>
      </c>
      <c r="E15" s="18" t="inlineStr">
        <is>
          <t>Insurance Representatives</t>
        </is>
      </c>
      <c r="F15" s="18" t="inlineStr">
        <is>
          <t>모빌리티 / 자율주행 / 로보틱스</t>
        </is>
      </c>
      <c r="G15" s="17" t="inlineStr">
        <is>
          <t>horizontal_transfer</t>
        </is>
      </c>
      <c r="H15" s="18" t="inlineStr">
        <is>
          <t>obtaining, information, about</t>
        </is>
      </c>
      <c r="I15" s="18" t="inlineStr">
        <is>
          <t>심화 Insurance Representatives 실무, 프로젝트 관리 역량</t>
        </is>
      </c>
      <c r="J15" s="18" t="inlineStr">
        <is>
          <t>실무 1년 이상 및 전문 자격</t>
        </is>
      </c>
      <c r="K15" s="17" t="inlineStr">
        <is>
          <t>★☆☆☆☆</t>
        </is>
      </c>
      <c r="L15" s="21" t="inlineStr">
        <is>
          <t>+8.0%</t>
        </is>
      </c>
    </row>
    <row r="16">
      <c r="A16" s="15" t="inlineStr">
        <is>
          <t>TR-0015</t>
        </is>
      </c>
      <c r="B16" s="15" t="inlineStr">
        <is>
          <t>1411</t>
        </is>
      </c>
      <c r="C16" s="16" t="inlineStr">
        <is>
          <t>Hotel Managers</t>
        </is>
      </c>
      <c r="D16" s="15" t="inlineStr">
        <is>
          <t>5152</t>
        </is>
      </c>
      <c r="E16" s="16" t="inlineStr">
        <is>
          <t>Domestic Housekeepers</t>
        </is>
      </c>
      <c r="F16" s="16" t="inlineStr">
        <is>
          <t>B2B영업 / 마케팅 / GTM</t>
        </is>
      </c>
      <c r="G16" s="15" t="inlineStr">
        <is>
          <t>horizontal_transfer</t>
        </is>
      </c>
      <c r="H16" s="16" t="inlineStr">
        <is>
          <t>supervising, employed, households</t>
        </is>
      </c>
      <c r="I16" s="16" t="inlineStr">
        <is>
          <t>심화 Domestic Housekeepers 실무, 프로젝트 관리 역량</t>
        </is>
      </c>
      <c r="J16" s="16" t="inlineStr">
        <is>
          <t>실무 1년 이상 및 전문 자격</t>
        </is>
      </c>
      <c r="K16" s="15" t="inlineStr">
        <is>
          <t>★☆☆☆☆</t>
        </is>
      </c>
      <c r="L16" s="20" t="inlineStr">
        <is>
          <t>+8.0%</t>
        </is>
      </c>
    </row>
    <row r="17">
      <c r="A17" s="17" t="inlineStr">
        <is>
          <t>TR-0016</t>
        </is>
      </c>
      <c r="B17" s="17" t="inlineStr">
        <is>
          <t>1412</t>
        </is>
      </c>
      <c r="C17" s="18" t="inlineStr">
        <is>
          <t>Restaurant Managers</t>
        </is>
      </c>
      <c r="D17" s="17" t="inlineStr">
        <is>
          <t>3434</t>
        </is>
      </c>
      <c r="E17" s="18" t="inlineStr">
        <is>
          <t>Chefs</t>
        </is>
      </c>
      <c r="F17" s="18" t="inlineStr">
        <is>
          <t>B2B영업 / 마케팅 / GTM</t>
        </is>
      </c>
      <c r="G17" s="17" t="inlineStr">
        <is>
          <t>horizontal_transfer</t>
        </is>
      </c>
      <c r="H17" s="18" t="inlineStr">
        <is>
          <t>planning, developing, recipes</t>
        </is>
      </c>
      <c r="I17" s="18" t="inlineStr">
        <is>
          <t>심화 Chefs 실무, 프로젝트 관리 역량</t>
        </is>
      </c>
      <c r="J17" s="18" t="inlineStr">
        <is>
          <t>실무 1년 이상 및 전문 자격</t>
        </is>
      </c>
      <c r="K17" s="17" t="inlineStr">
        <is>
          <t>★☆☆☆☆</t>
        </is>
      </c>
      <c r="L17" s="21" t="inlineStr">
        <is>
          <t>+8.0%</t>
        </is>
      </c>
    </row>
    <row r="18">
      <c r="A18" s="15" t="inlineStr">
        <is>
          <t>TR-0017</t>
        </is>
      </c>
      <c r="B18" s="15" t="inlineStr">
        <is>
          <t>1420</t>
        </is>
      </c>
      <c r="C18" s="16" t="inlineStr">
        <is>
          <t>Retail and Wholesale Trade Managers</t>
        </is>
      </c>
      <c r="D18" s="15" t="inlineStr">
        <is>
          <t>1221</t>
        </is>
      </c>
      <c r="E18" s="16" t="inlineStr">
        <is>
          <t>Sales and Marketing Managers</t>
        </is>
      </c>
      <c r="F18" s="16" t="inlineStr">
        <is>
          <t>B2B영업 / 마케팅 / GTM</t>
        </is>
      </c>
      <c r="G18" s="15" t="inlineStr">
        <is>
          <t>horizontal_transfer</t>
        </is>
      </c>
      <c r="H18" s="16" t="inlineStr">
        <is>
          <t>planning, organizing, special</t>
        </is>
      </c>
      <c r="I18" s="16" t="inlineStr">
        <is>
          <t>심화 Sales and Marketing Managers 실무, 프로젝트 관리 역량</t>
        </is>
      </c>
      <c r="J18" s="16" t="inlineStr">
        <is>
          <t>실무 1년 이상 및 전문 자격</t>
        </is>
      </c>
      <c r="K18" s="15" t="inlineStr">
        <is>
          <t>★★☆☆☆</t>
        </is>
      </c>
      <c r="L18" s="20" t="inlineStr">
        <is>
          <t>+15.0%</t>
        </is>
      </c>
    </row>
    <row r="19">
      <c r="A19" s="17" t="inlineStr">
        <is>
          <t>TR-0018</t>
        </is>
      </c>
      <c r="B19" s="17" t="inlineStr">
        <is>
          <t>1420</t>
        </is>
      </c>
      <c r="C19" s="18" t="inlineStr">
        <is>
          <t>Retail and Wholesale Trade Managers</t>
        </is>
      </c>
      <c r="D19" s="17" t="inlineStr">
        <is>
          <t>5221</t>
        </is>
      </c>
      <c r="E19" s="18" t="inlineStr">
        <is>
          <t>Shopkeepers</t>
        </is>
      </c>
      <c r="F19" s="18" t="inlineStr">
        <is>
          <t>B2B영업 / 마케팅 / GTM</t>
        </is>
      </c>
      <c r="G19" s="17" t="inlineStr">
        <is>
          <t>horizontal_transfer</t>
        </is>
      </c>
      <c r="H19" s="18" t="inlineStr">
        <is>
          <t>determining, product, stock</t>
        </is>
      </c>
      <c r="I19" s="18" t="inlineStr">
        <is>
          <t>심화 Shopkeepers 실무, 프로젝트 관리 역량</t>
        </is>
      </c>
      <c r="J19" s="18" t="inlineStr">
        <is>
          <t>실무 1년 이상 및 전문 자격</t>
        </is>
      </c>
      <c r="K19" s="17" t="inlineStr">
        <is>
          <t>★☆☆☆☆</t>
        </is>
      </c>
      <c r="L19" s="21" t="inlineStr">
        <is>
          <t>+8.0%</t>
        </is>
      </c>
    </row>
    <row r="20">
      <c r="A20" s="15" t="inlineStr">
        <is>
          <t>TR-0019</t>
        </is>
      </c>
      <c r="B20" s="15" t="inlineStr">
        <is>
          <t>1420</t>
        </is>
      </c>
      <c r="C20" s="16" t="inlineStr">
        <is>
          <t>Retail and Wholesale Trade Managers</t>
        </is>
      </c>
      <c r="D20" s="15" t="inlineStr">
        <is>
          <t>5222</t>
        </is>
      </c>
      <c r="E20" s="16" t="inlineStr">
        <is>
          <t>Shop Supervisors</t>
        </is>
      </c>
      <c r="F20" s="16" t="inlineStr">
        <is>
          <t>B2B영업 / 마케팅 / GTM</t>
        </is>
      </c>
      <c r="G20" s="15" t="inlineStr">
        <is>
          <t>horizontal_transfer</t>
        </is>
      </c>
      <c r="H20" s="16" t="inlineStr">
        <is>
          <t>planning, preparing, work</t>
        </is>
      </c>
      <c r="I20" s="16" t="inlineStr">
        <is>
          <t>심화 Shop Supervisors 실무, 프로젝트 관리 역량</t>
        </is>
      </c>
      <c r="J20" s="16" t="inlineStr">
        <is>
          <t>실무 1년 이상 및 전문 자격</t>
        </is>
      </c>
      <c r="K20" s="15" t="inlineStr">
        <is>
          <t>★☆☆☆☆</t>
        </is>
      </c>
      <c r="L20" s="20" t="inlineStr">
        <is>
          <t>+8.0%</t>
        </is>
      </c>
    </row>
    <row r="21">
      <c r="A21" s="17" t="inlineStr">
        <is>
          <t>TR-0020</t>
        </is>
      </c>
      <c r="B21" s="17" t="inlineStr">
        <is>
          <t>1420</t>
        </is>
      </c>
      <c r="C21" s="18" t="inlineStr">
        <is>
          <t>Retail and Wholesale Trade Managers</t>
        </is>
      </c>
      <c r="D21" s="17" t="inlineStr">
        <is>
          <t>5223</t>
        </is>
      </c>
      <c r="E21" s="18" t="inlineStr">
        <is>
          <t>Shop Sales Assistants</t>
        </is>
      </c>
      <c r="F21" s="18" t="inlineStr">
        <is>
          <t>B2B영업 / 마케팅 / GTM</t>
        </is>
      </c>
      <c r="G21" s="17" t="inlineStr">
        <is>
          <t>horizontal_transfer</t>
        </is>
      </c>
      <c r="H21" s="18" t="inlineStr">
        <is>
          <t>determining, customer, requirements</t>
        </is>
      </c>
      <c r="I21" s="18" t="inlineStr">
        <is>
          <t>심화 Shop Sales Assistants 실무, 프로젝트 관리 역량</t>
        </is>
      </c>
      <c r="J21" s="18" t="inlineStr">
        <is>
          <t>실무 1년 이상 및 전문 자격</t>
        </is>
      </c>
      <c r="K21" s="17" t="inlineStr">
        <is>
          <t>★☆☆☆☆</t>
        </is>
      </c>
      <c r="L21" s="21" t="inlineStr">
        <is>
          <t>+8.0%</t>
        </is>
      </c>
    </row>
    <row r="22">
      <c r="A22" s="15" t="inlineStr">
        <is>
          <t>TR-0021</t>
        </is>
      </c>
      <c r="B22" s="15" t="inlineStr">
        <is>
          <t>1431</t>
        </is>
      </c>
      <c r="C22" s="16" t="inlineStr">
        <is>
          <t>Sports, Recreation and Cultural Centre Managers</t>
        </is>
      </c>
      <c r="D22" s="15" t="inlineStr">
        <is>
          <t>1349</t>
        </is>
      </c>
      <c r="E22" s="16" t="inlineStr">
        <is>
          <t>Professional Services Managers Not Elsewhere Classified</t>
        </is>
      </c>
      <c r="F22" s="16" t="inlineStr">
        <is>
          <t>B2B영업 / 마케팅 / GTM</t>
        </is>
      </c>
      <c r="G22" s="15" t="inlineStr">
        <is>
          <t>horizontal_transfer</t>
        </is>
      </c>
      <c r="H22" s="16" t="inlineStr">
        <is>
          <t>such, cases, would</t>
        </is>
      </c>
      <c r="I22" s="16" t="inlineStr">
        <is>
          <t>심화 Professional Services Managers Not Elsewhere Classified 실무, 프로젝트 관리 역량</t>
        </is>
      </c>
      <c r="J22" s="16" t="inlineStr">
        <is>
          <t>실무 1년 이상 및 전문 자격</t>
        </is>
      </c>
      <c r="K22" s="15" t="inlineStr">
        <is>
          <t>★★☆☆☆</t>
        </is>
      </c>
      <c r="L22" s="20" t="inlineStr">
        <is>
          <t>+15.0%</t>
        </is>
      </c>
    </row>
    <row r="23">
      <c r="A23" s="17" t="inlineStr">
        <is>
          <t>TR-0022</t>
        </is>
      </c>
      <c r="B23" s="17" t="inlineStr">
        <is>
          <t>2111</t>
        </is>
      </c>
      <c r="C23" s="18" t="inlineStr">
        <is>
          <t>Physicists and Astronomers</t>
        </is>
      </c>
      <c r="D23" s="17" t="inlineStr">
        <is>
          <t>2212</t>
        </is>
      </c>
      <c r="E23" s="18" t="inlineStr">
        <is>
          <t>Specialist Medical Practitioners</t>
        </is>
      </c>
      <c r="F23" s="18" t="inlineStr">
        <is>
          <t>반도체 / 전자회로 / 하드웨어</t>
        </is>
      </c>
      <c r="G23" s="17" t="inlineStr">
        <is>
          <t>horizontal_transfer</t>
        </is>
      </c>
      <c r="H23" s="18" t="inlineStr">
        <is>
          <t>conducting, physical, examinations</t>
        </is>
      </c>
      <c r="I23" s="18" t="inlineStr">
        <is>
          <t>심화 Specialist Medical Practitioners 실무, 프로젝트 관리 역량</t>
        </is>
      </c>
      <c r="J23" s="18" t="inlineStr">
        <is>
          <t>실무 1년 이상 및 전문 자격</t>
        </is>
      </c>
      <c r="K23" s="17" t="inlineStr">
        <is>
          <t>★★☆☆☆</t>
        </is>
      </c>
      <c r="L23" s="21" t="inlineStr">
        <is>
          <t>+15.0%</t>
        </is>
      </c>
    </row>
    <row r="24">
      <c r="A24" s="15" t="inlineStr">
        <is>
          <t>TR-0023</t>
        </is>
      </c>
      <c r="B24" s="15" t="inlineStr">
        <is>
          <t>2111</t>
        </is>
      </c>
      <c r="C24" s="16" t="inlineStr">
        <is>
          <t>Physicists and Astronomers</t>
        </is>
      </c>
      <c r="D24" s="15" t="inlineStr">
        <is>
          <t>3211</t>
        </is>
      </c>
      <c r="E24" s="16" t="inlineStr">
        <is>
          <t>Medical Imaging and Therapeutic Equipment Technicians</t>
        </is>
      </c>
      <c r="F24" s="16" t="inlineStr">
        <is>
          <t>반도체 / 전자회로 / 하드웨어</t>
        </is>
      </c>
      <c r="G24" s="15" t="inlineStr">
        <is>
          <t>horizontal_transfer</t>
        </is>
      </c>
      <c r="H24" s="16" t="inlineStr">
        <is>
          <t>operating, overseeing, operation</t>
        </is>
      </c>
      <c r="I24" s="16" t="inlineStr">
        <is>
          <t>심화 Medical Imaging and Therapeutic Equipment Technicians 실무, 프로젝트 관리 역량</t>
        </is>
      </c>
      <c r="J24" s="16" t="inlineStr">
        <is>
          <t>실무 1년 이상 및 전문 자격</t>
        </is>
      </c>
      <c r="K24" s="15" t="inlineStr">
        <is>
          <t>★☆☆☆☆</t>
        </is>
      </c>
      <c r="L24" s="20" t="inlineStr">
        <is>
          <t>+8.0%</t>
        </is>
      </c>
    </row>
    <row r="25">
      <c r="A25" s="17" t="inlineStr">
        <is>
          <t>TR-0024</t>
        </is>
      </c>
      <c r="B25" s="17" t="inlineStr">
        <is>
          <t>2113</t>
        </is>
      </c>
      <c r="C25" s="18" t="inlineStr">
        <is>
          <t>Chemists</t>
        </is>
      </c>
      <c r="D25" s="17" t="inlineStr">
        <is>
          <t>2131</t>
        </is>
      </c>
      <c r="E25" s="18" t="inlineStr">
        <is>
          <t>Biologists, Botanists, Zoologists and Related Professionals</t>
        </is>
      </c>
      <c r="F25" s="18" t="inlineStr">
        <is>
          <t>반도체 / 전자회로 / 하드웨어</t>
        </is>
      </c>
      <c r="G25" s="17" t="inlineStr">
        <is>
          <t>horizontal_transfer</t>
        </is>
      </c>
      <c r="H25" s="18" t="inlineStr">
        <is>
          <t>undertaking, research, laboratories</t>
        </is>
      </c>
      <c r="I25" s="18" t="inlineStr">
        <is>
          <t>심화 Biologists, Botanists, Zoologists and Related Professionals 실무, 프로젝트 관리 역량</t>
        </is>
      </c>
      <c r="J25" s="18" t="inlineStr">
        <is>
          <t>실무 1년 이상 및 전문 자격</t>
        </is>
      </c>
      <c r="K25" s="17" t="inlineStr">
        <is>
          <t>★★☆☆☆</t>
        </is>
      </c>
      <c r="L25" s="21" t="inlineStr">
        <is>
          <t>+15.0%</t>
        </is>
      </c>
    </row>
    <row r="26">
      <c r="A26" s="15" t="inlineStr">
        <is>
          <t>TR-0025</t>
        </is>
      </c>
      <c r="B26" s="15" t="inlineStr">
        <is>
          <t>2113</t>
        </is>
      </c>
      <c r="C26" s="16" t="inlineStr">
        <is>
          <t>Chemists</t>
        </is>
      </c>
      <c r="D26" s="15" t="inlineStr">
        <is>
          <t>2262</t>
        </is>
      </c>
      <c r="E26" s="16" t="inlineStr">
        <is>
          <t>Pharmacists</t>
        </is>
      </c>
      <c r="F26" s="16" t="inlineStr">
        <is>
          <t>반도체 / 전자회로 / 하드웨어</t>
        </is>
      </c>
      <c r="G26" s="15" t="inlineStr">
        <is>
          <t>horizontal_transfer</t>
        </is>
      </c>
      <c r="H26" s="16" t="inlineStr">
        <is>
          <t>receiving, prescriptions, medicinal</t>
        </is>
      </c>
      <c r="I26" s="16" t="inlineStr">
        <is>
          <t>심화 Pharmacists 실무, 프로젝트 관리 역량</t>
        </is>
      </c>
      <c r="J26" s="16" t="inlineStr">
        <is>
          <t>실무 1년 이상 및 전문 자격</t>
        </is>
      </c>
      <c r="K26" s="15" t="inlineStr">
        <is>
          <t>★★☆☆☆</t>
        </is>
      </c>
      <c r="L26" s="20" t="inlineStr">
        <is>
          <t>+15.0%</t>
        </is>
      </c>
    </row>
    <row r="27">
      <c r="A27" s="17" t="inlineStr">
        <is>
          <t>TR-0026</t>
        </is>
      </c>
      <c r="B27" s="17" t="inlineStr">
        <is>
          <t>2120</t>
        </is>
      </c>
      <c r="C27" s="18" t="inlineStr">
        <is>
          <t>Mathematicians, Actuaries and Statisticians</t>
        </is>
      </c>
      <c r="D27" s="17" t="inlineStr">
        <is>
          <t>2511</t>
        </is>
      </c>
      <c r="E27" s="18" t="inlineStr">
        <is>
          <t>Systems Analysts</t>
        </is>
      </c>
      <c r="F27" s="18" t="inlineStr">
        <is>
          <t>반도체 / 전자회로 / 하드웨어</t>
        </is>
      </c>
      <c r="G27" s="17" t="inlineStr">
        <is>
          <t>horizontal_transfer</t>
        </is>
      </c>
      <c r="H27" s="18" t="inlineStr">
        <is>
          <t>consulting, with, users</t>
        </is>
      </c>
      <c r="I27" s="18" t="inlineStr">
        <is>
          <t>심화 Systems Analysts 실무, 프로젝트 관리 역량</t>
        </is>
      </c>
      <c r="J27" s="18" t="inlineStr">
        <is>
          <t>실무 1년 이상 및 전문 자격</t>
        </is>
      </c>
      <c r="K27" s="17" t="inlineStr">
        <is>
          <t>★★☆☆☆</t>
        </is>
      </c>
      <c r="L27" s="21" t="inlineStr">
        <is>
          <t>+15.0%</t>
        </is>
      </c>
    </row>
    <row r="28">
      <c r="A28" s="15" t="inlineStr">
        <is>
          <t>TR-0027</t>
        </is>
      </c>
      <c r="B28" s="15" t="inlineStr">
        <is>
          <t>2120</t>
        </is>
      </c>
      <c r="C28" s="16" t="inlineStr">
        <is>
          <t>Mathematicians, Actuaries and Statisticians</t>
        </is>
      </c>
      <c r="D28" s="15" t="inlineStr">
        <is>
          <t>3314</t>
        </is>
      </c>
      <c r="E28" s="16" t="inlineStr">
        <is>
          <t>Statistical, Mathematical and Related Associate Professionals</t>
        </is>
      </c>
      <c r="F28" s="16" t="inlineStr">
        <is>
          <t>반도체 / 전자회로 / 하드웨어</t>
        </is>
      </c>
      <c r="G28" s="15" t="inlineStr">
        <is>
          <t>horizontal_transfer</t>
        </is>
      </c>
      <c r="H28" s="16" t="inlineStr">
        <is>
          <t>assisting, planning, statistical</t>
        </is>
      </c>
      <c r="I28" s="16" t="inlineStr">
        <is>
          <t>심화 Statistical, Mathematical and Related Associate Professionals 실무, 프로젝트 관리 역량</t>
        </is>
      </c>
      <c r="J28" s="16" t="inlineStr">
        <is>
          <t>실무 1년 이상 및 전문 자격</t>
        </is>
      </c>
      <c r="K28" s="15" t="inlineStr">
        <is>
          <t>★☆☆☆☆</t>
        </is>
      </c>
      <c r="L28" s="20" t="inlineStr">
        <is>
          <t>+8.0%</t>
        </is>
      </c>
    </row>
    <row r="29">
      <c r="A29" s="17" t="inlineStr">
        <is>
          <t>TR-0028</t>
        </is>
      </c>
      <c r="B29" s="17" t="inlineStr">
        <is>
          <t>2120</t>
        </is>
      </c>
      <c r="C29" s="18" t="inlineStr">
        <is>
          <t>Mathematicians, Actuaries and Statisticians</t>
        </is>
      </c>
      <c r="D29" s="17" t="inlineStr">
        <is>
          <t>4312</t>
        </is>
      </c>
      <c r="E29" s="18" t="inlineStr">
        <is>
          <t>Statistical, Finance and Insurance Clerks</t>
        </is>
      </c>
      <c r="F29" s="18" t="inlineStr">
        <is>
          <t>반도체 / 전자회로 / 하드웨어</t>
        </is>
      </c>
      <c r="G29" s="17" t="inlineStr">
        <is>
          <t>horizontal_transfer</t>
        </is>
      </c>
      <c r="H29" s="18" t="inlineStr">
        <is>
          <t>processing, insurance, enrolments</t>
        </is>
      </c>
      <c r="I29" s="18" t="inlineStr">
        <is>
          <t>심화 Statistical, Finance and Insurance Clerks 실무, 프로젝트 관리 역량</t>
        </is>
      </c>
      <c r="J29" s="18" t="inlineStr">
        <is>
          <t>실무 1년 이상 및 전문 자격</t>
        </is>
      </c>
      <c r="K29" s="17" t="inlineStr">
        <is>
          <t>★☆☆☆☆</t>
        </is>
      </c>
      <c r="L29" s="21" t="inlineStr">
        <is>
          <t>+8.0%</t>
        </is>
      </c>
    </row>
    <row r="30">
      <c r="A30" s="15" t="inlineStr">
        <is>
          <t>TR-0029</t>
        </is>
      </c>
      <c r="B30" s="15" t="inlineStr">
        <is>
          <t>2131</t>
        </is>
      </c>
      <c r="C30" s="16" t="inlineStr">
        <is>
          <t>Biologists, Botanists, Zoologists and Related Professionals</t>
        </is>
      </c>
      <c r="D30" s="15" t="inlineStr">
        <is>
          <t>2133</t>
        </is>
      </c>
      <c r="E30" s="16" t="inlineStr">
        <is>
          <t>Environmental Protection Professionals</t>
        </is>
      </c>
      <c r="F30" s="16" t="inlineStr">
        <is>
          <t>반도체 / 전자회로 / 하드웨어</t>
        </is>
      </c>
      <c r="G30" s="15" t="inlineStr">
        <is>
          <t>horizontal_transfer</t>
        </is>
      </c>
      <c r="H30" s="16" t="inlineStr">
        <is>
          <t>conducting, research, tests</t>
        </is>
      </c>
      <c r="I30" s="16" t="inlineStr">
        <is>
          <t>심화 Environmental Protection Professionals 실무, 프로젝트 관리 역량</t>
        </is>
      </c>
      <c r="J30" s="16" t="inlineStr">
        <is>
          <t>실무 1년 이상 및 전문 자격</t>
        </is>
      </c>
      <c r="K30" s="15" t="inlineStr">
        <is>
          <t>★★☆☆☆</t>
        </is>
      </c>
      <c r="L30" s="20" t="inlineStr">
        <is>
          <t>+15.0%</t>
        </is>
      </c>
    </row>
    <row r="31">
      <c r="A31" s="17" t="inlineStr">
        <is>
          <t>TR-0030</t>
        </is>
      </c>
      <c r="B31" s="17" t="inlineStr">
        <is>
          <t>2133</t>
        </is>
      </c>
      <c r="C31" s="18" t="inlineStr">
        <is>
          <t>Environmental Protection Professionals</t>
        </is>
      </c>
      <c r="D31" s="17" t="inlineStr">
        <is>
          <t>2143</t>
        </is>
      </c>
      <c r="E31" s="18" t="inlineStr">
        <is>
          <t>Environmental Engineers</t>
        </is>
      </c>
      <c r="F31" s="18" t="inlineStr">
        <is>
          <t>반도체 / 전자회로 / 하드웨어</t>
        </is>
      </c>
      <c r="G31" s="17" t="inlineStr">
        <is>
          <t>horizontal_transfer</t>
        </is>
      </c>
      <c r="H31" s="18" t="inlineStr">
        <is>
          <t>conducting, research, assessing</t>
        </is>
      </c>
      <c r="I31" s="18" t="inlineStr">
        <is>
          <t>심화 Environmental Engineers 실무, 프로젝트 관리 역량</t>
        </is>
      </c>
      <c r="J31" s="18" t="inlineStr">
        <is>
          <t>실무 1년 이상 및 전문 자격</t>
        </is>
      </c>
      <c r="K31" s="17" t="inlineStr">
        <is>
          <t>★★☆☆☆</t>
        </is>
      </c>
      <c r="L31" s="21" t="inlineStr">
        <is>
          <t>+15.0%</t>
        </is>
      </c>
    </row>
    <row r="32">
      <c r="A32" s="15" t="inlineStr">
        <is>
          <t>TR-0031</t>
        </is>
      </c>
      <c r="B32" s="15" t="inlineStr">
        <is>
          <t>2141</t>
        </is>
      </c>
      <c r="C32" s="16" t="inlineStr">
        <is>
          <t>Industrial and Production Engineers</t>
        </is>
      </c>
      <c r="D32" s="15" t="inlineStr">
        <is>
          <t>1321</t>
        </is>
      </c>
      <c r="E32" s="16" t="inlineStr">
        <is>
          <t>Manufacturing Managers</t>
        </is>
      </c>
      <c r="F32" s="16" t="inlineStr">
        <is>
          <t>반도체 / 전자회로 / 하드웨어</t>
        </is>
      </c>
      <c r="G32" s="15" t="inlineStr">
        <is>
          <t>vertical_promotion</t>
        </is>
      </c>
      <c r="H32" s="16" t="inlineStr">
        <is>
          <t>determining, implementing, monitoring</t>
        </is>
      </c>
      <c r="I32" s="16" t="inlineStr">
        <is>
          <t>심화 Manufacturing Managers 실무, 프로젝트 관리 역량</t>
        </is>
      </c>
      <c r="J32" s="16" t="inlineStr">
        <is>
          <t>실무 2년 이상 및 전문 자격</t>
        </is>
      </c>
      <c r="K32" s="15" t="inlineStr">
        <is>
          <t>★★★☆☆</t>
        </is>
      </c>
      <c r="L32" s="20" t="inlineStr">
        <is>
          <t>+25.0%</t>
        </is>
      </c>
    </row>
    <row r="33">
      <c r="A33" s="17" t="inlineStr">
        <is>
          <t>TR-0032</t>
        </is>
      </c>
      <c r="B33" s="17" t="inlineStr">
        <is>
          <t>2142</t>
        </is>
      </c>
      <c r="C33" s="18" t="inlineStr">
        <is>
          <t>Civil Engineers</t>
        </is>
      </c>
      <c r="D33" s="17" t="inlineStr">
        <is>
          <t>1323</t>
        </is>
      </c>
      <c r="E33" s="18" t="inlineStr">
        <is>
          <t>Construction Managers</t>
        </is>
      </c>
      <c r="F33" s="18" t="inlineStr">
        <is>
          <t>반도체 / 전자회로 / 하드웨어</t>
        </is>
      </c>
      <c r="G33" s="17" t="inlineStr">
        <is>
          <t>vertical_promotion</t>
        </is>
      </c>
      <c r="H33" s="18" t="inlineStr">
        <is>
          <t>interpreting, architectural, drawings</t>
        </is>
      </c>
      <c r="I33" s="18" t="inlineStr">
        <is>
          <t>심화 Construction Managers 실무, 프로젝트 관리 역량</t>
        </is>
      </c>
      <c r="J33" s="18" t="inlineStr">
        <is>
          <t>실무 2년 이상 및 전문 자격</t>
        </is>
      </c>
      <c r="K33" s="17" t="inlineStr">
        <is>
          <t>★★★☆☆</t>
        </is>
      </c>
      <c r="L33" s="21" t="inlineStr">
        <is>
          <t>+25.0%</t>
        </is>
      </c>
    </row>
    <row r="34">
      <c r="A34" s="15" t="inlineStr">
        <is>
          <t>TR-0033</t>
        </is>
      </c>
      <c r="B34" s="15" t="inlineStr">
        <is>
          <t>2142</t>
        </is>
      </c>
      <c r="C34" s="16" t="inlineStr">
        <is>
          <t>Civil Engineers</t>
        </is>
      </c>
      <c r="D34" s="15" t="inlineStr">
        <is>
          <t>2114</t>
        </is>
      </c>
      <c r="E34" s="16" t="inlineStr">
        <is>
          <t>Geologists and geophysicists</t>
        </is>
      </c>
      <c r="F34" s="16" t="inlineStr">
        <is>
          <t>반도체 / 전자회로 / 하드웨어</t>
        </is>
      </c>
      <c r="G34" s="15" t="inlineStr">
        <is>
          <t>horizontal_transfer</t>
        </is>
      </c>
      <c r="H34" s="16" t="inlineStr">
        <is>
          <t>conducting, research, improving</t>
        </is>
      </c>
      <c r="I34" s="16" t="inlineStr">
        <is>
          <t>심화 Geologists and geophysicists 실무, 프로젝트 관리 역량</t>
        </is>
      </c>
      <c r="J34" s="16" t="inlineStr">
        <is>
          <t>실무 1년 이상 및 전문 자격</t>
        </is>
      </c>
      <c r="K34" s="15" t="inlineStr">
        <is>
          <t>★★☆☆☆</t>
        </is>
      </c>
      <c r="L34" s="20" t="inlineStr">
        <is>
          <t>+15.0%</t>
        </is>
      </c>
    </row>
    <row r="35">
      <c r="A35" s="17" t="inlineStr">
        <is>
          <t>TR-0034</t>
        </is>
      </c>
      <c r="B35" s="17" t="inlineStr">
        <is>
          <t>2142</t>
        </is>
      </c>
      <c r="C35" s="18" t="inlineStr">
        <is>
          <t>Civil Engineers</t>
        </is>
      </c>
      <c r="D35" s="17" t="inlineStr">
        <is>
          <t>2146</t>
        </is>
      </c>
      <c r="E35" s="18" t="inlineStr">
        <is>
          <t>Mining Engineers, Metallurgists and Related Professionals</t>
        </is>
      </c>
      <c r="F35" s="18" t="inlineStr">
        <is>
          <t>반도체 / 전자회로 / 하드웨어</t>
        </is>
      </c>
      <c r="G35" s="17" t="inlineStr">
        <is>
          <t>horizontal_transfer</t>
        </is>
      </c>
      <c r="H35" s="18" t="inlineStr">
        <is>
          <t>determining, location, planning</t>
        </is>
      </c>
      <c r="I35" s="18" t="inlineStr">
        <is>
          <t>심화 Mining Engineers, Metallurgists and Related Professionals 실무, 프로젝트 관리 역량</t>
        </is>
      </c>
      <c r="J35" s="18" t="inlineStr">
        <is>
          <t>실무 1년 이상 및 전문 자격</t>
        </is>
      </c>
      <c r="K35" s="17" t="inlineStr">
        <is>
          <t>★★☆☆☆</t>
        </is>
      </c>
      <c r="L35" s="21" t="inlineStr">
        <is>
          <t>+15.0%</t>
        </is>
      </c>
    </row>
    <row r="36">
      <c r="A36" s="15" t="inlineStr">
        <is>
          <t>TR-0035</t>
        </is>
      </c>
      <c r="B36" s="15" t="inlineStr">
        <is>
          <t>2142</t>
        </is>
      </c>
      <c r="C36" s="16" t="inlineStr">
        <is>
          <t>Civil Engineers</t>
        </is>
      </c>
      <c r="D36" s="15" t="inlineStr">
        <is>
          <t>2164</t>
        </is>
      </c>
      <c r="E36" s="16" t="inlineStr">
        <is>
          <t>Town and Traffic Planners</t>
        </is>
      </c>
      <c r="F36" s="16" t="inlineStr">
        <is>
          <t>반도체 / 전자회로 / 하드웨어</t>
        </is>
      </c>
      <c r="G36" s="15" t="inlineStr">
        <is>
          <t>horizontal_transfer</t>
        </is>
      </c>
      <c r="H36" s="16" t="inlineStr">
        <is>
          <t>planning, layout, coordinating</t>
        </is>
      </c>
      <c r="I36" s="16" t="inlineStr">
        <is>
          <t>심화 Town and Traffic Planners 실무, 프로젝트 관리 역량</t>
        </is>
      </c>
      <c r="J36" s="16" t="inlineStr">
        <is>
          <t>실무 1년 이상 및 전문 자격</t>
        </is>
      </c>
      <c r="K36" s="15" t="inlineStr">
        <is>
          <t>★★☆☆☆</t>
        </is>
      </c>
      <c r="L36" s="20" t="inlineStr">
        <is>
          <t>+15.0%</t>
        </is>
      </c>
    </row>
    <row r="37">
      <c r="A37" s="17" t="inlineStr">
        <is>
          <t>TR-0036</t>
        </is>
      </c>
      <c r="B37" s="17" t="inlineStr">
        <is>
          <t>2143</t>
        </is>
      </c>
      <c r="C37" s="18" t="inlineStr">
        <is>
          <t>Environmental Engineers</t>
        </is>
      </c>
      <c r="D37" s="17" t="inlineStr">
        <is>
          <t>2133</t>
        </is>
      </c>
      <c r="E37" s="18" t="inlineStr">
        <is>
          <t>Environmental Protection Professionals</t>
        </is>
      </c>
      <c r="F37" s="18" t="inlineStr">
        <is>
          <t>반도체 / 전자회로 / 하드웨어</t>
        </is>
      </c>
      <c r="G37" s="17" t="inlineStr">
        <is>
          <t>horizontal_transfer</t>
        </is>
      </c>
      <c r="H37" s="18" t="inlineStr">
        <is>
          <t>conducting, research, tests</t>
        </is>
      </c>
      <c r="I37" s="18" t="inlineStr">
        <is>
          <t>심화 Environmental Protection Professionals 실무, 프로젝트 관리 역량</t>
        </is>
      </c>
      <c r="J37" s="18" t="inlineStr">
        <is>
          <t>실무 1년 이상 및 전문 자격</t>
        </is>
      </c>
      <c r="K37" s="17" t="inlineStr">
        <is>
          <t>★★☆☆☆</t>
        </is>
      </c>
      <c r="L37" s="21" t="inlineStr">
        <is>
          <t>+15.0%</t>
        </is>
      </c>
    </row>
    <row r="38">
      <c r="A38" s="15" t="inlineStr">
        <is>
          <t>TR-0037</t>
        </is>
      </c>
      <c r="B38" s="15" t="inlineStr">
        <is>
          <t>2143</t>
        </is>
      </c>
      <c r="C38" s="16" t="inlineStr">
        <is>
          <t>Environmental Engineers</t>
        </is>
      </c>
      <c r="D38" s="15" t="inlineStr">
        <is>
          <t>2263</t>
        </is>
      </c>
      <c r="E38" s="16" t="inlineStr">
        <is>
          <t>Environmental and Occupational Health and Hygiene Professionals</t>
        </is>
      </c>
      <c r="F38" s="16" t="inlineStr">
        <is>
          <t>반도체 / 전자회로 / 하드웨어</t>
        </is>
      </c>
      <c r="G38" s="15" t="inlineStr">
        <is>
          <t>horizontal_transfer</t>
        </is>
      </c>
      <c r="H38" s="16" t="inlineStr">
        <is>
          <t>developing, implementing, reviewing</t>
        </is>
      </c>
      <c r="I38" s="16" t="inlineStr">
        <is>
          <t>심화 Environmental and Occupational Health and Hygiene Professionals 실무, 프로젝트 관리 역량</t>
        </is>
      </c>
      <c r="J38" s="16" t="inlineStr">
        <is>
          <t>실무 1년 이상 및 전문 자격</t>
        </is>
      </c>
      <c r="K38" s="15" t="inlineStr">
        <is>
          <t>★★☆☆☆</t>
        </is>
      </c>
      <c r="L38" s="20" t="inlineStr">
        <is>
          <t>+15.0%</t>
        </is>
      </c>
    </row>
    <row r="39">
      <c r="A39" s="17" t="inlineStr">
        <is>
          <t>TR-0038</t>
        </is>
      </c>
      <c r="B39" s="17" t="inlineStr">
        <is>
          <t>2144</t>
        </is>
      </c>
      <c r="C39" s="18" t="inlineStr">
        <is>
          <t>Mechanical Engineers</t>
        </is>
      </c>
      <c r="D39" s="17" t="inlineStr">
        <is>
          <t>3151</t>
        </is>
      </c>
      <c r="E39" s="18" t="inlineStr">
        <is>
          <t>Ships' Engineers</t>
        </is>
      </c>
      <c r="F39" s="18" t="inlineStr">
        <is>
          <t>반도체 / 전자회로 / 하드웨어</t>
        </is>
      </c>
      <c r="G39" s="17" t="inlineStr">
        <is>
          <t>horizontal_transfer</t>
        </is>
      </c>
      <c r="H39" s="18" t="inlineStr">
        <is>
          <t>controlling, participating, operation</t>
        </is>
      </c>
      <c r="I39" s="18" t="inlineStr">
        <is>
          <t>심화 Ships' Engineers 실무, 프로젝트 관리 역량</t>
        </is>
      </c>
      <c r="J39" s="18" t="inlineStr">
        <is>
          <t>실무 1년 이상 및 전문 자격</t>
        </is>
      </c>
      <c r="K39" s="17" t="inlineStr">
        <is>
          <t>★☆☆☆☆</t>
        </is>
      </c>
      <c r="L39" s="21" t="inlineStr">
        <is>
          <t>+8.0%</t>
        </is>
      </c>
    </row>
    <row r="40">
      <c r="A40" s="15" t="inlineStr">
        <is>
          <t>TR-0039</t>
        </is>
      </c>
      <c r="B40" s="15" t="inlineStr">
        <is>
          <t>2146</t>
        </is>
      </c>
      <c r="C40" s="16" t="inlineStr">
        <is>
          <t>Mining Engineers, Metallurgists and Related Professionals</t>
        </is>
      </c>
      <c r="D40" s="15" t="inlineStr">
        <is>
          <t>2114</t>
        </is>
      </c>
      <c r="E40" s="16" t="inlineStr">
        <is>
          <t>Geologists and geophysicists</t>
        </is>
      </c>
      <c r="F40" s="16" t="inlineStr">
        <is>
          <t>반도체 / 전자회로 / 하드웨어</t>
        </is>
      </c>
      <c r="G40" s="15" t="inlineStr">
        <is>
          <t>horizontal_transfer</t>
        </is>
      </c>
      <c r="H40" s="16" t="inlineStr">
        <is>
          <t>conducting, research, improving</t>
        </is>
      </c>
      <c r="I40" s="16" t="inlineStr">
        <is>
          <t>심화 Geologists and geophysicists 실무, 프로젝트 관리 역량</t>
        </is>
      </c>
      <c r="J40" s="16" t="inlineStr">
        <is>
          <t>실무 1년 이상 및 전문 자격</t>
        </is>
      </c>
      <c r="K40" s="15" t="inlineStr">
        <is>
          <t>★★☆☆☆</t>
        </is>
      </c>
      <c r="L40" s="20" t="inlineStr">
        <is>
          <t>+15.0%</t>
        </is>
      </c>
    </row>
    <row r="41">
      <c r="A41" s="17" t="inlineStr">
        <is>
          <t>TR-0040</t>
        </is>
      </c>
      <c r="B41" s="17" t="inlineStr">
        <is>
          <t>2149</t>
        </is>
      </c>
      <c r="C41" s="18" t="inlineStr">
        <is>
          <t>Engineering Professionals Not Elsewhere Classified</t>
        </is>
      </c>
      <c r="D41" s="17" t="inlineStr">
        <is>
          <t>2141</t>
        </is>
      </c>
      <c r="E41" s="18" t="inlineStr">
        <is>
          <t>Industrial and Production Engineers</t>
        </is>
      </c>
      <c r="F41" s="18" t="inlineStr">
        <is>
          <t>반도체 / 전자회로 / 하드웨어</t>
        </is>
      </c>
      <c r="G41" s="17" t="inlineStr">
        <is>
          <t>horizontal_transfer</t>
        </is>
      </c>
      <c r="H41" s="18" t="inlineStr">
        <is>
          <t>studying, functional, statements</t>
        </is>
      </c>
      <c r="I41" s="18" t="inlineStr">
        <is>
          <t>심화 Industrial and Production Engineers 실무, 프로젝트 관리 역량</t>
        </is>
      </c>
      <c r="J41" s="18" t="inlineStr">
        <is>
          <t>실무 1년 이상 및 전문 자격</t>
        </is>
      </c>
      <c r="K41" s="17" t="inlineStr">
        <is>
          <t>★★☆☆☆</t>
        </is>
      </c>
      <c r="L41" s="21" t="inlineStr">
        <is>
          <t>+15.0%</t>
        </is>
      </c>
    </row>
    <row r="42">
      <c r="A42" s="15" t="inlineStr">
        <is>
          <t>TR-0041</t>
        </is>
      </c>
      <c r="B42" s="15" t="inlineStr">
        <is>
          <t>2149</t>
        </is>
      </c>
      <c r="C42" s="16" t="inlineStr">
        <is>
          <t>Engineering Professionals Not Elsewhere Classified</t>
        </is>
      </c>
      <c r="D42" s="15" t="inlineStr">
        <is>
          <t>2143</t>
        </is>
      </c>
      <c r="E42" s="16" t="inlineStr">
        <is>
          <t>Environmental Engineers</t>
        </is>
      </c>
      <c r="F42" s="16" t="inlineStr">
        <is>
          <t>반도체 / 전자회로 / 하드웨어</t>
        </is>
      </c>
      <c r="G42" s="15" t="inlineStr">
        <is>
          <t>horizontal_transfer</t>
        </is>
      </c>
      <c r="H42" s="16" t="inlineStr">
        <is>
          <t>conducting, research, assessing</t>
        </is>
      </c>
      <c r="I42" s="16" t="inlineStr">
        <is>
          <t>심화 Environmental Engineers 실무, 프로젝트 관리 역량</t>
        </is>
      </c>
      <c r="J42" s="16" t="inlineStr">
        <is>
          <t>실무 1년 이상 및 전문 자격</t>
        </is>
      </c>
      <c r="K42" s="15" t="inlineStr">
        <is>
          <t>★★☆☆☆</t>
        </is>
      </c>
      <c r="L42" s="20" t="inlineStr">
        <is>
          <t>+15.0%</t>
        </is>
      </c>
    </row>
    <row r="43">
      <c r="A43" s="17" t="inlineStr">
        <is>
          <t>TR-0042</t>
        </is>
      </c>
      <c r="B43" s="17" t="inlineStr">
        <is>
          <t>2149</t>
        </is>
      </c>
      <c r="C43" s="18" t="inlineStr">
        <is>
          <t>Engineering Professionals Not Elsewhere Classified</t>
        </is>
      </c>
      <c r="D43" s="17" t="inlineStr">
        <is>
          <t>2165</t>
        </is>
      </c>
      <c r="E43" s="18" t="inlineStr">
        <is>
          <t>Cartographers and Surveyors</t>
        </is>
      </c>
      <c r="F43" s="18" t="inlineStr">
        <is>
          <t>반도체 / 전자회로 / 하드웨어</t>
        </is>
      </c>
      <c r="G43" s="17" t="inlineStr">
        <is>
          <t>horizontal_transfer</t>
        </is>
      </c>
      <c r="H43" s="18" t="inlineStr">
        <is>
          <t>surveying, measuring, describing</t>
        </is>
      </c>
      <c r="I43" s="18" t="inlineStr">
        <is>
          <t>심화 Cartographers and Surveyors 실무, 프로젝트 관리 역량</t>
        </is>
      </c>
      <c r="J43" s="18" t="inlineStr">
        <is>
          <t>실무 1년 이상 및 전문 자격</t>
        </is>
      </c>
      <c r="K43" s="17" t="inlineStr">
        <is>
          <t>★★☆☆☆</t>
        </is>
      </c>
      <c r="L43" s="21" t="inlineStr">
        <is>
          <t>+15.0%</t>
        </is>
      </c>
    </row>
    <row r="44">
      <c r="A44" s="15" t="inlineStr">
        <is>
          <t>TR-0043</t>
        </is>
      </c>
      <c r="B44" s="15" t="inlineStr">
        <is>
          <t>2151</t>
        </is>
      </c>
      <c r="C44" s="16" t="inlineStr">
        <is>
          <t>Electrical Engineers</t>
        </is>
      </c>
      <c r="D44" s="15" t="inlineStr">
        <is>
          <t>2149</t>
        </is>
      </c>
      <c r="E44" s="16" t="inlineStr">
        <is>
          <t>Engineering Professionals Not Elsewhere Classified</t>
        </is>
      </c>
      <c r="F44" s="16" t="inlineStr">
        <is>
          <t>반도체 / 전자회로 / 하드웨어</t>
        </is>
      </c>
      <c r="G44" s="15" t="inlineStr">
        <is>
          <t>horizontal_transfer</t>
        </is>
      </c>
      <c r="H44" s="16" t="inlineStr">
        <is>
          <t>such, cases, would</t>
        </is>
      </c>
      <c r="I44" s="16" t="inlineStr">
        <is>
          <t>심화 Engineering Professionals Not Elsewhere Classified 실무, 프로젝트 관리 역량</t>
        </is>
      </c>
      <c r="J44" s="16" t="inlineStr">
        <is>
          <t>실무 1년 이상 및 전문 자격</t>
        </is>
      </c>
      <c r="K44" s="15" t="inlineStr">
        <is>
          <t>★★☆☆☆</t>
        </is>
      </c>
      <c r="L44" s="20" t="inlineStr">
        <is>
          <t>+15.0%</t>
        </is>
      </c>
    </row>
    <row r="45">
      <c r="A45" s="17" t="inlineStr">
        <is>
          <t>TR-0044</t>
        </is>
      </c>
      <c r="B45" s="17" t="inlineStr">
        <is>
          <t>2151</t>
        </is>
      </c>
      <c r="C45" s="18" t="inlineStr">
        <is>
          <t>Electrical Engineers</t>
        </is>
      </c>
      <c r="D45" s="17" t="inlineStr">
        <is>
          <t>2152</t>
        </is>
      </c>
      <c r="E45" s="18" t="inlineStr">
        <is>
          <t>Electronics Engineers</t>
        </is>
      </c>
      <c r="F45" s="18" t="inlineStr">
        <is>
          <t>반도체 / 전자회로 / 하드웨어</t>
        </is>
      </c>
      <c r="G45" s="17" t="inlineStr">
        <is>
          <t>horizontal_transfer</t>
        </is>
      </c>
      <c r="H45" s="18" t="inlineStr">
        <is>
          <t>advising, designing, electronic</t>
        </is>
      </c>
      <c r="I45" s="18" t="inlineStr">
        <is>
          <t>심화 Electronics Engineers 실무, 프로젝트 관리 역량</t>
        </is>
      </c>
      <c r="J45" s="18" t="inlineStr">
        <is>
          <t>실무 1년 이상 및 전문 자격</t>
        </is>
      </c>
      <c r="K45" s="17" t="inlineStr">
        <is>
          <t>★★☆☆☆</t>
        </is>
      </c>
      <c r="L45" s="21" t="inlineStr">
        <is>
          <t>+15.0%</t>
        </is>
      </c>
    </row>
    <row r="46">
      <c r="A46" s="15" t="inlineStr">
        <is>
          <t>TR-0045</t>
        </is>
      </c>
      <c r="B46" s="15" t="inlineStr">
        <is>
          <t>2151</t>
        </is>
      </c>
      <c r="C46" s="16" t="inlineStr">
        <is>
          <t>Electrical Engineers</t>
        </is>
      </c>
      <c r="D46" s="15" t="inlineStr">
        <is>
          <t>2153</t>
        </is>
      </c>
      <c r="E46" s="16" t="inlineStr">
        <is>
          <t>Telecommunications Engineers</t>
        </is>
      </c>
      <c r="F46" s="16" t="inlineStr">
        <is>
          <t>반도체 / 전자회로 / 하드웨어</t>
        </is>
      </c>
      <c r="G46" s="15" t="inlineStr">
        <is>
          <t>horizontal_transfer</t>
        </is>
      </c>
      <c r="H46" s="16" t="inlineStr">
        <is>
          <t>advising, designing, telecommunications</t>
        </is>
      </c>
      <c r="I46" s="16" t="inlineStr">
        <is>
          <t>심화 Telecommunications Engineers 실무, 프로젝트 관리 역량</t>
        </is>
      </c>
      <c r="J46" s="16" t="inlineStr">
        <is>
          <t>실무 1년 이상 및 전문 자격</t>
        </is>
      </c>
      <c r="K46" s="15" t="inlineStr">
        <is>
          <t>★★☆☆☆</t>
        </is>
      </c>
      <c r="L46" s="20" t="inlineStr">
        <is>
          <t>+15.0%</t>
        </is>
      </c>
    </row>
    <row r="47">
      <c r="A47" s="17" t="inlineStr">
        <is>
          <t>TR-0046</t>
        </is>
      </c>
      <c r="B47" s="17" t="inlineStr">
        <is>
          <t>2152</t>
        </is>
      </c>
      <c r="C47" s="18" t="inlineStr">
        <is>
          <t>Electronics Engineers</t>
        </is>
      </c>
      <c r="D47" s="17" t="inlineStr">
        <is>
          <t>2153</t>
        </is>
      </c>
      <c r="E47" s="18" t="inlineStr">
        <is>
          <t>Telecommunications Engineers</t>
        </is>
      </c>
      <c r="F47" s="18" t="inlineStr">
        <is>
          <t>반도체 / 전자회로 / 하드웨어</t>
        </is>
      </c>
      <c r="G47" s="17" t="inlineStr">
        <is>
          <t>horizontal_transfer</t>
        </is>
      </c>
      <c r="H47" s="18" t="inlineStr">
        <is>
          <t>advising, designing, telecommunications</t>
        </is>
      </c>
      <c r="I47" s="18" t="inlineStr">
        <is>
          <t>심화 Telecommunications Engineers 실무, 프로젝트 관리 역량</t>
        </is>
      </c>
      <c r="J47" s="18" t="inlineStr">
        <is>
          <t>실무 1년 이상 및 전문 자격</t>
        </is>
      </c>
      <c r="K47" s="17" t="inlineStr">
        <is>
          <t>★★☆☆☆</t>
        </is>
      </c>
      <c r="L47" s="21" t="inlineStr">
        <is>
          <t>+15.0%</t>
        </is>
      </c>
    </row>
    <row r="48">
      <c r="A48" s="15" t="inlineStr">
        <is>
          <t>TR-0047</t>
        </is>
      </c>
      <c r="B48" s="15" t="inlineStr">
        <is>
          <t>2153</t>
        </is>
      </c>
      <c r="C48" s="16" t="inlineStr">
        <is>
          <t>Telecommunications Engineers</t>
        </is>
      </c>
      <c r="D48" s="15" t="inlineStr">
        <is>
          <t>2152</t>
        </is>
      </c>
      <c r="E48" s="16" t="inlineStr">
        <is>
          <t>Electronics Engineers</t>
        </is>
      </c>
      <c r="F48" s="16" t="inlineStr">
        <is>
          <t>반도체 / 전자회로 / 하드웨어</t>
        </is>
      </c>
      <c r="G48" s="15" t="inlineStr">
        <is>
          <t>horizontal_transfer</t>
        </is>
      </c>
      <c r="H48" s="16" t="inlineStr">
        <is>
          <t>advising, designing, electronic</t>
        </is>
      </c>
      <c r="I48" s="16" t="inlineStr">
        <is>
          <t>심화 Electronics Engineers 실무, 프로젝트 관리 역량</t>
        </is>
      </c>
      <c r="J48" s="16" t="inlineStr">
        <is>
          <t>실무 1년 이상 및 전문 자격</t>
        </is>
      </c>
      <c r="K48" s="15" t="inlineStr">
        <is>
          <t>★★☆☆☆</t>
        </is>
      </c>
      <c r="L48" s="20" t="inlineStr">
        <is>
          <t>+15.0%</t>
        </is>
      </c>
    </row>
    <row r="49">
      <c r="A49" s="17" t="inlineStr">
        <is>
          <t>TR-0048</t>
        </is>
      </c>
      <c r="B49" s="17" t="inlineStr">
        <is>
          <t>2161</t>
        </is>
      </c>
      <c r="C49" s="18" t="inlineStr">
        <is>
          <t>Building Architects</t>
        </is>
      </c>
      <c r="D49" s="17" t="inlineStr">
        <is>
          <t>2162</t>
        </is>
      </c>
      <c r="E49" s="18" t="inlineStr">
        <is>
          <t>Landscape Architects</t>
        </is>
      </c>
      <c r="F49" s="18" t="inlineStr">
        <is>
          <t>반도체 / 전자회로 / 하드웨어</t>
        </is>
      </c>
      <c r="G49" s="17" t="inlineStr">
        <is>
          <t>horizontal_transfer</t>
        </is>
      </c>
      <c r="H49" s="18" t="inlineStr">
        <is>
          <t>developing, improved, theories</t>
        </is>
      </c>
      <c r="I49" s="18" t="inlineStr">
        <is>
          <t>심화 Landscape Architects 실무, 프로젝트 관리 역량</t>
        </is>
      </c>
      <c r="J49" s="18" t="inlineStr">
        <is>
          <t>실무 1년 이상 및 전문 자격</t>
        </is>
      </c>
      <c r="K49" s="17" t="inlineStr">
        <is>
          <t>★★☆☆☆</t>
        </is>
      </c>
      <c r="L49" s="21" t="inlineStr">
        <is>
          <t>+15.0%</t>
        </is>
      </c>
    </row>
    <row r="50">
      <c r="A50" s="15" t="inlineStr">
        <is>
          <t>TR-0049</t>
        </is>
      </c>
      <c r="B50" s="15" t="inlineStr">
        <is>
          <t>2161</t>
        </is>
      </c>
      <c r="C50" s="16" t="inlineStr">
        <is>
          <t>Building Architects</t>
        </is>
      </c>
      <c r="D50" s="15" t="inlineStr">
        <is>
          <t>3432</t>
        </is>
      </c>
      <c r="E50" s="16" t="inlineStr">
        <is>
          <t>Interior Designers and Decorators</t>
        </is>
      </c>
      <c r="F50" s="16" t="inlineStr">
        <is>
          <t>반도체 / 전자회로 / 하드웨어</t>
        </is>
      </c>
      <c r="G50" s="15" t="inlineStr">
        <is>
          <t>horizontal_transfer</t>
        </is>
      </c>
      <c r="H50" s="16" t="inlineStr">
        <is>
          <t>determining, objectives, constraints</t>
        </is>
      </c>
      <c r="I50" s="16" t="inlineStr">
        <is>
          <t>심화 Interior Designers and Decorators 실무, 프로젝트 관리 역량</t>
        </is>
      </c>
      <c r="J50" s="16" t="inlineStr">
        <is>
          <t>실무 1년 이상 및 전문 자격</t>
        </is>
      </c>
      <c r="K50" s="15" t="inlineStr">
        <is>
          <t>★☆☆☆☆</t>
        </is>
      </c>
      <c r="L50" s="20" t="inlineStr">
        <is>
          <t>+8.0%</t>
        </is>
      </c>
    </row>
    <row r="51">
      <c r="A51" s="17" t="inlineStr">
        <is>
          <t>TR-0050</t>
        </is>
      </c>
      <c r="B51" s="17" t="inlineStr">
        <is>
          <t>2162</t>
        </is>
      </c>
      <c r="C51" s="18" t="inlineStr">
        <is>
          <t>Landscape Architects</t>
        </is>
      </c>
      <c r="D51" s="17" t="inlineStr">
        <is>
          <t>2161</t>
        </is>
      </c>
      <c r="E51" s="18" t="inlineStr">
        <is>
          <t>Building Architects</t>
        </is>
      </c>
      <c r="F51" s="18" t="inlineStr">
        <is>
          <t>반도체 / 전자회로 / 하드웨어</t>
        </is>
      </c>
      <c r="G51" s="17" t="inlineStr">
        <is>
          <t>horizontal_transfer</t>
        </is>
      </c>
      <c r="H51" s="18" t="inlineStr">
        <is>
          <t>developing, improved, architectural</t>
        </is>
      </c>
      <c r="I51" s="18" t="inlineStr">
        <is>
          <t>심화 Building Architects 실무, 프로젝트 관리 역량</t>
        </is>
      </c>
      <c r="J51" s="18" t="inlineStr">
        <is>
          <t>실무 1년 이상 및 전문 자격</t>
        </is>
      </c>
      <c r="K51" s="17" t="inlineStr">
        <is>
          <t>★★☆☆☆</t>
        </is>
      </c>
      <c r="L51" s="21" t="inlineStr">
        <is>
          <t>+15.0%</t>
        </is>
      </c>
    </row>
    <row r="52">
      <c r="A52" s="15" t="inlineStr">
        <is>
          <t>TR-0051</t>
        </is>
      </c>
      <c r="B52" s="15" t="inlineStr">
        <is>
          <t>2162</t>
        </is>
      </c>
      <c r="C52" s="16" t="inlineStr">
        <is>
          <t>Landscape Architects</t>
        </is>
      </c>
      <c r="D52" s="15" t="inlineStr">
        <is>
          <t>2164</t>
        </is>
      </c>
      <c r="E52" s="16" t="inlineStr">
        <is>
          <t>Town and Traffic Planners</t>
        </is>
      </c>
      <c r="F52" s="16" t="inlineStr">
        <is>
          <t>반도체 / 전자회로 / 하드웨어</t>
        </is>
      </c>
      <c r="G52" s="15" t="inlineStr">
        <is>
          <t>horizontal_transfer</t>
        </is>
      </c>
      <c r="H52" s="16" t="inlineStr">
        <is>
          <t>planning, layout, coordinating</t>
        </is>
      </c>
      <c r="I52" s="16" t="inlineStr">
        <is>
          <t>심화 Town and Traffic Planners 실무, 프로젝트 관리 역량</t>
        </is>
      </c>
      <c r="J52" s="16" t="inlineStr">
        <is>
          <t>실무 1년 이상 및 전문 자격</t>
        </is>
      </c>
      <c r="K52" s="15" t="inlineStr">
        <is>
          <t>★★☆☆☆</t>
        </is>
      </c>
      <c r="L52" s="20" t="inlineStr">
        <is>
          <t>+15.0%</t>
        </is>
      </c>
    </row>
    <row r="53">
      <c r="A53" s="17" t="inlineStr">
        <is>
          <t>TR-0052</t>
        </is>
      </c>
      <c r="B53" s="17" t="inlineStr">
        <is>
          <t>2163</t>
        </is>
      </c>
      <c r="C53" s="18" t="inlineStr">
        <is>
          <t>Product and Garment Designers</t>
        </is>
      </c>
      <c r="D53" s="17" t="inlineStr">
        <is>
          <t>2144</t>
        </is>
      </c>
      <c r="E53" s="18" t="inlineStr">
        <is>
          <t>Mechanical Engineers</t>
        </is>
      </c>
      <c r="F53" s="18" t="inlineStr">
        <is>
          <t>반도체 / 전자회로 / 하드웨어</t>
        </is>
      </c>
      <c r="G53" s="17" t="inlineStr">
        <is>
          <t>horizontal_transfer</t>
        </is>
      </c>
      <c r="H53" s="18" t="inlineStr">
        <is>
          <t>advising, designing, machinery</t>
        </is>
      </c>
      <c r="I53" s="18" t="inlineStr">
        <is>
          <t>심화 Mechanical Engineers 실무, 프로젝트 관리 역량</t>
        </is>
      </c>
      <c r="J53" s="18" t="inlineStr">
        <is>
          <t>실무 1년 이상 및 전문 자격</t>
        </is>
      </c>
      <c r="K53" s="17" t="inlineStr">
        <is>
          <t>★★☆☆☆</t>
        </is>
      </c>
      <c r="L53" s="21" t="inlineStr">
        <is>
          <t>+15.0%</t>
        </is>
      </c>
    </row>
    <row r="54">
      <c r="A54" s="15" t="inlineStr">
        <is>
          <t>TR-0053</t>
        </is>
      </c>
      <c r="B54" s="15" t="inlineStr">
        <is>
          <t>2163</t>
        </is>
      </c>
      <c r="C54" s="16" t="inlineStr">
        <is>
          <t>Product and Garment Designers</t>
        </is>
      </c>
      <c r="D54" s="15" t="inlineStr">
        <is>
          <t>2161</t>
        </is>
      </c>
      <c r="E54" s="16" t="inlineStr">
        <is>
          <t>Building Architects</t>
        </is>
      </c>
      <c r="F54" s="16" t="inlineStr">
        <is>
          <t>반도체 / 전자회로 / 하드웨어</t>
        </is>
      </c>
      <c r="G54" s="15" t="inlineStr">
        <is>
          <t>horizontal_transfer</t>
        </is>
      </c>
      <c r="H54" s="16" t="inlineStr">
        <is>
          <t>developing, improved, architectural</t>
        </is>
      </c>
      <c r="I54" s="16" t="inlineStr">
        <is>
          <t>심화 Building Architects 실무, 프로젝트 관리 역량</t>
        </is>
      </c>
      <c r="J54" s="16" t="inlineStr">
        <is>
          <t>실무 1년 이상 및 전문 자격</t>
        </is>
      </c>
      <c r="K54" s="15" t="inlineStr">
        <is>
          <t>★★☆☆☆</t>
        </is>
      </c>
      <c r="L54" s="20" t="inlineStr">
        <is>
          <t>+15.0%</t>
        </is>
      </c>
    </row>
    <row r="55">
      <c r="A55" s="17" t="inlineStr">
        <is>
          <t>TR-0054</t>
        </is>
      </c>
      <c r="B55" s="17" t="inlineStr">
        <is>
          <t>2163</t>
        </is>
      </c>
      <c r="C55" s="18" t="inlineStr">
        <is>
          <t>Product and Garment Designers</t>
        </is>
      </c>
      <c r="D55" s="17" t="inlineStr">
        <is>
          <t>2162</t>
        </is>
      </c>
      <c r="E55" s="18" t="inlineStr">
        <is>
          <t>Landscape Architects</t>
        </is>
      </c>
      <c r="F55" s="18" t="inlineStr">
        <is>
          <t>반도체 / 전자회로 / 하드웨어</t>
        </is>
      </c>
      <c r="G55" s="17" t="inlineStr">
        <is>
          <t>horizontal_transfer</t>
        </is>
      </c>
      <c r="H55" s="18" t="inlineStr">
        <is>
          <t>developing, improved, theories</t>
        </is>
      </c>
      <c r="I55" s="18" t="inlineStr">
        <is>
          <t>심화 Landscape Architects 실무, 프로젝트 관리 역량</t>
        </is>
      </c>
      <c r="J55" s="18" t="inlineStr">
        <is>
          <t>실무 1년 이상 및 전문 자격</t>
        </is>
      </c>
      <c r="K55" s="17" t="inlineStr">
        <is>
          <t>★★☆☆☆</t>
        </is>
      </c>
      <c r="L55" s="21" t="inlineStr">
        <is>
          <t>+15.0%</t>
        </is>
      </c>
    </row>
    <row r="56">
      <c r="A56" s="15" t="inlineStr">
        <is>
          <t>TR-0055</t>
        </is>
      </c>
      <c r="B56" s="15" t="inlineStr">
        <is>
          <t>2163</t>
        </is>
      </c>
      <c r="C56" s="16" t="inlineStr">
        <is>
          <t>Product and Garment Designers</t>
        </is>
      </c>
      <c r="D56" s="15" t="inlineStr">
        <is>
          <t>3432</t>
        </is>
      </c>
      <c r="E56" s="16" t="inlineStr">
        <is>
          <t>Interior Designers and Decorators</t>
        </is>
      </c>
      <c r="F56" s="16" t="inlineStr">
        <is>
          <t>반도체 / 전자회로 / 하드웨어</t>
        </is>
      </c>
      <c r="G56" s="15" t="inlineStr">
        <is>
          <t>horizontal_transfer</t>
        </is>
      </c>
      <c r="H56" s="16" t="inlineStr">
        <is>
          <t>determining, objectives, constraints</t>
        </is>
      </c>
      <c r="I56" s="16" t="inlineStr">
        <is>
          <t>심화 Interior Designers and Decorators 실무, 프로젝트 관리 역량</t>
        </is>
      </c>
      <c r="J56" s="16" t="inlineStr">
        <is>
          <t>실무 1년 이상 및 전문 자격</t>
        </is>
      </c>
      <c r="K56" s="15" t="inlineStr">
        <is>
          <t>★☆☆☆☆</t>
        </is>
      </c>
      <c r="L56" s="20" t="inlineStr">
        <is>
          <t>+8.0%</t>
        </is>
      </c>
    </row>
    <row r="57">
      <c r="A57" s="17" t="inlineStr">
        <is>
          <t>TR-0056</t>
        </is>
      </c>
      <c r="B57" s="17" t="inlineStr">
        <is>
          <t>2164</t>
        </is>
      </c>
      <c r="C57" s="18" t="inlineStr">
        <is>
          <t>Town and Traffic Planners</t>
        </is>
      </c>
      <c r="D57" s="17" t="inlineStr">
        <is>
          <t>2161</t>
        </is>
      </c>
      <c r="E57" s="18" t="inlineStr">
        <is>
          <t>Building Architects</t>
        </is>
      </c>
      <c r="F57" s="18" t="inlineStr">
        <is>
          <t>반도체 / 전자회로 / 하드웨어</t>
        </is>
      </c>
      <c r="G57" s="17" t="inlineStr">
        <is>
          <t>horizontal_transfer</t>
        </is>
      </c>
      <c r="H57" s="18" t="inlineStr">
        <is>
          <t>developing, improved, architectural</t>
        </is>
      </c>
      <c r="I57" s="18" t="inlineStr">
        <is>
          <t>심화 Building Architects 실무, 프로젝트 관리 역량</t>
        </is>
      </c>
      <c r="J57" s="18" t="inlineStr">
        <is>
          <t>실무 1년 이상 및 전문 자격</t>
        </is>
      </c>
      <c r="K57" s="17" t="inlineStr">
        <is>
          <t>★★☆☆☆</t>
        </is>
      </c>
      <c r="L57" s="21" t="inlineStr">
        <is>
          <t>+15.0%</t>
        </is>
      </c>
    </row>
    <row r="58">
      <c r="A58" s="15" t="inlineStr">
        <is>
          <t>TR-0057</t>
        </is>
      </c>
      <c r="B58" s="15" t="inlineStr">
        <is>
          <t>2164</t>
        </is>
      </c>
      <c r="C58" s="16" t="inlineStr">
        <is>
          <t>Town and Traffic Planners</t>
        </is>
      </c>
      <c r="D58" s="15" t="inlineStr">
        <is>
          <t>2162</t>
        </is>
      </c>
      <c r="E58" s="16" t="inlineStr">
        <is>
          <t>Landscape Architects</t>
        </is>
      </c>
      <c r="F58" s="16" t="inlineStr">
        <is>
          <t>반도체 / 전자회로 / 하드웨어</t>
        </is>
      </c>
      <c r="G58" s="15" t="inlineStr">
        <is>
          <t>horizontal_transfer</t>
        </is>
      </c>
      <c r="H58" s="16" t="inlineStr">
        <is>
          <t>developing, improved, theories</t>
        </is>
      </c>
      <c r="I58" s="16" t="inlineStr">
        <is>
          <t>심화 Landscape Architects 실무, 프로젝트 관리 역량</t>
        </is>
      </c>
      <c r="J58" s="16" t="inlineStr">
        <is>
          <t>실무 1년 이상 및 전문 자격</t>
        </is>
      </c>
      <c r="K58" s="15" t="inlineStr">
        <is>
          <t>★★☆☆☆</t>
        </is>
      </c>
      <c r="L58" s="20" t="inlineStr">
        <is>
          <t>+15.0%</t>
        </is>
      </c>
    </row>
    <row r="59">
      <c r="A59" s="17" t="inlineStr">
        <is>
          <t>TR-0058</t>
        </is>
      </c>
      <c r="B59" s="17" t="inlineStr">
        <is>
          <t>2165</t>
        </is>
      </c>
      <c r="C59" s="18" t="inlineStr">
        <is>
          <t>Cartographers and Surveyors</t>
        </is>
      </c>
      <c r="D59" s="17" t="inlineStr">
        <is>
          <t>2149</t>
        </is>
      </c>
      <c r="E59" s="18" t="inlineStr">
        <is>
          <t>Engineering Professionals Not Elsewhere Classified</t>
        </is>
      </c>
      <c r="F59" s="18" t="inlineStr">
        <is>
          <t>반도체 / 전자회로 / 하드웨어</t>
        </is>
      </c>
      <c r="G59" s="17" t="inlineStr">
        <is>
          <t>horizontal_transfer</t>
        </is>
      </c>
      <c r="H59" s="18" t="inlineStr">
        <is>
          <t>such, cases, would</t>
        </is>
      </c>
      <c r="I59" s="18" t="inlineStr">
        <is>
          <t>심화 Engineering Professionals Not Elsewhere Classified 실무, 프로젝트 관리 역량</t>
        </is>
      </c>
      <c r="J59" s="18" t="inlineStr">
        <is>
          <t>실무 1년 이상 및 전문 자격</t>
        </is>
      </c>
      <c r="K59" s="17" t="inlineStr">
        <is>
          <t>★★☆☆☆</t>
        </is>
      </c>
      <c r="L59" s="21" t="inlineStr">
        <is>
          <t>+15.0%</t>
        </is>
      </c>
    </row>
    <row r="60">
      <c r="A60" s="15" t="inlineStr">
        <is>
          <t>TR-0059</t>
        </is>
      </c>
      <c r="B60" s="15" t="inlineStr">
        <is>
          <t>2165</t>
        </is>
      </c>
      <c r="C60" s="16" t="inlineStr">
        <is>
          <t>Cartographers and Surveyors</t>
        </is>
      </c>
      <c r="D60" s="15" t="inlineStr">
        <is>
          <t>3112</t>
        </is>
      </c>
      <c r="E60" s="16" t="inlineStr">
        <is>
          <t>Civil Engineering Technicians</t>
        </is>
      </c>
      <c r="F60" s="16" t="inlineStr">
        <is>
          <t>반도체 / 전자회로 / 하드웨어</t>
        </is>
      </c>
      <c r="G60" s="15" t="inlineStr">
        <is>
          <t>horizontal_transfer</t>
        </is>
      </c>
      <c r="H60" s="16" t="inlineStr">
        <is>
          <t>assisting, with, field</t>
        </is>
      </c>
      <c r="I60" s="16" t="inlineStr">
        <is>
          <t>심화 Civil Engineering Technicians 실무, 프로젝트 관리 역량</t>
        </is>
      </c>
      <c r="J60" s="16" t="inlineStr">
        <is>
          <t>실무 1년 이상 및 전문 자격</t>
        </is>
      </c>
      <c r="K60" s="15" t="inlineStr">
        <is>
          <t>★☆☆☆☆</t>
        </is>
      </c>
      <c r="L60" s="20" t="inlineStr">
        <is>
          <t>+8.0%</t>
        </is>
      </c>
    </row>
    <row r="61">
      <c r="A61" s="17" t="inlineStr">
        <is>
          <t>TR-0060</t>
        </is>
      </c>
      <c r="B61" s="17" t="inlineStr">
        <is>
          <t>2165</t>
        </is>
      </c>
      <c r="C61" s="18" t="inlineStr">
        <is>
          <t>Cartographers and Surveyors</t>
        </is>
      </c>
      <c r="D61" s="17" t="inlineStr">
        <is>
          <t>3115</t>
        </is>
      </c>
      <c r="E61" s="18" t="inlineStr">
        <is>
          <t>Mechanical Engineering Technicians</t>
        </is>
      </c>
      <c r="F61" s="18" t="inlineStr">
        <is>
          <t>반도체 / 전자회로 / 하드웨어</t>
        </is>
      </c>
      <c r="G61" s="17" t="inlineStr">
        <is>
          <t>horizontal_transfer</t>
        </is>
      </c>
      <c r="H61" s="18" t="inlineStr">
        <is>
          <t>technical, assistance, research</t>
        </is>
      </c>
      <c r="I61" s="18" t="inlineStr">
        <is>
          <t>심화 Mechanical Engineering Technicians 실무, 프로젝트 관리 역량</t>
        </is>
      </c>
      <c r="J61" s="18" t="inlineStr">
        <is>
          <t>실무 1년 이상 및 전문 자격</t>
        </is>
      </c>
      <c r="K61" s="17" t="inlineStr">
        <is>
          <t>★☆☆☆☆</t>
        </is>
      </c>
      <c r="L61" s="21" t="inlineStr">
        <is>
          <t>+8.0%</t>
        </is>
      </c>
    </row>
    <row r="62">
      <c r="A62" s="15" t="inlineStr">
        <is>
          <t>TR-0061</t>
        </is>
      </c>
      <c r="B62" s="15" t="inlineStr">
        <is>
          <t>2166</t>
        </is>
      </c>
      <c r="C62" s="16" t="inlineStr">
        <is>
          <t>Graphic and Multimedia Designers</t>
        </is>
      </c>
      <c r="D62" s="15" t="inlineStr">
        <is>
          <t>2161</t>
        </is>
      </c>
      <c r="E62" s="16" t="inlineStr">
        <is>
          <t>Building Architects</t>
        </is>
      </c>
      <c r="F62" s="16" t="inlineStr">
        <is>
          <t>반도체 / 전자회로 / 하드웨어</t>
        </is>
      </c>
      <c r="G62" s="15" t="inlineStr">
        <is>
          <t>horizontal_transfer</t>
        </is>
      </c>
      <c r="H62" s="16" t="inlineStr">
        <is>
          <t>developing, improved, architectural</t>
        </is>
      </c>
      <c r="I62" s="16" t="inlineStr">
        <is>
          <t>심화 Building Architects 실무, 프로젝트 관리 역량</t>
        </is>
      </c>
      <c r="J62" s="16" t="inlineStr">
        <is>
          <t>실무 1년 이상 및 전문 자격</t>
        </is>
      </c>
      <c r="K62" s="15" t="inlineStr">
        <is>
          <t>★★☆☆☆</t>
        </is>
      </c>
      <c r="L62" s="20" t="inlineStr">
        <is>
          <t>+15.0%</t>
        </is>
      </c>
    </row>
    <row r="63">
      <c r="A63" s="17" t="inlineStr">
        <is>
          <t>TR-0062</t>
        </is>
      </c>
      <c r="B63" s="17" t="inlineStr">
        <is>
          <t>2166</t>
        </is>
      </c>
      <c r="C63" s="18" t="inlineStr">
        <is>
          <t>Graphic and Multimedia Designers</t>
        </is>
      </c>
      <c r="D63" s="17" t="inlineStr">
        <is>
          <t>2513</t>
        </is>
      </c>
      <c r="E63" s="18" t="inlineStr">
        <is>
          <t>Web and Multimedia Developers</t>
        </is>
      </c>
      <c r="F63" s="18" t="inlineStr">
        <is>
          <t>반도체 / 전자회로 / 하드웨어</t>
        </is>
      </c>
      <c r="G63" s="17" t="inlineStr">
        <is>
          <t>horizontal_transfer</t>
        </is>
      </c>
      <c r="H63" s="18" t="inlineStr">
        <is>
          <t>analysing, designing, developing</t>
        </is>
      </c>
      <c r="I63" s="18" t="inlineStr">
        <is>
          <t>심화 Web and Multimedia Developers 실무, 프로젝트 관리 역량</t>
        </is>
      </c>
      <c r="J63" s="18" t="inlineStr">
        <is>
          <t>실무 1년 이상 및 전문 자격</t>
        </is>
      </c>
      <c r="K63" s="17" t="inlineStr">
        <is>
          <t>★★☆☆☆</t>
        </is>
      </c>
      <c r="L63" s="21" t="inlineStr">
        <is>
          <t>+15.0%</t>
        </is>
      </c>
    </row>
    <row r="64">
      <c r="A64" s="15" t="inlineStr">
        <is>
          <t>TR-0063</t>
        </is>
      </c>
      <c r="B64" s="15" t="inlineStr">
        <is>
          <t>2166</t>
        </is>
      </c>
      <c r="C64" s="16" t="inlineStr">
        <is>
          <t>Graphic and Multimedia Designers</t>
        </is>
      </c>
      <c r="D64" s="15" t="inlineStr">
        <is>
          <t>2651</t>
        </is>
      </c>
      <c r="E64" s="16" t="inlineStr">
        <is>
          <t>Visual Artists</t>
        </is>
      </c>
      <c r="F64" s="16" t="inlineStr">
        <is>
          <t>반도체 / 전자회로 / 하드웨어</t>
        </is>
      </c>
      <c r="G64" s="15" t="inlineStr">
        <is>
          <t>horizontal_transfer</t>
        </is>
      </c>
      <c r="H64" s="16" t="inlineStr">
        <is>
          <t>conceiving, developing, ideas</t>
        </is>
      </c>
      <c r="I64" s="16" t="inlineStr">
        <is>
          <t>심화 Visual Artists 실무, 프로젝트 관리 역량</t>
        </is>
      </c>
      <c r="J64" s="16" t="inlineStr">
        <is>
          <t>실무 1년 이상 및 전문 자격</t>
        </is>
      </c>
      <c r="K64" s="15" t="inlineStr">
        <is>
          <t>★★☆☆☆</t>
        </is>
      </c>
      <c r="L64" s="20" t="inlineStr">
        <is>
          <t>+15.0%</t>
        </is>
      </c>
    </row>
    <row r="65">
      <c r="A65" s="17" t="inlineStr">
        <is>
          <t>TR-0064</t>
        </is>
      </c>
      <c r="B65" s="17" t="inlineStr">
        <is>
          <t>2166</t>
        </is>
      </c>
      <c r="C65" s="18" t="inlineStr">
        <is>
          <t>Graphic and Multimedia Designers</t>
        </is>
      </c>
      <c r="D65" s="17" t="inlineStr">
        <is>
          <t>3432</t>
        </is>
      </c>
      <c r="E65" s="18" t="inlineStr">
        <is>
          <t>Interior Designers and Decorators</t>
        </is>
      </c>
      <c r="F65" s="18" t="inlineStr">
        <is>
          <t>반도체 / 전자회로 / 하드웨어</t>
        </is>
      </c>
      <c r="G65" s="17" t="inlineStr">
        <is>
          <t>horizontal_transfer</t>
        </is>
      </c>
      <c r="H65" s="18" t="inlineStr">
        <is>
          <t>determining, objectives, constraints</t>
        </is>
      </c>
      <c r="I65" s="18" t="inlineStr">
        <is>
          <t>심화 Interior Designers and Decorators 실무, 프로젝트 관리 역량</t>
        </is>
      </c>
      <c r="J65" s="18" t="inlineStr">
        <is>
          <t>실무 1년 이상 및 전문 자격</t>
        </is>
      </c>
      <c r="K65" s="17" t="inlineStr">
        <is>
          <t>★☆☆☆☆</t>
        </is>
      </c>
      <c r="L65" s="21" t="inlineStr">
        <is>
          <t>+8.0%</t>
        </is>
      </c>
    </row>
    <row r="66">
      <c r="A66" s="15" t="inlineStr">
        <is>
          <t>TR-0065</t>
        </is>
      </c>
      <c r="B66" s="15" t="inlineStr">
        <is>
          <t>2211</t>
        </is>
      </c>
      <c r="C66" s="16" t="inlineStr">
        <is>
          <t>Generalist Medical Practitioners</t>
        </is>
      </c>
      <c r="D66" s="15" t="inlineStr">
        <is>
          <t>2212</t>
        </is>
      </c>
      <c r="E66" s="16" t="inlineStr">
        <is>
          <t>Specialist Medical Practitioners</t>
        </is>
      </c>
      <c r="F66" s="16" t="inlineStr">
        <is>
          <t>바이오 / 제약 / 임상헬스케어</t>
        </is>
      </c>
      <c r="G66" s="15" t="inlineStr">
        <is>
          <t>horizontal_transfer</t>
        </is>
      </c>
      <c r="H66" s="16" t="inlineStr">
        <is>
          <t>conducting, physical, examinations</t>
        </is>
      </c>
      <c r="I66" s="16" t="inlineStr">
        <is>
          <t>심화 Specialist Medical Practitioners 실무, 프로젝트 관리 역량</t>
        </is>
      </c>
      <c r="J66" s="16" t="inlineStr">
        <is>
          <t>실무 1년 이상 및 전문 자격</t>
        </is>
      </c>
      <c r="K66" s="15" t="inlineStr">
        <is>
          <t>★★☆☆☆</t>
        </is>
      </c>
      <c r="L66" s="20" t="inlineStr">
        <is>
          <t>+15.0%</t>
        </is>
      </c>
    </row>
    <row r="67">
      <c r="A67" s="17" t="inlineStr">
        <is>
          <t>TR-0066</t>
        </is>
      </c>
      <c r="B67" s="17" t="inlineStr">
        <is>
          <t>2211</t>
        </is>
      </c>
      <c r="C67" s="18" t="inlineStr">
        <is>
          <t>Generalist Medical Practitioners</t>
        </is>
      </c>
      <c r="D67" s="17" t="inlineStr">
        <is>
          <t>2240</t>
        </is>
      </c>
      <c r="E67" s="18" t="inlineStr">
        <is>
          <t>Paramedical Practitioners</t>
        </is>
      </c>
      <c r="F67" s="18" t="inlineStr">
        <is>
          <t>바이오 / 제약 / 임상헬스케어</t>
        </is>
      </c>
      <c r="G67" s="17" t="inlineStr">
        <is>
          <t>horizontal_transfer</t>
        </is>
      </c>
      <c r="H67" s="18" t="inlineStr">
        <is>
          <t>conducting, physical, examinations</t>
        </is>
      </c>
      <c r="I67" s="18" t="inlineStr">
        <is>
          <t>심화 Paramedical Practitioners 실무, 프로젝트 관리 역량</t>
        </is>
      </c>
      <c r="J67" s="18" t="inlineStr">
        <is>
          <t>실무 1년 이상 및 전문 자격</t>
        </is>
      </c>
      <c r="K67" s="17" t="inlineStr">
        <is>
          <t>★★☆☆☆</t>
        </is>
      </c>
      <c r="L67" s="21" t="inlineStr">
        <is>
          <t>+15.0%</t>
        </is>
      </c>
    </row>
    <row r="68">
      <c r="A68" s="15" t="inlineStr">
        <is>
          <t>TR-0067</t>
        </is>
      </c>
      <c r="B68" s="15" t="inlineStr">
        <is>
          <t>2212</t>
        </is>
      </c>
      <c r="C68" s="16" t="inlineStr">
        <is>
          <t>Specialist Medical Practitioners</t>
        </is>
      </c>
      <c r="D68" s="15" t="inlineStr">
        <is>
          <t>2131</t>
        </is>
      </c>
      <c r="E68" s="16" t="inlineStr">
        <is>
          <t>Biologists, Botanists, Zoologists and Related Professionals</t>
        </is>
      </c>
      <c r="F68" s="16" t="inlineStr">
        <is>
          <t>바이오 / 제약 / 임상헬스케어</t>
        </is>
      </c>
      <c r="G68" s="15" t="inlineStr">
        <is>
          <t>horizontal_transfer</t>
        </is>
      </c>
      <c r="H68" s="16" t="inlineStr">
        <is>
          <t>undertaking, research, laboratories</t>
        </is>
      </c>
      <c r="I68" s="16" t="inlineStr">
        <is>
          <t>심화 Biologists, Botanists, Zoologists and Related Professionals 실무, 프로젝트 관리 역량</t>
        </is>
      </c>
      <c r="J68" s="16" t="inlineStr">
        <is>
          <t>실무 1년 이상 및 전문 자격</t>
        </is>
      </c>
      <c r="K68" s="15" t="inlineStr">
        <is>
          <t>★★☆☆☆</t>
        </is>
      </c>
      <c r="L68" s="20" t="inlineStr">
        <is>
          <t>+15.0%</t>
        </is>
      </c>
    </row>
    <row r="69">
      <c r="A69" s="17" t="inlineStr">
        <is>
          <t>TR-0068</t>
        </is>
      </c>
      <c r="B69" s="17" t="inlineStr">
        <is>
          <t>2212</t>
        </is>
      </c>
      <c r="C69" s="18" t="inlineStr">
        <is>
          <t>Specialist Medical Practitioners</t>
        </is>
      </c>
      <c r="D69" s="17" t="inlineStr">
        <is>
          <t>2211</t>
        </is>
      </c>
      <c r="E69" s="18" t="inlineStr">
        <is>
          <t>Generalist Medical Practitioners</t>
        </is>
      </c>
      <c r="F69" s="18" t="inlineStr">
        <is>
          <t>바이오 / 제약 / 임상헬스케어</t>
        </is>
      </c>
      <c r="G69" s="17" t="inlineStr">
        <is>
          <t>horizontal_transfer</t>
        </is>
      </c>
      <c r="H69" s="18" t="inlineStr">
        <is>
          <t>conducting, physical, examinations</t>
        </is>
      </c>
      <c r="I69" s="18" t="inlineStr">
        <is>
          <t>심화 Generalist Medical Practitioners 실무, 프로젝트 관리 역량</t>
        </is>
      </c>
      <c r="J69" s="18" t="inlineStr">
        <is>
          <t>실무 1년 이상 및 전문 자격</t>
        </is>
      </c>
      <c r="K69" s="17" t="inlineStr">
        <is>
          <t>★★☆☆☆</t>
        </is>
      </c>
      <c r="L69" s="21" t="inlineStr">
        <is>
          <t>+15.0%</t>
        </is>
      </c>
    </row>
    <row r="70">
      <c r="A70" s="15" t="inlineStr">
        <is>
          <t>TR-0069</t>
        </is>
      </c>
      <c r="B70" s="15" t="inlineStr">
        <is>
          <t>2212</t>
        </is>
      </c>
      <c r="C70" s="16" t="inlineStr">
        <is>
          <t>Specialist Medical Practitioners</t>
        </is>
      </c>
      <c r="D70" s="15" t="inlineStr">
        <is>
          <t>2261</t>
        </is>
      </c>
      <c r="E70" s="16" t="inlineStr">
        <is>
          <t>Dentists</t>
        </is>
      </c>
      <c r="F70" s="16" t="inlineStr">
        <is>
          <t>바이오 / 제약 / 임상헬스케어</t>
        </is>
      </c>
      <c r="G70" s="15" t="inlineStr">
        <is>
          <t>horizontal_transfer</t>
        </is>
      </c>
      <c r="H70" s="16" t="inlineStr">
        <is>
          <t>diagnosing, diseases, injuries</t>
        </is>
      </c>
      <c r="I70" s="16" t="inlineStr">
        <is>
          <t>심화 Dentists 실무, 프로젝트 관리 역량</t>
        </is>
      </c>
      <c r="J70" s="16" t="inlineStr">
        <is>
          <t>실무 1년 이상 및 전문 자격</t>
        </is>
      </c>
      <c r="K70" s="15" t="inlineStr">
        <is>
          <t>★★☆☆☆</t>
        </is>
      </c>
      <c r="L70" s="20" t="inlineStr">
        <is>
          <t>+15.0%</t>
        </is>
      </c>
    </row>
    <row r="71">
      <c r="A71" s="17" t="inlineStr">
        <is>
          <t>TR-0070</t>
        </is>
      </c>
      <c r="B71" s="17" t="inlineStr">
        <is>
          <t>2212</t>
        </is>
      </c>
      <c r="C71" s="18" t="inlineStr">
        <is>
          <t>Specialist Medical Practitioners</t>
        </is>
      </c>
      <c r="D71" s="17" t="inlineStr">
        <is>
          <t>2634</t>
        </is>
      </c>
      <c r="E71" s="18" t="inlineStr">
        <is>
          <t>Psychologists</t>
        </is>
      </c>
      <c r="F71" s="18" t="inlineStr">
        <is>
          <t>바이오 / 제약 / 임상헬스케어</t>
        </is>
      </c>
      <c r="G71" s="17" t="inlineStr">
        <is>
          <t>horizontal_transfer</t>
        </is>
      </c>
      <c r="H71" s="18" t="inlineStr">
        <is>
          <t>planning, carrying, tests</t>
        </is>
      </c>
      <c r="I71" s="18" t="inlineStr">
        <is>
          <t>심화 Psychologists 실무, 프로젝트 관리 역량</t>
        </is>
      </c>
      <c r="J71" s="18" t="inlineStr">
        <is>
          <t>실무 1년 이상 및 전문 자격</t>
        </is>
      </c>
      <c r="K71" s="17" t="inlineStr">
        <is>
          <t>★★☆☆☆</t>
        </is>
      </c>
      <c r="L71" s="21" t="inlineStr">
        <is>
          <t>+15.0%</t>
        </is>
      </c>
    </row>
    <row r="72">
      <c r="A72" s="15" t="inlineStr">
        <is>
          <t>TR-0071</t>
        </is>
      </c>
      <c r="B72" s="15" t="inlineStr">
        <is>
          <t>2221</t>
        </is>
      </c>
      <c r="C72" s="16" t="inlineStr">
        <is>
          <t>Nursing Professionals</t>
        </is>
      </c>
      <c r="D72" s="15" t="inlineStr">
        <is>
          <t>2222</t>
        </is>
      </c>
      <c r="E72" s="16" t="inlineStr">
        <is>
          <t>Midwifery Professionals</t>
        </is>
      </c>
      <c r="F72" s="16" t="inlineStr">
        <is>
          <t>바이오 / 제약 / 임상헬스케어</t>
        </is>
      </c>
      <c r="G72" s="15" t="inlineStr">
        <is>
          <t>horizontal_transfer</t>
        </is>
      </c>
      <c r="H72" s="16" t="inlineStr">
        <is>
          <t>planning, evaluating, care</t>
        </is>
      </c>
      <c r="I72" s="16" t="inlineStr">
        <is>
          <t>심화 Midwifery Professionals 실무, 프로젝트 관리 역량</t>
        </is>
      </c>
      <c r="J72" s="16" t="inlineStr">
        <is>
          <t>실무 1년 이상 및 전문 자격</t>
        </is>
      </c>
      <c r="K72" s="15" t="inlineStr">
        <is>
          <t>★★☆☆☆</t>
        </is>
      </c>
      <c r="L72" s="20" t="inlineStr">
        <is>
          <t>+15.0%</t>
        </is>
      </c>
    </row>
    <row r="73">
      <c r="A73" s="17" t="inlineStr">
        <is>
          <t>TR-0072</t>
        </is>
      </c>
      <c r="B73" s="17" t="inlineStr">
        <is>
          <t>2221</t>
        </is>
      </c>
      <c r="C73" s="18" t="inlineStr">
        <is>
          <t>Nursing Professionals</t>
        </is>
      </c>
      <c r="D73" s="17" t="inlineStr">
        <is>
          <t>2240</t>
        </is>
      </c>
      <c r="E73" s="18" t="inlineStr">
        <is>
          <t>Paramedical Practitioners</t>
        </is>
      </c>
      <c r="F73" s="18" t="inlineStr">
        <is>
          <t>바이오 / 제약 / 임상헬스케어</t>
        </is>
      </c>
      <c r="G73" s="17" t="inlineStr">
        <is>
          <t>horizontal_transfer</t>
        </is>
      </c>
      <c r="H73" s="18" t="inlineStr">
        <is>
          <t>conducting, physical, examinations</t>
        </is>
      </c>
      <c r="I73" s="18" t="inlineStr">
        <is>
          <t>심화 Paramedical Practitioners 실무, 프로젝트 관리 역량</t>
        </is>
      </c>
      <c r="J73" s="18" t="inlineStr">
        <is>
          <t>실무 1년 이상 및 전문 자격</t>
        </is>
      </c>
      <c r="K73" s="17" t="inlineStr">
        <is>
          <t>★★☆☆☆</t>
        </is>
      </c>
      <c r="L73" s="21" t="inlineStr">
        <is>
          <t>+15.0%</t>
        </is>
      </c>
    </row>
    <row r="74">
      <c r="A74" s="15" t="inlineStr">
        <is>
          <t>TR-0073</t>
        </is>
      </c>
      <c r="B74" s="15" t="inlineStr">
        <is>
          <t>2221</t>
        </is>
      </c>
      <c r="C74" s="16" t="inlineStr">
        <is>
          <t>Nursing Professionals</t>
        </is>
      </c>
      <c r="D74" s="15" t="inlineStr">
        <is>
          <t>2310</t>
        </is>
      </c>
      <c r="E74" s="16" t="inlineStr">
        <is>
          <t>University and Higher Education Teachers</t>
        </is>
      </c>
      <c r="F74" s="16" t="inlineStr">
        <is>
          <t>바이오 / 제약 / 임상헬스케어</t>
        </is>
      </c>
      <c r="G74" s="15" t="inlineStr">
        <is>
          <t>horizontal_transfer</t>
        </is>
      </c>
      <c r="H74" s="16" t="inlineStr">
        <is>
          <t>designing, modifying, curricula</t>
        </is>
      </c>
      <c r="I74" s="16" t="inlineStr">
        <is>
          <t>심화 University and Higher Education Teachers 실무, 프로젝트 관리 역량</t>
        </is>
      </c>
      <c r="J74" s="16" t="inlineStr">
        <is>
          <t>실무 1년 이상 및 전문 자격</t>
        </is>
      </c>
      <c r="K74" s="15" t="inlineStr">
        <is>
          <t>★★☆☆☆</t>
        </is>
      </c>
      <c r="L74" s="20" t="inlineStr">
        <is>
          <t>+15.0%</t>
        </is>
      </c>
    </row>
    <row r="75">
      <c r="A75" s="17" t="inlineStr">
        <is>
          <t>TR-0074</t>
        </is>
      </c>
      <c r="B75" s="17" t="inlineStr">
        <is>
          <t>2221</t>
        </is>
      </c>
      <c r="C75" s="18" t="inlineStr">
        <is>
          <t>Nursing Professionals</t>
        </is>
      </c>
      <c r="D75" s="17" t="inlineStr">
        <is>
          <t>2320</t>
        </is>
      </c>
      <c r="E75" s="18" t="inlineStr">
        <is>
          <t>Vocational Education Teachers</t>
        </is>
      </c>
      <c r="F75" s="18" t="inlineStr">
        <is>
          <t>바이오 / 제약 / 임상헬스케어</t>
        </is>
      </c>
      <c r="G75" s="17" t="inlineStr">
        <is>
          <t>horizontal_transfer</t>
        </is>
      </c>
      <c r="H75" s="18" t="inlineStr">
        <is>
          <t>developing, curricula, planning</t>
        </is>
      </c>
      <c r="I75" s="18" t="inlineStr">
        <is>
          <t>심화 Vocational Education Teachers 실무, 프로젝트 관리 역량</t>
        </is>
      </c>
      <c r="J75" s="18" t="inlineStr">
        <is>
          <t>실무 1년 이상 및 전문 자격</t>
        </is>
      </c>
      <c r="K75" s="17" t="inlineStr">
        <is>
          <t>★★☆☆☆</t>
        </is>
      </c>
      <c r="L75" s="21" t="inlineStr">
        <is>
          <t>+15.0%</t>
        </is>
      </c>
    </row>
    <row r="76">
      <c r="A76" s="15" t="inlineStr">
        <is>
          <t>TR-0075</t>
        </is>
      </c>
      <c r="B76" s="15" t="inlineStr">
        <is>
          <t>2221</t>
        </is>
      </c>
      <c r="C76" s="16" t="inlineStr">
        <is>
          <t>Nursing Professionals</t>
        </is>
      </c>
      <c r="D76" s="15" t="inlineStr">
        <is>
          <t>3221</t>
        </is>
      </c>
      <c r="E76" s="16" t="inlineStr">
        <is>
          <t>Nursing Associate Professionals</t>
        </is>
      </c>
      <c r="F76" s="16" t="inlineStr">
        <is>
          <t>바이오 / 제약 / 임상헬스케어</t>
        </is>
      </c>
      <c r="G76" s="15" t="inlineStr">
        <is>
          <t>horizontal_transfer</t>
        </is>
      </c>
      <c r="H76" s="16" t="inlineStr">
        <is>
          <t>nursing, personal, care</t>
        </is>
      </c>
      <c r="I76" s="16" t="inlineStr">
        <is>
          <t>심화 Nursing Associate Professionals 실무, 프로젝트 관리 역량</t>
        </is>
      </c>
      <c r="J76" s="16" t="inlineStr">
        <is>
          <t>실무 1년 이상 및 전문 자격</t>
        </is>
      </c>
      <c r="K76" s="15" t="inlineStr">
        <is>
          <t>★☆☆☆☆</t>
        </is>
      </c>
      <c r="L76" s="20" t="inlineStr">
        <is>
          <t>+8.0%</t>
        </is>
      </c>
    </row>
    <row r="77">
      <c r="A77" s="17" t="inlineStr">
        <is>
          <t>TR-0076</t>
        </is>
      </c>
      <c r="B77" s="17" t="inlineStr">
        <is>
          <t>2221</t>
        </is>
      </c>
      <c r="C77" s="18" t="inlineStr">
        <is>
          <t>Nursing Professionals</t>
        </is>
      </c>
      <c r="D77" s="17" t="inlineStr">
        <is>
          <t>3222</t>
        </is>
      </c>
      <c r="E77" s="18" t="inlineStr">
        <is>
          <t>Midwifery Associate Professionals</t>
        </is>
      </c>
      <c r="F77" s="18" t="inlineStr">
        <is>
          <t>바이오 / 제약 / 임상헬스케어</t>
        </is>
      </c>
      <c r="G77" s="17" t="inlineStr">
        <is>
          <t>horizontal_transfer</t>
        </is>
      </c>
      <c r="H77" s="18" t="inlineStr">
        <is>
          <t>advice, women, families</t>
        </is>
      </c>
      <c r="I77" s="18" t="inlineStr">
        <is>
          <t>심화 Midwifery Associate Professionals 실무, 프로젝트 관리 역량</t>
        </is>
      </c>
      <c r="J77" s="18" t="inlineStr">
        <is>
          <t>실무 1년 이상 및 전문 자격</t>
        </is>
      </c>
      <c r="K77" s="17" t="inlineStr">
        <is>
          <t>★☆☆☆☆</t>
        </is>
      </c>
      <c r="L77" s="21" t="inlineStr">
        <is>
          <t>+8.0%</t>
        </is>
      </c>
    </row>
    <row r="78">
      <c r="A78" s="15" t="inlineStr">
        <is>
          <t>TR-0077</t>
        </is>
      </c>
      <c r="B78" s="15" t="inlineStr">
        <is>
          <t>2221</t>
        </is>
      </c>
      <c r="C78" s="16" t="inlineStr">
        <is>
          <t>Nursing Professionals</t>
        </is>
      </c>
      <c r="D78" s="15" t="inlineStr">
        <is>
          <t>5321</t>
        </is>
      </c>
      <c r="E78" s="16" t="inlineStr">
        <is>
          <t>Health Care Assistants</t>
        </is>
      </c>
      <c r="F78" s="16" t="inlineStr">
        <is>
          <t>바이오 / 제약 / 임상헬스케어</t>
        </is>
      </c>
      <c r="G78" s="15" t="inlineStr">
        <is>
          <t>horizontal_transfer</t>
        </is>
      </c>
      <c r="H78" s="16" t="inlineStr">
        <is>
          <t>care, support, treatment</t>
        </is>
      </c>
      <c r="I78" s="16" t="inlineStr">
        <is>
          <t>심화 Health Care Assistants 실무, 프로젝트 관리 역량</t>
        </is>
      </c>
      <c r="J78" s="16" t="inlineStr">
        <is>
          <t>실무 1년 이상 및 전문 자격</t>
        </is>
      </c>
      <c r="K78" s="15" t="inlineStr">
        <is>
          <t>★☆☆☆☆</t>
        </is>
      </c>
      <c r="L78" s="20" t="inlineStr">
        <is>
          <t>+8.0%</t>
        </is>
      </c>
    </row>
    <row r="79">
      <c r="A79" s="17" t="inlineStr">
        <is>
          <t>TR-0078</t>
        </is>
      </c>
      <c r="B79" s="17" t="inlineStr">
        <is>
          <t>2222</t>
        </is>
      </c>
      <c r="C79" s="18" t="inlineStr">
        <is>
          <t>Midwifery Professionals</t>
        </is>
      </c>
      <c r="D79" s="17" t="inlineStr">
        <is>
          <t>2221</t>
        </is>
      </c>
      <c r="E79" s="18" t="inlineStr">
        <is>
          <t>Nursing Professionals</t>
        </is>
      </c>
      <c r="F79" s="18" t="inlineStr">
        <is>
          <t>바이오 / 제약 / 임상헬스케어</t>
        </is>
      </c>
      <c r="G79" s="17" t="inlineStr">
        <is>
          <t>horizontal_transfer</t>
        </is>
      </c>
      <c r="H79" s="18" t="inlineStr">
        <is>
          <t>planning, evaluating, nursing</t>
        </is>
      </c>
      <c r="I79" s="18" t="inlineStr">
        <is>
          <t>심화 Nursing Professionals 실무, 프로젝트 관리 역량</t>
        </is>
      </c>
      <c r="J79" s="18" t="inlineStr">
        <is>
          <t>실무 1년 이상 및 전문 자격</t>
        </is>
      </c>
      <c r="K79" s="17" t="inlineStr">
        <is>
          <t>★★☆☆☆</t>
        </is>
      </c>
      <c r="L79" s="21" t="inlineStr">
        <is>
          <t>+15.0%</t>
        </is>
      </c>
    </row>
    <row r="80">
      <c r="A80" s="15" t="inlineStr">
        <is>
          <t>TR-0079</t>
        </is>
      </c>
      <c r="B80" s="15" t="inlineStr">
        <is>
          <t>2222</t>
        </is>
      </c>
      <c r="C80" s="16" t="inlineStr">
        <is>
          <t>Midwifery Professionals</t>
        </is>
      </c>
      <c r="D80" s="15" t="inlineStr">
        <is>
          <t>3221</t>
        </is>
      </c>
      <c r="E80" s="16" t="inlineStr">
        <is>
          <t>Nursing Associate Professionals</t>
        </is>
      </c>
      <c r="F80" s="16" t="inlineStr">
        <is>
          <t>바이오 / 제약 / 임상헬스케어</t>
        </is>
      </c>
      <c r="G80" s="15" t="inlineStr">
        <is>
          <t>horizontal_transfer</t>
        </is>
      </c>
      <c r="H80" s="16" t="inlineStr">
        <is>
          <t>nursing, personal, care</t>
        </is>
      </c>
      <c r="I80" s="16" t="inlineStr">
        <is>
          <t>심화 Nursing Associate Professionals 실무, 프로젝트 관리 역량</t>
        </is>
      </c>
      <c r="J80" s="16" t="inlineStr">
        <is>
          <t>실무 1년 이상 및 전문 자격</t>
        </is>
      </c>
      <c r="K80" s="15" t="inlineStr">
        <is>
          <t>★☆☆☆☆</t>
        </is>
      </c>
      <c r="L80" s="20" t="inlineStr">
        <is>
          <t>+8.0%</t>
        </is>
      </c>
    </row>
    <row r="81">
      <c r="A81" s="17" t="inlineStr">
        <is>
          <t>TR-0080</t>
        </is>
      </c>
      <c r="B81" s="17" t="inlineStr">
        <is>
          <t>2222</t>
        </is>
      </c>
      <c r="C81" s="18" t="inlineStr">
        <is>
          <t>Midwifery Professionals</t>
        </is>
      </c>
      <c r="D81" s="17" t="inlineStr">
        <is>
          <t>3222</t>
        </is>
      </c>
      <c r="E81" s="18" t="inlineStr">
        <is>
          <t>Midwifery Associate Professionals</t>
        </is>
      </c>
      <c r="F81" s="18" t="inlineStr">
        <is>
          <t>바이오 / 제약 / 임상헬스케어</t>
        </is>
      </c>
      <c r="G81" s="17" t="inlineStr">
        <is>
          <t>horizontal_transfer</t>
        </is>
      </c>
      <c r="H81" s="18" t="inlineStr">
        <is>
          <t>advice, women, families</t>
        </is>
      </c>
      <c r="I81" s="18" t="inlineStr">
        <is>
          <t>심화 Midwifery Associate Professionals 실무, 프로젝트 관리 역량</t>
        </is>
      </c>
      <c r="J81" s="18" t="inlineStr">
        <is>
          <t>실무 1년 이상 및 전문 자격</t>
        </is>
      </c>
      <c r="K81" s="17" t="inlineStr">
        <is>
          <t>★☆☆☆☆</t>
        </is>
      </c>
      <c r="L81" s="21" t="inlineStr">
        <is>
          <t>+8.0%</t>
        </is>
      </c>
    </row>
    <row r="82">
      <c r="A82" s="15" t="inlineStr">
        <is>
          <t>TR-0081</t>
        </is>
      </c>
      <c r="B82" s="15" t="inlineStr">
        <is>
          <t>2222</t>
        </is>
      </c>
      <c r="C82" s="16" t="inlineStr">
        <is>
          <t>Midwifery Professionals</t>
        </is>
      </c>
      <c r="D82" s="15" t="inlineStr">
        <is>
          <t>5321</t>
        </is>
      </c>
      <c r="E82" s="16" t="inlineStr">
        <is>
          <t>Health Care Assistants</t>
        </is>
      </c>
      <c r="F82" s="16" t="inlineStr">
        <is>
          <t>바이오 / 제약 / 임상헬스케어</t>
        </is>
      </c>
      <c r="G82" s="15" t="inlineStr">
        <is>
          <t>horizontal_transfer</t>
        </is>
      </c>
      <c r="H82" s="16" t="inlineStr">
        <is>
          <t>care, support, treatment</t>
        </is>
      </c>
      <c r="I82" s="16" t="inlineStr">
        <is>
          <t>심화 Health Care Assistants 실무, 프로젝트 관리 역량</t>
        </is>
      </c>
      <c r="J82" s="16" t="inlineStr">
        <is>
          <t>실무 1년 이상 및 전문 자격</t>
        </is>
      </c>
      <c r="K82" s="15" t="inlineStr">
        <is>
          <t>★☆☆☆☆</t>
        </is>
      </c>
      <c r="L82" s="20" t="inlineStr">
        <is>
          <t>+8.0%</t>
        </is>
      </c>
    </row>
    <row r="83">
      <c r="A83" s="17" t="inlineStr">
        <is>
          <t>TR-0082</t>
        </is>
      </c>
      <c r="B83" s="17" t="inlineStr">
        <is>
          <t>2230</t>
        </is>
      </c>
      <c r="C83" s="18" t="inlineStr">
        <is>
          <t>Traditional and Complementary Medicine Professionals</t>
        </is>
      </c>
      <c r="D83" s="17" t="inlineStr">
        <is>
          <t>2269</t>
        </is>
      </c>
      <c r="E83" s="18" t="inlineStr">
        <is>
          <t>Health Professionals Not Elsewhere Classified</t>
        </is>
      </c>
      <c r="F83" s="18" t="inlineStr">
        <is>
          <t>바이오 / 제약 / 임상헬스케어</t>
        </is>
      </c>
      <c r="G83" s="17" t="inlineStr">
        <is>
          <t>horizontal_transfer</t>
        </is>
      </c>
      <c r="H83" s="18" t="inlineStr">
        <is>
          <t>such, cases, would</t>
        </is>
      </c>
      <c r="I83" s="18" t="inlineStr">
        <is>
          <t>심화 Health Professionals Not Elsewhere Classified 실무, 프로젝트 관리 역량</t>
        </is>
      </c>
      <c r="J83" s="18" t="inlineStr">
        <is>
          <t>실무 1년 이상 및 전문 자격</t>
        </is>
      </c>
      <c r="K83" s="17" t="inlineStr">
        <is>
          <t>★★☆☆☆</t>
        </is>
      </c>
      <c r="L83" s="21" t="inlineStr">
        <is>
          <t>+15.0%</t>
        </is>
      </c>
    </row>
    <row r="84">
      <c r="A84" s="15" t="inlineStr">
        <is>
          <t>TR-0083</t>
        </is>
      </c>
      <c r="B84" s="15" t="inlineStr">
        <is>
          <t>2230</t>
        </is>
      </c>
      <c r="C84" s="16" t="inlineStr">
        <is>
          <t>Traditional and Complementary Medicine Professionals</t>
        </is>
      </c>
      <c r="D84" s="15" t="inlineStr">
        <is>
          <t>3230</t>
        </is>
      </c>
      <c r="E84" s="16" t="inlineStr">
        <is>
          <t>Traditional and Complementary Medicine Associate Professionals</t>
        </is>
      </c>
      <c r="F84" s="16" t="inlineStr">
        <is>
          <t>바이오 / 제약 / 임상헬스케어</t>
        </is>
      </c>
      <c r="G84" s="15" t="inlineStr">
        <is>
          <t>horizontal_transfer</t>
        </is>
      </c>
      <c r="H84" s="16" t="inlineStr">
        <is>
          <t>examining, patients, interviewing</t>
        </is>
      </c>
      <c r="I84" s="16" t="inlineStr">
        <is>
          <t>심화 Traditional and Complementary Medicine Associate Professionals 실무, 프로젝트 관리 역량</t>
        </is>
      </c>
      <c r="J84" s="16" t="inlineStr">
        <is>
          <t>실무 1년 이상 및 전문 자격</t>
        </is>
      </c>
      <c r="K84" s="15" t="inlineStr">
        <is>
          <t>★☆☆☆☆</t>
        </is>
      </c>
      <c r="L84" s="20" t="inlineStr">
        <is>
          <t>+8.0%</t>
        </is>
      </c>
    </row>
    <row r="85">
      <c r="A85" s="17" t="inlineStr">
        <is>
          <t>TR-0084</t>
        </is>
      </c>
      <c r="B85" s="17" t="inlineStr">
        <is>
          <t>2230</t>
        </is>
      </c>
      <c r="C85" s="18" t="inlineStr">
        <is>
          <t>Traditional and Complementary Medicine Professionals</t>
        </is>
      </c>
      <c r="D85" s="17" t="inlineStr">
        <is>
          <t>3255</t>
        </is>
      </c>
      <c r="E85" s="18" t="inlineStr">
        <is>
          <t>Physiotherapy Technicians and Assistants</t>
        </is>
      </c>
      <c r="F85" s="18" t="inlineStr">
        <is>
          <t>바이오 / 제약 / 임상헬스케어</t>
        </is>
      </c>
      <c r="G85" s="17" t="inlineStr">
        <is>
          <t>horizontal_transfer</t>
        </is>
      </c>
      <c r="H85" s="18" t="inlineStr">
        <is>
          <t>administering, manual, treatments</t>
        </is>
      </c>
      <c r="I85" s="18" t="inlineStr">
        <is>
          <t>심화 Physiotherapy Technicians and Assistants 실무, 프로젝트 관리 역량</t>
        </is>
      </c>
      <c r="J85" s="18" t="inlineStr">
        <is>
          <t>실무 1년 이상 및 전문 자격</t>
        </is>
      </c>
      <c r="K85" s="17" t="inlineStr">
        <is>
          <t>★☆☆☆☆</t>
        </is>
      </c>
      <c r="L85" s="21" t="inlineStr">
        <is>
          <t>+8.0%</t>
        </is>
      </c>
    </row>
    <row r="86">
      <c r="A86" s="15" t="inlineStr">
        <is>
          <t>TR-0085</t>
        </is>
      </c>
      <c r="B86" s="15" t="inlineStr">
        <is>
          <t>2230</t>
        </is>
      </c>
      <c r="C86" s="16" t="inlineStr">
        <is>
          <t>Traditional and Complementary Medicine Professionals</t>
        </is>
      </c>
      <c r="D86" s="15" t="inlineStr">
        <is>
          <t>3413</t>
        </is>
      </c>
      <c r="E86" s="16" t="inlineStr">
        <is>
          <t>Religious Associate Professionals</t>
        </is>
      </c>
      <c r="F86" s="16" t="inlineStr">
        <is>
          <t>바이오 / 제약 / 임상헬스케어</t>
        </is>
      </c>
      <c r="G86" s="15" t="inlineStr">
        <is>
          <t>horizontal_transfer</t>
        </is>
      </c>
      <c r="H86" s="16" t="inlineStr">
        <is>
          <t>undertaking, religious, works</t>
        </is>
      </c>
      <c r="I86" s="16" t="inlineStr">
        <is>
          <t>심화 Religious Associate Professionals 실무, 프로젝트 관리 역량</t>
        </is>
      </c>
      <c r="J86" s="16" t="inlineStr">
        <is>
          <t>실무 1년 이상 및 전문 자격</t>
        </is>
      </c>
      <c r="K86" s="15" t="inlineStr">
        <is>
          <t>★☆☆☆☆</t>
        </is>
      </c>
      <c r="L86" s="20" t="inlineStr">
        <is>
          <t>+8.0%</t>
        </is>
      </c>
    </row>
    <row r="87">
      <c r="A87" s="17" t="inlineStr">
        <is>
          <t>TR-0086</t>
        </is>
      </c>
      <c r="B87" s="17" t="inlineStr">
        <is>
          <t>2240</t>
        </is>
      </c>
      <c r="C87" s="18" t="inlineStr">
        <is>
          <t>Paramedical Practitioners</t>
        </is>
      </c>
      <c r="D87" s="17" t="inlineStr">
        <is>
          <t>2211</t>
        </is>
      </c>
      <c r="E87" s="18" t="inlineStr">
        <is>
          <t>Generalist Medical Practitioners</t>
        </is>
      </c>
      <c r="F87" s="18" t="inlineStr">
        <is>
          <t>바이오 / 제약 / 임상헬스케어</t>
        </is>
      </c>
      <c r="G87" s="17" t="inlineStr">
        <is>
          <t>horizontal_transfer</t>
        </is>
      </c>
      <c r="H87" s="18" t="inlineStr">
        <is>
          <t>conducting, physical, examinations</t>
        </is>
      </c>
      <c r="I87" s="18" t="inlineStr">
        <is>
          <t>심화 Generalist Medical Practitioners 실무, 프로젝트 관리 역량</t>
        </is>
      </c>
      <c r="J87" s="18" t="inlineStr">
        <is>
          <t>실무 1년 이상 및 전문 자격</t>
        </is>
      </c>
      <c r="K87" s="17" t="inlineStr">
        <is>
          <t>★★☆☆☆</t>
        </is>
      </c>
      <c r="L87" s="21" t="inlineStr">
        <is>
          <t>+15.0%</t>
        </is>
      </c>
    </row>
    <row r="88">
      <c r="A88" s="15" t="inlineStr">
        <is>
          <t>TR-0087</t>
        </is>
      </c>
      <c r="B88" s="15" t="inlineStr">
        <is>
          <t>2240</t>
        </is>
      </c>
      <c r="C88" s="16" t="inlineStr">
        <is>
          <t>Paramedical Practitioners</t>
        </is>
      </c>
      <c r="D88" s="15" t="inlineStr">
        <is>
          <t>2212</t>
        </is>
      </c>
      <c r="E88" s="16" t="inlineStr">
        <is>
          <t>Specialist Medical Practitioners</t>
        </is>
      </c>
      <c r="F88" s="16" t="inlineStr">
        <is>
          <t>바이오 / 제약 / 임상헬스케어</t>
        </is>
      </c>
      <c r="G88" s="15" t="inlineStr">
        <is>
          <t>horizontal_transfer</t>
        </is>
      </c>
      <c r="H88" s="16" t="inlineStr">
        <is>
          <t>conducting, physical, examinations</t>
        </is>
      </c>
      <c r="I88" s="16" t="inlineStr">
        <is>
          <t>심화 Specialist Medical Practitioners 실무, 프로젝트 관리 역량</t>
        </is>
      </c>
      <c r="J88" s="16" t="inlineStr">
        <is>
          <t>실무 1년 이상 및 전문 자격</t>
        </is>
      </c>
      <c r="K88" s="15" t="inlineStr">
        <is>
          <t>★★☆☆☆</t>
        </is>
      </c>
      <c r="L88" s="20" t="inlineStr">
        <is>
          <t>+15.0%</t>
        </is>
      </c>
    </row>
    <row r="89">
      <c r="A89" s="17" t="inlineStr">
        <is>
          <t>TR-0088</t>
        </is>
      </c>
      <c r="B89" s="17" t="inlineStr">
        <is>
          <t>2240</t>
        </is>
      </c>
      <c r="C89" s="18" t="inlineStr">
        <is>
          <t>Paramedical Practitioners</t>
        </is>
      </c>
      <c r="D89" s="17" t="inlineStr">
        <is>
          <t>3256</t>
        </is>
      </c>
      <c r="E89" s="18" t="inlineStr">
        <is>
          <t>Medical Assistants</t>
        </is>
      </c>
      <c r="F89" s="18" t="inlineStr">
        <is>
          <t>바이오 / 제약 / 임상헬스케어</t>
        </is>
      </c>
      <c r="G89" s="17" t="inlineStr">
        <is>
          <t>horizontal_transfer</t>
        </is>
      </c>
      <c r="H89" s="18" t="inlineStr">
        <is>
          <t>interviewing, patients, their</t>
        </is>
      </c>
      <c r="I89" s="18" t="inlineStr">
        <is>
          <t>심화 Medical Assistants 실무, 프로젝트 관리 역량</t>
        </is>
      </c>
      <c r="J89" s="18" t="inlineStr">
        <is>
          <t>실무 1년 이상 및 전문 자격</t>
        </is>
      </c>
      <c r="K89" s="17" t="inlineStr">
        <is>
          <t>★☆☆☆☆</t>
        </is>
      </c>
      <c r="L89" s="21" t="inlineStr">
        <is>
          <t>+8.0%</t>
        </is>
      </c>
    </row>
    <row r="90">
      <c r="A90" s="15" t="inlineStr">
        <is>
          <t>TR-0089</t>
        </is>
      </c>
      <c r="B90" s="15" t="inlineStr">
        <is>
          <t>2240</t>
        </is>
      </c>
      <c r="C90" s="16" t="inlineStr">
        <is>
          <t>Paramedical Practitioners</t>
        </is>
      </c>
      <c r="D90" s="15" t="inlineStr">
        <is>
          <t>3258</t>
        </is>
      </c>
      <c r="E90" s="16" t="inlineStr">
        <is>
          <t>Ambulance Workers</t>
        </is>
      </c>
      <c r="F90" s="16" t="inlineStr">
        <is>
          <t>바이오 / 제약 / 임상헬스케어</t>
        </is>
      </c>
      <c r="G90" s="15" t="inlineStr">
        <is>
          <t>horizontal_transfer</t>
        </is>
      </c>
      <c r="H90" s="16" t="inlineStr">
        <is>
          <t>assessing, health, status</t>
        </is>
      </c>
      <c r="I90" s="16" t="inlineStr">
        <is>
          <t>심화 Ambulance Workers 실무, 프로젝트 관리 역량</t>
        </is>
      </c>
      <c r="J90" s="16" t="inlineStr">
        <is>
          <t>실무 1년 이상 및 전문 자격</t>
        </is>
      </c>
      <c r="K90" s="15" t="inlineStr">
        <is>
          <t>★☆☆☆☆</t>
        </is>
      </c>
      <c r="L90" s="20" t="inlineStr">
        <is>
          <t>+8.0%</t>
        </is>
      </c>
    </row>
    <row r="91">
      <c r="A91" s="17" t="inlineStr">
        <is>
          <t>TR-0090</t>
        </is>
      </c>
      <c r="B91" s="17" t="inlineStr">
        <is>
          <t>2262</t>
        </is>
      </c>
      <c r="C91" s="18" t="inlineStr">
        <is>
          <t>Pharmacists</t>
        </is>
      </c>
      <c r="D91" s="17" t="inlineStr">
        <is>
          <t>2131</t>
        </is>
      </c>
      <c r="E91" s="18" t="inlineStr">
        <is>
          <t>Biologists, Botanists, Zoologists and Related Professionals</t>
        </is>
      </c>
      <c r="F91" s="18" t="inlineStr">
        <is>
          <t>바이오 / 제약 / 임상헬스케어</t>
        </is>
      </c>
      <c r="G91" s="17" t="inlineStr">
        <is>
          <t>horizontal_transfer</t>
        </is>
      </c>
      <c r="H91" s="18" t="inlineStr">
        <is>
          <t>undertaking, research, laboratories</t>
        </is>
      </c>
      <c r="I91" s="18" t="inlineStr">
        <is>
          <t>심화 Biologists, Botanists, Zoologists and Related Professionals 실무, 프로젝트 관리 역량</t>
        </is>
      </c>
      <c r="J91" s="18" t="inlineStr">
        <is>
          <t>실무 1년 이상 및 전문 자격</t>
        </is>
      </c>
      <c r="K91" s="17" t="inlineStr">
        <is>
          <t>★★☆☆☆</t>
        </is>
      </c>
      <c r="L91" s="21" t="inlineStr">
        <is>
          <t>+15.0%</t>
        </is>
      </c>
    </row>
    <row r="92">
      <c r="A92" s="15" t="inlineStr">
        <is>
          <t>TR-0091</t>
        </is>
      </c>
      <c r="B92" s="15" t="inlineStr">
        <is>
          <t>2262</t>
        </is>
      </c>
      <c r="C92" s="16" t="inlineStr">
        <is>
          <t>Pharmacists</t>
        </is>
      </c>
      <c r="D92" s="15" t="inlineStr">
        <is>
          <t>3213</t>
        </is>
      </c>
      <c r="E92" s="16" t="inlineStr">
        <is>
          <t>Pharmaceutical Technicians and Assistants</t>
        </is>
      </c>
      <c r="F92" s="16" t="inlineStr">
        <is>
          <t>바이오 / 제약 / 임상헬스케어</t>
        </is>
      </c>
      <c r="G92" s="15" t="inlineStr">
        <is>
          <t>horizontal_transfer</t>
        </is>
      </c>
      <c r="H92" s="16" t="inlineStr">
        <is>
          <t>preparing, medications, other</t>
        </is>
      </c>
      <c r="I92" s="16" t="inlineStr">
        <is>
          <t>심화 Pharmaceutical Technicians and Assistants 실무, 프로젝트 관리 역량</t>
        </is>
      </c>
      <c r="J92" s="16" t="inlineStr">
        <is>
          <t>실무 1년 이상 및 전문 자격</t>
        </is>
      </c>
      <c r="K92" s="15" t="inlineStr">
        <is>
          <t>★☆☆☆☆</t>
        </is>
      </c>
      <c r="L92" s="20" t="inlineStr">
        <is>
          <t>+8.0%</t>
        </is>
      </c>
    </row>
    <row r="93">
      <c r="A93" s="17" t="inlineStr">
        <is>
          <t>TR-0092</t>
        </is>
      </c>
      <c r="B93" s="17" t="inlineStr">
        <is>
          <t>2263</t>
        </is>
      </c>
      <c r="C93" s="18" t="inlineStr">
        <is>
          <t>Environmental and Occupational Health and Hygiene Professionals</t>
        </is>
      </c>
      <c r="D93" s="17" t="inlineStr">
        <is>
          <t>2133</t>
        </is>
      </c>
      <c r="E93" s="18" t="inlineStr">
        <is>
          <t>Environmental Protection Professionals</t>
        </is>
      </c>
      <c r="F93" s="18" t="inlineStr">
        <is>
          <t>바이오 / 제약 / 임상헬스케어</t>
        </is>
      </c>
      <c r="G93" s="17" t="inlineStr">
        <is>
          <t>horizontal_transfer</t>
        </is>
      </c>
      <c r="H93" s="18" t="inlineStr">
        <is>
          <t>conducting, research, tests</t>
        </is>
      </c>
      <c r="I93" s="18" t="inlineStr">
        <is>
          <t>심화 Environmental Protection Professionals 실무, 프로젝트 관리 역량</t>
        </is>
      </c>
      <c r="J93" s="18" t="inlineStr">
        <is>
          <t>실무 1년 이상 및 전문 자격</t>
        </is>
      </c>
      <c r="K93" s="17" t="inlineStr">
        <is>
          <t>★★☆☆☆</t>
        </is>
      </c>
      <c r="L93" s="21" t="inlineStr">
        <is>
          <t>+15.0%</t>
        </is>
      </c>
    </row>
    <row r="94">
      <c r="A94" s="15" t="inlineStr">
        <is>
          <t>TR-0093</t>
        </is>
      </c>
      <c r="B94" s="15" t="inlineStr">
        <is>
          <t>2263</t>
        </is>
      </c>
      <c r="C94" s="16" t="inlineStr">
        <is>
          <t>Environmental and Occupational Health and Hygiene Professionals</t>
        </is>
      </c>
      <c r="D94" s="15" t="inlineStr">
        <is>
          <t>2212</t>
        </is>
      </c>
      <c r="E94" s="16" t="inlineStr">
        <is>
          <t>Specialist Medical Practitioners</t>
        </is>
      </c>
      <c r="F94" s="16" t="inlineStr">
        <is>
          <t>바이오 / 제약 / 임상헬스케어</t>
        </is>
      </c>
      <c r="G94" s="15" t="inlineStr">
        <is>
          <t>horizontal_transfer</t>
        </is>
      </c>
      <c r="H94" s="16" t="inlineStr">
        <is>
          <t>conducting, physical, examinations</t>
        </is>
      </c>
      <c r="I94" s="16" t="inlineStr">
        <is>
          <t>심화 Specialist Medical Practitioners 실무, 프로젝트 관리 역량</t>
        </is>
      </c>
      <c r="J94" s="16" t="inlineStr">
        <is>
          <t>실무 1년 이상 및 전문 자격</t>
        </is>
      </c>
      <c r="K94" s="15" t="inlineStr">
        <is>
          <t>★★☆☆☆</t>
        </is>
      </c>
      <c r="L94" s="20" t="inlineStr">
        <is>
          <t>+15.0%</t>
        </is>
      </c>
    </row>
    <row r="95">
      <c r="A95" s="17" t="inlineStr">
        <is>
          <t>TR-0094</t>
        </is>
      </c>
      <c r="B95" s="17" t="inlineStr">
        <is>
          <t>2263</t>
        </is>
      </c>
      <c r="C95" s="18" t="inlineStr">
        <is>
          <t>Environmental and Occupational Health and Hygiene Professionals</t>
        </is>
      </c>
      <c r="D95" s="17" t="inlineStr">
        <is>
          <t>2221</t>
        </is>
      </c>
      <c r="E95" s="18" t="inlineStr">
        <is>
          <t>Nursing Professionals</t>
        </is>
      </c>
      <c r="F95" s="18" t="inlineStr">
        <is>
          <t>바이오 / 제약 / 임상헬스케어</t>
        </is>
      </c>
      <c r="G95" s="17" t="inlineStr">
        <is>
          <t>horizontal_transfer</t>
        </is>
      </c>
      <c r="H95" s="18" t="inlineStr">
        <is>
          <t>planning, evaluating, nursing</t>
        </is>
      </c>
      <c r="I95" s="18" t="inlineStr">
        <is>
          <t>심화 Nursing Professionals 실무, 프로젝트 관리 역량</t>
        </is>
      </c>
      <c r="J95" s="18" t="inlineStr">
        <is>
          <t>실무 1년 이상 및 전문 자격</t>
        </is>
      </c>
      <c r="K95" s="17" t="inlineStr">
        <is>
          <t>★★☆☆☆</t>
        </is>
      </c>
      <c r="L95" s="21" t="inlineStr">
        <is>
          <t>+15.0%</t>
        </is>
      </c>
    </row>
    <row r="96">
      <c r="A96" s="15" t="inlineStr">
        <is>
          <t>TR-0095</t>
        </is>
      </c>
      <c r="B96" s="15" t="inlineStr">
        <is>
          <t>2263</t>
        </is>
      </c>
      <c r="C96" s="16" t="inlineStr">
        <is>
          <t>Environmental and Occupational Health and Hygiene Professionals</t>
        </is>
      </c>
      <c r="D96" s="15" t="inlineStr">
        <is>
          <t>2269</t>
        </is>
      </c>
      <c r="E96" s="16" t="inlineStr">
        <is>
          <t>Health Professionals Not Elsewhere Classified</t>
        </is>
      </c>
      <c r="F96" s="16" t="inlineStr">
        <is>
          <t>바이오 / 제약 / 임상헬스케어</t>
        </is>
      </c>
      <c r="G96" s="15" t="inlineStr">
        <is>
          <t>horizontal_transfer</t>
        </is>
      </c>
      <c r="H96" s="16" t="inlineStr">
        <is>
          <t>such, cases, would</t>
        </is>
      </c>
      <c r="I96" s="16" t="inlineStr">
        <is>
          <t>심화 Health Professionals Not Elsewhere Classified 실무, 프로젝트 관리 역량</t>
        </is>
      </c>
      <c r="J96" s="16" t="inlineStr">
        <is>
          <t>실무 1년 이상 및 전문 자격</t>
        </is>
      </c>
      <c r="K96" s="15" t="inlineStr">
        <is>
          <t>★★☆☆☆</t>
        </is>
      </c>
      <c r="L96" s="20" t="inlineStr">
        <is>
          <t>+15.0%</t>
        </is>
      </c>
    </row>
    <row r="97">
      <c r="A97" s="17" t="inlineStr">
        <is>
          <t>TR-0096</t>
        </is>
      </c>
      <c r="B97" s="17" t="inlineStr">
        <is>
          <t>2263</t>
        </is>
      </c>
      <c r="C97" s="18" t="inlineStr">
        <is>
          <t>Environmental and Occupational Health and Hygiene Professionals</t>
        </is>
      </c>
      <c r="D97" s="17" t="inlineStr">
        <is>
          <t>3257</t>
        </is>
      </c>
      <c r="E97" s="18" t="inlineStr">
        <is>
          <t>Environmental and Occupational Health Inspectors and Associates</t>
        </is>
      </c>
      <c r="F97" s="18" t="inlineStr">
        <is>
          <t>바이오 / 제약 / 임상헬스케어</t>
        </is>
      </c>
      <c r="G97" s="17" t="inlineStr">
        <is>
          <t>horizontal_transfer</t>
        </is>
      </c>
      <c r="H97" s="18" t="inlineStr">
        <is>
          <t>advising, employers, representatives</t>
        </is>
      </c>
      <c r="I97" s="18" t="inlineStr">
        <is>
          <t>심화 Environmental and Occupational Health Inspectors and Associates 실무, 프로젝트 관리 역량</t>
        </is>
      </c>
      <c r="J97" s="18" t="inlineStr">
        <is>
          <t>실무 1년 이상 및 전문 자격</t>
        </is>
      </c>
      <c r="K97" s="17" t="inlineStr">
        <is>
          <t>★☆☆☆☆</t>
        </is>
      </c>
      <c r="L97" s="21" t="inlineStr">
        <is>
          <t>+8.0%</t>
        </is>
      </c>
    </row>
    <row r="98">
      <c r="A98" s="15" t="inlineStr">
        <is>
          <t>TR-0097</t>
        </is>
      </c>
      <c r="B98" s="15" t="inlineStr">
        <is>
          <t>2264</t>
        </is>
      </c>
      <c r="C98" s="16" t="inlineStr">
        <is>
          <t>Physiotherapists</t>
        </is>
      </c>
      <c r="D98" s="15" t="inlineStr">
        <is>
          <t>2269</t>
        </is>
      </c>
      <c r="E98" s="16" t="inlineStr">
        <is>
          <t>Health Professionals Not Elsewhere Classified</t>
        </is>
      </c>
      <c r="F98" s="16" t="inlineStr">
        <is>
          <t>바이오 / 제약 / 임상헬스케어</t>
        </is>
      </c>
      <c r="G98" s="15" t="inlineStr">
        <is>
          <t>horizontal_transfer</t>
        </is>
      </c>
      <c r="H98" s="16" t="inlineStr">
        <is>
          <t>such, cases, would</t>
        </is>
      </c>
      <c r="I98" s="16" t="inlineStr">
        <is>
          <t>심화 Health Professionals Not Elsewhere Classified 실무, 프로젝트 관리 역량</t>
        </is>
      </c>
      <c r="J98" s="16" t="inlineStr">
        <is>
          <t>실무 1년 이상 및 전문 자격</t>
        </is>
      </c>
      <c r="K98" s="15" t="inlineStr">
        <is>
          <t>★★☆☆☆</t>
        </is>
      </c>
      <c r="L98" s="20" t="inlineStr">
        <is>
          <t>+15.0%</t>
        </is>
      </c>
    </row>
    <row r="99">
      <c r="A99" s="17" t="inlineStr">
        <is>
          <t>TR-0098</t>
        </is>
      </c>
      <c r="B99" s="17" t="inlineStr">
        <is>
          <t>2264</t>
        </is>
      </c>
      <c r="C99" s="18" t="inlineStr">
        <is>
          <t>Physiotherapists</t>
        </is>
      </c>
      <c r="D99" s="17" t="inlineStr">
        <is>
          <t>3255</t>
        </is>
      </c>
      <c r="E99" s="18" t="inlineStr">
        <is>
          <t>Physiotherapy Technicians and Assistants</t>
        </is>
      </c>
      <c r="F99" s="18" t="inlineStr">
        <is>
          <t>바이오 / 제약 / 임상헬스케어</t>
        </is>
      </c>
      <c r="G99" s="17" t="inlineStr">
        <is>
          <t>horizontal_transfer</t>
        </is>
      </c>
      <c r="H99" s="18" t="inlineStr">
        <is>
          <t>administering, manual, treatments</t>
        </is>
      </c>
      <c r="I99" s="18" t="inlineStr">
        <is>
          <t>심화 Physiotherapy Technicians and Assistants 실무, 프로젝트 관리 역량</t>
        </is>
      </c>
      <c r="J99" s="18" t="inlineStr">
        <is>
          <t>실무 1년 이상 및 전문 자격</t>
        </is>
      </c>
      <c r="K99" s="17" t="inlineStr">
        <is>
          <t>★☆☆☆☆</t>
        </is>
      </c>
      <c r="L99" s="21" t="inlineStr">
        <is>
          <t>+8.0%</t>
        </is>
      </c>
    </row>
    <row r="100">
      <c r="A100" s="15" t="inlineStr">
        <is>
          <t>TR-0099</t>
        </is>
      </c>
      <c r="B100" s="15" t="inlineStr">
        <is>
          <t>2267</t>
        </is>
      </c>
      <c r="C100" s="16" t="inlineStr">
        <is>
          <t>Optometrists and Ophthalmic Opticians</t>
        </is>
      </c>
      <c r="D100" s="15" t="inlineStr">
        <is>
          <t>2212</t>
        </is>
      </c>
      <c r="E100" s="16" t="inlineStr">
        <is>
          <t>Specialist Medical Practitioners</t>
        </is>
      </c>
      <c r="F100" s="16" t="inlineStr">
        <is>
          <t>바이오 / 제약 / 임상헬스케어</t>
        </is>
      </c>
      <c r="G100" s="15" t="inlineStr">
        <is>
          <t>horizontal_transfer</t>
        </is>
      </c>
      <c r="H100" s="16" t="inlineStr">
        <is>
          <t>conducting, physical, examinations</t>
        </is>
      </c>
      <c r="I100" s="16" t="inlineStr">
        <is>
          <t>심화 Specialist Medical Practitioners 실무, 프로젝트 관리 역량</t>
        </is>
      </c>
      <c r="J100" s="16" t="inlineStr">
        <is>
          <t>실무 1년 이상 및 전문 자격</t>
        </is>
      </c>
      <c r="K100" s="15" t="inlineStr">
        <is>
          <t>★★☆☆☆</t>
        </is>
      </c>
      <c r="L100" s="20" t="inlineStr">
        <is>
          <t>+15.0%</t>
        </is>
      </c>
    </row>
    <row r="101">
      <c r="A101" s="17" t="inlineStr">
        <is>
          <t>TR-0100</t>
        </is>
      </c>
      <c r="B101" s="17" t="inlineStr">
        <is>
          <t>2267</t>
        </is>
      </c>
      <c r="C101" s="18" t="inlineStr">
        <is>
          <t>Optometrists and Ophthalmic Opticians</t>
        </is>
      </c>
      <c r="D101" s="17" t="inlineStr">
        <is>
          <t>3254</t>
        </is>
      </c>
      <c r="E101" s="18" t="inlineStr">
        <is>
          <t>Dispensing Opticians</t>
        </is>
      </c>
      <c r="F101" s="18" t="inlineStr">
        <is>
          <t>바이오 / 제약 / 임상헬스케어</t>
        </is>
      </c>
      <c r="G101" s="17" t="inlineStr">
        <is>
          <t>horizontal_transfer</t>
        </is>
      </c>
      <c r="H101" s="18" t="inlineStr">
        <is>
          <t>examining, taking, facial</t>
        </is>
      </c>
      <c r="I101" s="18" t="inlineStr">
        <is>
          <t>심화 Dispensing Opticians 실무, 프로젝트 관리 역량</t>
        </is>
      </c>
      <c r="J101" s="18" t="inlineStr">
        <is>
          <t>실무 1년 이상 및 전문 자격</t>
        </is>
      </c>
      <c r="K101" s="17" t="inlineStr">
        <is>
          <t>★☆☆☆☆</t>
        </is>
      </c>
      <c r="L101" s="21" t="inlineStr">
        <is>
          <t>+8.0%</t>
        </is>
      </c>
    </row>
    <row r="102">
      <c r="A102" s="15" t="inlineStr">
        <is>
          <t>TR-0101</t>
        </is>
      </c>
      <c r="B102" s="15" t="inlineStr">
        <is>
          <t>2310</t>
        </is>
      </c>
      <c r="C102" s="16" t="inlineStr">
        <is>
          <t>University and Higher Education Teachers</t>
        </is>
      </c>
      <c r="D102" s="15" t="inlineStr">
        <is>
          <t>1120</t>
        </is>
      </c>
      <c r="E102" s="16" t="inlineStr">
        <is>
          <t>Managing Directors and Chief Executives</t>
        </is>
      </c>
      <c r="F102" s="16" t="inlineStr">
        <is>
          <t>경영전략 / 인사 / 사업개발</t>
        </is>
      </c>
      <c r="G102" s="15" t="inlineStr">
        <is>
          <t>vertical_promotion</t>
        </is>
      </c>
      <c r="H102" s="16" t="inlineStr">
        <is>
          <t>planning, coordinating, general</t>
        </is>
      </c>
      <c r="I102" s="16" t="inlineStr">
        <is>
          <t>심화 Managing Directors and Chief Executives 실무, 프로젝트 관리 역량</t>
        </is>
      </c>
      <c r="J102" s="16" t="inlineStr">
        <is>
          <t>실무 4년 이상 및 전문 자격</t>
        </is>
      </c>
      <c r="K102" s="15" t="inlineStr">
        <is>
          <t>★★★★☆</t>
        </is>
      </c>
      <c r="L102" s="20" t="inlineStr">
        <is>
          <t>+35.0%</t>
        </is>
      </c>
    </row>
    <row r="103">
      <c r="A103" s="17" t="inlineStr">
        <is>
          <t>TR-0102</t>
        </is>
      </c>
      <c r="B103" s="17" t="inlineStr">
        <is>
          <t>2310</t>
        </is>
      </c>
      <c r="C103" s="18" t="inlineStr">
        <is>
          <t>University and Higher Education Teachers</t>
        </is>
      </c>
      <c r="D103" s="17" t="inlineStr">
        <is>
          <t>1345</t>
        </is>
      </c>
      <c r="E103" s="18" t="inlineStr">
        <is>
          <t>Education Managers</t>
        </is>
      </c>
      <c r="F103" s="18" t="inlineStr">
        <is>
          <t>경영전략 / 인사 / 사업개발</t>
        </is>
      </c>
      <c r="G103" s="17" t="inlineStr">
        <is>
          <t>vertical_promotion</t>
        </is>
      </c>
      <c r="H103" s="18" t="inlineStr">
        <is>
          <t>determining, educational, programmes</t>
        </is>
      </c>
      <c r="I103" s="18" t="inlineStr">
        <is>
          <t>심화 Education Managers 실무, 프로젝트 관리 역량</t>
        </is>
      </c>
      <c r="J103" s="18" t="inlineStr">
        <is>
          <t>실무 2년 이상 및 전문 자격</t>
        </is>
      </c>
      <c r="K103" s="17" t="inlineStr">
        <is>
          <t>★★★☆☆</t>
        </is>
      </c>
      <c r="L103" s="21" t="inlineStr">
        <is>
          <t>+25.0%</t>
        </is>
      </c>
    </row>
    <row r="104">
      <c r="A104" s="15" t="inlineStr">
        <is>
          <t>TR-0103</t>
        </is>
      </c>
      <c r="B104" s="15" t="inlineStr">
        <is>
          <t>2310</t>
        </is>
      </c>
      <c r="C104" s="16" t="inlineStr">
        <is>
          <t>University and Higher Education Teachers</t>
        </is>
      </c>
      <c r="D104" s="15" t="inlineStr">
        <is>
          <t>2320</t>
        </is>
      </c>
      <c r="E104" s="16" t="inlineStr">
        <is>
          <t>Vocational Education Teachers</t>
        </is>
      </c>
      <c r="F104" s="16" t="inlineStr">
        <is>
          <t>경영전략 / 인사 / 사업개발</t>
        </is>
      </c>
      <c r="G104" s="15" t="inlineStr">
        <is>
          <t>horizontal_transfer</t>
        </is>
      </c>
      <c r="H104" s="16" t="inlineStr">
        <is>
          <t>developing, curricula, planning</t>
        </is>
      </c>
      <c r="I104" s="16" t="inlineStr">
        <is>
          <t>심화 Vocational Education Teachers 실무, 프로젝트 관리 역량</t>
        </is>
      </c>
      <c r="J104" s="16" t="inlineStr">
        <is>
          <t>실무 1년 이상 및 전문 자격</t>
        </is>
      </c>
      <c r="K104" s="15" t="inlineStr">
        <is>
          <t>★★☆☆☆</t>
        </is>
      </c>
      <c r="L104" s="20" t="inlineStr">
        <is>
          <t>+15.0%</t>
        </is>
      </c>
    </row>
    <row r="105">
      <c r="A105" s="17" t="inlineStr">
        <is>
          <t>TR-0104</t>
        </is>
      </c>
      <c r="B105" s="17" t="inlineStr">
        <is>
          <t>2320</t>
        </is>
      </c>
      <c r="C105" s="18" t="inlineStr">
        <is>
          <t>Vocational Education Teachers</t>
        </is>
      </c>
      <c r="D105" s="17" t="inlineStr">
        <is>
          <t>1345</t>
        </is>
      </c>
      <c r="E105" s="18" t="inlineStr">
        <is>
          <t>Education Managers</t>
        </is>
      </c>
      <c r="F105" s="18" t="inlineStr">
        <is>
          <t>경영전략 / 인사 / 사업개발</t>
        </is>
      </c>
      <c r="G105" s="17" t="inlineStr">
        <is>
          <t>vertical_promotion</t>
        </is>
      </c>
      <c r="H105" s="18" t="inlineStr">
        <is>
          <t>determining, educational, programmes</t>
        </is>
      </c>
      <c r="I105" s="18" t="inlineStr">
        <is>
          <t>심화 Education Managers 실무, 프로젝트 관리 역량</t>
        </is>
      </c>
      <c r="J105" s="18" t="inlineStr">
        <is>
          <t>실무 2년 이상 및 전문 자격</t>
        </is>
      </c>
      <c r="K105" s="17" t="inlineStr">
        <is>
          <t>★★★☆☆</t>
        </is>
      </c>
      <c r="L105" s="21" t="inlineStr">
        <is>
          <t>+25.0%</t>
        </is>
      </c>
    </row>
    <row r="106">
      <c r="A106" s="15" t="inlineStr">
        <is>
          <t>TR-0105</t>
        </is>
      </c>
      <c r="B106" s="15" t="inlineStr">
        <is>
          <t>2320</t>
        </is>
      </c>
      <c r="C106" s="16" t="inlineStr">
        <is>
          <t>Vocational Education Teachers</t>
        </is>
      </c>
      <c r="D106" s="15" t="inlineStr">
        <is>
          <t>2330</t>
        </is>
      </c>
      <c r="E106" s="16" t="inlineStr">
        <is>
          <t>Secondary Education Teachers</t>
        </is>
      </c>
      <c r="F106" s="16" t="inlineStr">
        <is>
          <t>경영전략 / 인사 / 사업개발</t>
        </is>
      </c>
      <c r="G106" s="15" t="inlineStr">
        <is>
          <t>horizontal_transfer</t>
        </is>
      </c>
      <c r="H106" s="16" t="inlineStr">
        <is>
          <t>designing, modifying, curricula</t>
        </is>
      </c>
      <c r="I106" s="16" t="inlineStr">
        <is>
          <t>심화 Secondary Education Teachers 실무, 프로젝트 관리 역량</t>
        </is>
      </c>
      <c r="J106" s="16" t="inlineStr">
        <is>
          <t>실무 1년 이상 및 전문 자격</t>
        </is>
      </c>
      <c r="K106" s="15" t="inlineStr">
        <is>
          <t>★★☆☆☆</t>
        </is>
      </c>
      <c r="L106" s="20" t="inlineStr">
        <is>
          <t>+15.0%</t>
        </is>
      </c>
    </row>
    <row r="107">
      <c r="A107" s="17" t="inlineStr">
        <is>
          <t>TR-0106</t>
        </is>
      </c>
      <c r="B107" s="17" t="inlineStr">
        <is>
          <t>2330</t>
        </is>
      </c>
      <c r="C107" s="18" t="inlineStr">
        <is>
          <t>Secondary Education Teachers</t>
        </is>
      </c>
      <c r="D107" s="17" t="inlineStr">
        <is>
          <t>1345</t>
        </is>
      </c>
      <c r="E107" s="18" t="inlineStr">
        <is>
          <t>Education Managers</t>
        </is>
      </c>
      <c r="F107" s="18" t="inlineStr">
        <is>
          <t>경영전략 / 인사 / 사업개발</t>
        </is>
      </c>
      <c r="G107" s="17" t="inlineStr">
        <is>
          <t>vertical_promotion</t>
        </is>
      </c>
      <c r="H107" s="18" t="inlineStr">
        <is>
          <t>determining, educational, programmes</t>
        </is>
      </c>
      <c r="I107" s="18" t="inlineStr">
        <is>
          <t>심화 Education Managers 실무, 프로젝트 관리 역량</t>
        </is>
      </c>
      <c r="J107" s="18" t="inlineStr">
        <is>
          <t>실무 2년 이상 및 전문 자격</t>
        </is>
      </c>
      <c r="K107" s="17" t="inlineStr">
        <is>
          <t>★★★☆☆</t>
        </is>
      </c>
      <c r="L107" s="21" t="inlineStr">
        <is>
          <t>+25.0%</t>
        </is>
      </c>
    </row>
    <row r="108">
      <c r="A108" s="15" t="inlineStr">
        <is>
          <t>TR-0107</t>
        </is>
      </c>
      <c r="B108" s="15" t="inlineStr">
        <is>
          <t>2330</t>
        </is>
      </c>
      <c r="C108" s="16" t="inlineStr">
        <is>
          <t>Secondary Education Teachers</t>
        </is>
      </c>
      <c r="D108" s="15" t="inlineStr">
        <is>
          <t>2351</t>
        </is>
      </c>
      <c r="E108" s="16" t="inlineStr">
        <is>
          <t>Education Methods Specialists</t>
        </is>
      </c>
      <c r="F108" s="16" t="inlineStr">
        <is>
          <t>경영전략 / 인사 / 사업개발</t>
        </is>
      </c>
      <c r="G108" s="15" t="inlineStr">
        <is>
          <t>horizontal_transfer</t>
        </is>
      </c>
      <c r="H108" s="16" t="inlineStr">
        <is>
          <t>researching, into, current</t>
        </is>
      </c>
      <c r="I108" s="16" t="inlineStr">
        <is>
          <t>심화 Education Methods Specialists 실무, 프로젝트 관리 역량</t>
        </is>
      </c>
      <c r="J108" s="16" t="inlineStr">
        <is>
          <t>실무 1년 이상 및 전문 자격</t>
        </is>
      </c>
      <c r="K108" s="15" t="inlineStr">
        <is>
          <t>★★☆☆☆</t>
        </is>
      </c>
      <c r="L108" s="20" t="inlineStr">
        <is>
          <t>+15.0%</t>
        </is>
      </c>
    </row>
    <row r="109">
      <c r="A109" s="17" t="inlineStr">
        <is>
          <t>TR-0108</t>
        </is>
      </c>
      <c r="B109" s="17" t="inlineStr">
        <is>
          <t>2330</t>
        </is>
      </c>
      <c r="C109" s="18" t="inlineStr">
        <is>
          <t>Secondary Education Teachers</t>
        </is>
      </c>
      <c r="D109" s="17" t="inlineStr">
        <is>
          <t>2359</t>
        </is>
      </c>
      <c r="E109" s="18" t="inlineStr">
        <is>
          <t>Teaching Professionals Not Elsewhere Classified</t>
        </is>
      </c>
      <c r="F109" s="18" t="inlineStr">
        <is>
          <t>경영전략 / 인사 / 사업개발</t>
        </is>
      </c>
      <c r="G109" s="17" t="inlineStr">
        <is>
          <t>horizontal_transfer</t>
        </is>
      </c>
      <c r="H109" s="18" t="inlineStr">
        <is>
          <t>such, cases, performed</t>
        </is>
      </c>
      <c r="I109" s="18" t="inlineStr">
        <is>
          <t>심화 Teaching Professionals Not Elsewhere Classified 실무, 프로젝트 관리 역량</t>
        </is>
      </c>
      <c r="J109" s="18" t="inlineStr">
        <is>
          <t>실무 1년 이상 및 전문 자격</t>
        </is>
      </c>
      <c r="K109" s="17" t="inlineStr">
        <is>
          <t>★★☆☆☆</t>
        </is>
      </c>
      <c r="L109" s="21" t="inlineStr">
        <is>
          <t>+15.0%</t>
        </is>
      </c>
    </row>
    <row r="110">
      <c r="A110" s="15" t="inlineStr">
        <is>
          <t>TR-0109</t>
        </is>
      </c>
      <c r="B110" s="15" t="inlineStr">
        <is>
          <t>2341</t>
        </is>
      </c>
      <c r="C110" s="16" t="inlineStr">
        <is>
          <t>Primary School Teachers</t>
        </is>
      </c>
      <c r="D110" s="15" t="inlineStr">
        <is>
          <t>1345</t>
        </is>
      </c>
      <c r="E110" s="16" t="inlineStr">
        <is>
          <t>Education Managers</t>
        </is>
      </c>
      <c r="F110" s="16" t="inlineStr">
        <is>
          <t>경영전략 / 인사 / 사업개발</t>
        </is>
      </c>
      <c r="G110" s="15" t="inlineStr">
        <is>
          <t>vertical_promotion</t>
        </is>
      </c>
      <c r="H110" s="16" t="inlineStr">
        <is>
          <t>determining, educational, programmes</t>
        </is>
      </c>
      <c r="I110" s="16" t="inlineStr">
        <is>
          <t>심화 Education Managers 실무, 프로젝트 관리 역량</t>
        </is>
      </c>
      <c r="J110" s="16" t="inlineStr">
        <is>
          <t>실무 2년 이상 및 전문 자격</t>
        </is>
      </c>
      <c r="K110" s="15" t="inlineStr">
        <is>
          <t>★★★☆☆</t>
        </is>
      </c>
      <c r="L110" s="20" t="inlineStr">
        <is>
          <t>+25.0%</t>
        </is>
      </c>
    </row>
    <row r="111">
      <c r="A111" s="17" t="inlineStr">
        <is>
          <t>TR-0110</t>
        </is>
      </c>
      <c r="B111" s="17" t="inlineStr">
        <is>
          <t>2341</t>
        </is>
      </c>
      <c r="C111" s="18" t="inlineStr">
        <is>
          <t>Primary School Teachers</t>
        </is>
      </c>
      <c r="D111" s="17" t="inlineStr">
        <is>
          <t>2351</t>
        </is>
      </c>
      <c r="E111" s="18" t="inlineStr">
        <is>
          <t>Education Methods Specialists</t>
        </is>
      </c>
      <c r="F111" s="18" t="inlineStr">
        <is>
          <t>경영전략 / 인사 / 사업개발</t>
        </is>
      </c>
      <c r="G111" s="17" t="inlineStr">
        <is>
          <t>horizontal_transfer</t>
        </is>
      </c>
      <c r="H111" s="18" t="inlineStr">
        <is>
          <t>researching, into, current</t>
        </is>
      </c>
      <c r="I111" s="18" t="inlineStr">
        <is>
          <t>심화 Education Methods Specialists 실무, 프로젝트 관리 역량</t>
        </is>
      </c>
      <c r="J111" s="18" t="inlineStr">
        <is>
          <t>실무 1년 이상 및 전문 자격</t>
        </is>
      </c>
      <c r="K111" s="17" t="inlineStr">
        <is>
          <t>★★☆☆☆</t>
        </is>
      </c>
      <c r="L111" s="21" t="inlineStr">
        <is>
          <t>+15.0%</t>
        </is>
      </c>
    </row>
    <row r="112">
      <c r="A112" s="15" t="inlineStr">
        <is>
          <t>TR-0111</t>
        </is>
      </c>
      <c r="B112" s="15" t="inlineStr">
        <is>
          <t>2342</t>
        </is>
      </c>
      <c r="C112" s="16" t="inlineStr">
        <is>
          <t>Early Childhood Educators</t>
        </is>
      </c>
      <c r="D112" s="15" t="inlineStr">
        <is>
          <t>1341</t>
        </is>
      </c>
      <c r="E112" s="16" t="inlineStr">
        <is>
          <t>Child Care Service Managers</t>
        </is>
      </c>
      <c r="F112" s="16" t="inlineStr">
        <is>
          <t>경영전략 / 인사 / 사업개발</t>
        </is>
      </c>
      <c r="G112" s="15" t="inlineStr">
        <is>
          <t>vertical_promotion</t>
        </is>
      </c>
      <c r="H112" s="16" t="inlineStr">
        <is>
          <t>developing, implementing, programmes</t>
        </is>
      </c>
      <c r="I112" s="16" t="inlineStr">
        <is>
          <t>심화 Child Care Service Managers 실무, 프로젝트 관리 역량</t>
        </is>
      </c>
      <c r="J112" s="16" t="inlineStr">
        <is>
          <t>실무 2년 이상 및 전문 자격</t>
        </is>
      </c>
      <c r="K112" s="15" t="inlineStr">
        <is>
          <t>★★★☆☆</t>
        </is>
      </c>
      <c r="L112" s="20" t="inlineStr">
        <is>
          <t>+25.0%</t>
        </is>
      </c>
    </row>
    <row r="113">
      <c r="A113" s="17" t="inlineStr">
        <is>
          <t>TR-0112</t>
        </is>
      </c>
      <c r="B113" s="17" t="inlineStr">
        <is>
          <t>2342</t>
        </is>
      </c>
      <c r="C113" s="18" t="inlineStr">
        <is>
          <t>Early Childhood Educators</t>
        </is>
      </c>
      <c r="D113" s="17" t="inlineStr">
        <is>
          <t>5311</t>
        </is>
      </c>
      <c r="E113" s="18" t="inlineStr">
        <is>
          <t>Child Care Workers</t>
        </is>
      </c>
      <c r="F113" s="18" t="inlineStr">
        <is>
          <t>경영전략 / 인사 / 사업개발</t>
        </is>
      </c>
      <c r="G113" s="17" t="inlineStr">
        <is>
          <t>horizontal_transfer</t>
        </is>
      </c>
      <c r="H113" s="18" t="inlineStr">
        <is>
          <t>assisting, children, wash</t>
        </is>
      </c>
      <c r="I113" s="18" t="inlineStr">
        <is>
          <t>심화 Child Care Workers 실무, 프로젝트 관리 역량</t>
        </is>
      </c>
      <c r="J113" s="18" t="inlineStr">
        <is>
          <t>실무 1년 이상 및 전문 자격</t>
        </is>
      </c>
      <c r="K113" s="17" t="inlineStr">
        <is>
          <t>★☆☆☆☆</t>
        </is>
      </c>
      <c r="L113" s="21" t="inlineStr">
        <is>
          <t>+8.0%</t>
        </is>
      </c>
    </row>
    <row r="114">
      <c r="A114" s="15" t="inlineStr">
        <is>
          <t>TR-0113</t>
        </is>
      </c>
      <c r="B114" s="15" t="inlineStr">
        <is>
          <t>2351</t>
        </is>
      </c>
      <c r="C114" s="16" t="inlineStr">
        <is>
          <t>Education Methods Specialists</t>
        </is>
      </c>
      <c r="D114" s="15" t="inlineStr">
        <is>
          <t>2359</t>
        </is>
      </c>
      <c r="E114" s="16" t="inlineStr">
        <is>
          <t>Teaching Professionals Not Elsewhere Classified</t>
        </is>
      </c>
      <c r="F114" s="16" t="inlineStr">
        <is>
          <t>경영전략 / 인사 / 사업개발</t>
        </is>
      </c>
      <c r="G114" s="15" t="inlineStr">
        <is>
          <t>horizontal_transfer</t>
        </is>
      </c>
      <c r="H114" s="16" t="inlineStr">
        <is>
          <t>such, cases, performed</t>
        </is>
      </c>
      <c r="I114" s="16" t="inlineStr">
        <is>
          <t>심화 Teaching Professionals Not Elsewhere Classified 실무, 프로젝트 관리 역량</t>
        </is>
      </c>
      <c r="J114" s="16" t="inlineStr">
        <is>
          <t>실무 1년 이상 및 전문 자격</t>
        </is>
      </c>
      <c r="K114" s="15" t="inlineStr">
        <is>
          <t>★★☆☆☆</t>
        </is>
      </c>
      <c r="L114" s="20" t="inlineStr">
        <is>
          <t>+15.0%</t>
        </is>
      </c>
    </row>
    <row r="115">
      <c r="A115" s="17" t="inlineStr">
        <is>
          <t>TR-0114</t>
        </is>
      </c>
      <c r="B115" s="17" t="inlineStr">
        <is>
          <t>2351</t>
        </is>
      </c>
      <c r="C115" s="18" t="inlineStr">
        <is>
          <t>Education Methods Specialists</t>
        </is>
      </c>
      <c r="D115" s="17" t="inlineStr">
        <is>
          <t>2634</t>
        </is>
      </c>
      <c r="E115" s="18" t="inlineStr">
        <is>
          <t>Psychologists</t>
        </is>
      </c>
      <c r="F115" s="18" t="inlineStr">
        <is>
          <t>경영전략 / 인사 / 사업개발</t>
        </is>
      </c>
      <c r="G115" s="17" t="inlineStr">
        <is>
          <t>horizontal_transfer</t>
        </is>
      </c>
      <c r="H115" s="18" t="inlineStr">
        <is>
          <t>planning, carrying, tests</t>
        </is>
      </c>
      <c r="I115" s="18" t="inlineStr">
        <is>
          <t>심화 Psychologists 실무, 프로젝트 관리 역량</t>
        </is>
      </c>
      <c r="J115" s="18" t="inlineStr">
        <is>
          <t>실무 1년 이상 및 전문 자격</t>
        </is>
      </c>
      <c r="K115" s="17" t="inlineStr">
        <is>
          <t>★★☆☆☆</t>
        </is>
      </c>
      <c r="L115" s="21" t="inlineStr">
        <is>
          <t>+15.0%</t>
        </is>
      </c>
    </row>
    <row r="116">
      <c r="A116" s="15" t="inlineStr">
        <is>
          <t>TR-0115</t>
        </is>
      </c>
      <c r="B116" s="15" t="inlineStr">
        <is>
          <t>2352</t>
        </is>
      </c>
      <c r="C116" s="16" t="inlineStr">
        <is>
          <t>Special Needs Teachers</t>
        </is>
      </c>
      <c r="D116" s="15" t="inlineStr">
        <is>
          <t>2320</t>
        </is>
      </c>
      <c r="E116" s="16" t="inlineStr">
        <is>
          <t>Vocational Education Teachers</t>
        </is>
      </c>
      <c r="F116" s="16" t="inlineStr">
        <is>
          <t>경영전략 / 인사 / 사업개발</t>
        </is>
      </c>
      <c r="G116" s="15" t="inlineStr">
        <is>
          <t>horizontal_transfer</t>
        </is>
      </c>
      <c r="H116" s="16" t="inlineStr">
        <is>
          <t>developing, curricula, planning</t>
        </is>
      </c>
      <c r="I116" s="16" t="inlineStr">
        <is>
          <t>심화 Vocational Education Teachers 실무, 프로젝트 관리 역량</t>
        </is>
      </c>
      <c r="J116" s="16" t="inlineStr">
        <is>
          <t>실무 1년 이상 및 전문 자격</t>
        </is>
      </c>
      <c r="K116" s="15" t="inlineStr">
        <is>
          <t>★★☆☆☆</t>
        </is>
      </c>
      <c r="L116" s="20" t="inlineStr">
        <is>
          <t>+15.0%</t>
        </is>
      </c>
    </row>
    <row r="117">
      <c r="A117" s="17" t="inlineStr">
        <is>
          <t>TR-0116</t>
        </is>
      </c>
      <c r="B117" s="17" t="inlineStr">
        <is>
          <t>2352</t>
        </is>
      </c>
      <c r="C117" s="18" t="inlineStr">
        <is>
          <t>Special Needs Teachers</t>
        </is>
      </c>
      <c r="D117" s="17" t="inlineStr">
        <is>
          <t>2330</t>
        </is>
      </c>
      <c r="E117" s="18" t="inlineStr">
        <is>
          <t>Secondary Education Teachers</t>
        </is>
      </c>
      <c r="F117" s="18" t="inlineStr">
        <is>
          <t>경영전략 / 인사 / 사업개발</t>
        </is>
      </c>
      <c r="G117" s="17" t="inlineStr">
        <is>
          <t>horizontal_transfer</t>
        </is>
      </c>
      <c r="H117" s="18" t="inlineStr">
        <is>
          <t>designing, modifying, curricula</t>
        </is>
      </c>
      <c r="I117" s="18" t="inlineStr">
        <is>
          <t>심화 Secondary Education Teachers 실무, 프로젝트 관리 역량</t>
        </is>
      </c>
      <c r="J117" s="18" t="inlineStr">
        <is>
          <t>실무 1년 이상 및 전문 자격</t>
        </is>
      </c>
      <c r="K117" s="17" t="inlineStr">
        <is>
          <t>★★☆☆☆</t>
        </is>
      </c>
      <c r="L117" s="21" t="inlineStr">
        <is>
          <t>+15.0%</t>
        </is>
      </c>
    </row>
    <row r="118">
      <c r="A118" s="15" t="inlineStr">
        <is>
          <t>TR-0117</t>
        </is>
      </c>
      <c r="B118" s="15" t="inlineStr">
        <is>
          <t>2352</t>
        </is>
      </c>
      <c r="C118" s="16" t="inlineStr">
        <is>
          <t>Special Needs Teachers</t>
        </is>
      </c>
      <c r="D118" s="15" t="inlineStr">
        <is>
          <t>2341</t>
        </is>
      </c>
      <c r="E118" s="16" t="inlineStr">
        <is>
          <t>Primary School Teachers</t>
        </is>
      </c>
      <c r="F118" s="16" t="inlineStr">
        <is>
          <t>경영전략 / 인사 / 사업개발</t>
        </is>
      </c>
      <c r="G118" s="15" t="inlineStr">
        <is>
          <t>horizontal_transfer</t>
        </is>
      </c>
      <c r="H118" s="16" t="inlineStr">
        <is>
          <t>preparing, daily, longer</t>
        </is>
      </c>
      <c r="I118" s="16" t="inlineStr">
        <is>
          <t>심화 Primary School Teachers 실무, 프로젝트 관리 역량</t>
        </is>
      </c>
      <c r="J118" s="16" t="inlineStr">
        <is>
          <t>실무 1년 이상 및 전문 자격</t>
        </is>
      </c>
      <c r="K118" s="15" t="inlineStr">
        <is>
          <t>★★☆☆☆</t>
        </is>
      </c>
      <c r="L118" s="20" t="inlineStr">
        <is>
          <t>+15.0%</t>
        </is>
      </c>
    </row>
    <row r="119">
      <c r="A119" s="17" t="inlineStr">
        <is>
          <t>TR-0118</t>
        </is>
      </c>
      <c r="B119" s="17" t="inlineStr">
        <is>
          <t>2353</t>
        </is>
      </c>
      <c r="C119" s="18" t="inlineStr">
        <is>
          <t>Other Language Teachers</t>
        </is>
      </c>
      <c r="D119" s="17" t="inlineStr">
        <is>
          <t>2310</t>
        </is>
      </c>
      <c r="E119" s="18" t="inlineStr">
        <is>
          <t>University and Higher Education Teachers</t>
        </is>
      </c>
      <c r="F119" s="18" t="inlineStr">
        <is>
          <t>경영전략 / 인사 / 사업개발</t>
        </is>
      </c>
      <c r="G119" s="17" t="inlineStr">
        <is>
          <t>horizontal_transfer</t>
        </is>
      </c>
      <c r="H119" s="18" t="inlineStr">
        <is>
          <t>designing, modifying, curricula</t>
        </is>
      </c>
      <c r="I119" s="18" t="inlineStr">
        <is>
          <t>심화 University and Higher Education Teachers 실무, 프로젝트 관리 역량</t>
        </is>
      </c>
      <c r="J119" s="18" t="inlineStr">
        <is>
          <t>실무 1년 이상 및 전문 자격</t>
        </is>
      </c>
      <c r="K119" s="17" t="inlineStr">
        <is>
          <t>★★☆☆☆</t>
        </is>
      </c>
      <c r="L119" s="21" t="inlineStr">
        <is>
          <t>+15.0%</t>
        </is>
      </c>
    </row>
    <row r="120">
      <c r="A120" s="15" t="inlineStr">
        <is>
          <t>TR-0119</t>
        </is>
      </c>
      <c r="B120" s="15" t="inlineStr">
        <is>
          <t>2353</t>
        </is>
      </c>
      <c r="C120" s="16" t="inlineStr">
        <is>
          <t>Other Language Teachers</t>
        </is>
      </c>
      <c r="D120" s="15" t="inlineStr">
        <is>
          <t>2320</t>
        </is>
      </c>
      <c r="E120" s="16" t="inlineStr">
        <is>
          <t>Vocational Education Teachers</t>
        </is>
      </c>
      <c r="F120" s="16" t="inlineStr">
        <is>
          <t>경영전략 / 인사 / 사업개발</t>
        </is>
      </c>
      <c r="G120" s="15" t="inlineStr">
        <is>
          <t>horizontal_transfer</t>
        </is>
      </c>
      <c r="H120" s="16" t="inlineStr">
        <is>
          <t>developing, curricula, planning</t>
        </is>
      </c>
      <c r="I120" s="16" t="inlineStr">
        <is>
          <t>심화 Vocational Education Teachers 실무, 프로젝트 관리 역량</t>
        </is>
      </c>
      <c r="J120" s="16" t="inlineStr">
        <is>
          <t>실무 1년 이상 및 전문 자격</t>
        </is>
      </c>
      <c r="K120" s="15" t="inlineStr">
        <is>
          <t>★★☆☆☆</t>
        </is>
      </c>
      <c r="L120" s="20" t="inlineStr">
        <is>
          <t>+15.0%</t>
        </is>
      </c>
    </row>
    <row r="121">
      <c r="A121" s="17" t="inlineStr">
        <is>
          <t>TR-0120</t>
        </is>
      </c>
      <c r="B121" s="17" t="inlineStr">
        <is>
          <t>2353</t>
        </is>
      </c>
      <c r="C121" s="18" t="inlineStr">
        <is>
          <t>Other Language Teachers</t>
        </is>
      </c>
      <c r="D121" s="17" t="inlineStr">
        <is>
          <t>2330</t>
        </is>
      </c>
      <c r="E121" s="18" t="inlineStr">
        <is>
          <t>Secondary Education Teachers</t>
        </is>
      </c>
      <c r="F121" s="18" t="inlineStr">
        <is>
          <t>경영전략 / 인사 / 사업개발</t>
        </is>
      </c>
      <c r="G121" s="17" t="inlineStr">
        <is>
          <t>horizontal_transfer</t>
        </is>
      </c>
      <c r="H121" s="18" t="inlineStr">
        <is>
          <t>designing, modifying, curricula</t>
        </is>
      </c>
      <c r="I121" s="18" t="inlineStr">
        <is>
          <t>심화 Secondary Education Teachers 실무, 프로젝트 관리 역량</t>
        </is>
      </c>
      <c r="J121" s="18" t="inlineStr">
        <is>
          <t>실무 1년 이상 및 전문 자격</t>
        </is>
      </c>
      <c r="K121" s="17" t="inlineStr">
        <is>
          <t>★★☆☆☆</t>
        </is>
      </c>
      <c r="L121" s="21" t="inlineStr">
        <is>
          <t>+15.0%</t>
        </is>
      </c>
    </row>
    <row r="122">
      <c r="A122" s="15" t="inlineStr">
        <is>
          <t>TR-0121</t>
        </is>
      </c>
      <c r="B122" s="15" t="inlineStr">
        <is>
          <t>2353</t>
        </is>
      </c>
      <c r="C122" s="16" t="inlineStr">
        <is>
          <t>Other Language Teachers</t>
        </is>
      </c>
      <c r="D122" s="15" t="inlineStr">
        <is>
          <t>2341</t>
        </is>
      </c>
      <c r="E122" s="16" t="inlineStr">
        <is>
          <t>Primary School Teachers</t>
        </is>
      </c>
      <c r="F122" s="16" t="inlineStr">
        <is>
          <t>경영전략 / 인사 / 사업개발</t>
        </is>
      </c>
      <c r="G122" s="15" t="inlineStr">
        <is>
          <t>horizontal_transfer</t>
        </is>
      </c>
      <c r="H122" s="16" t="inlineStr">
        <is>
          <t>preparing, daily, longer</t>
        </is>
      </c>
      <c r="I122" s="16" t="inlineStr">
        <is>
          <t>심화 Primary School Teachers 실무, 프로젝트 관리 역량</t>
        </is>
      </c>
      <c r="J122" s="16" t="inlineStr">
        <is>
          <t>실무 1년 이상 및 전문 자격</t>
        </is>
      </c>
      <c r="K122" s="15" t="inlineStr">
        <is>
          <t>★★☆☆☆</t>
        </is>
      </c>
      <c r="L122" s="20" t="inlineStr">
        <is>
          <t>+15.0%</t>
        </is>
      </c>
    </row>
    <row r="123">
      <c r="A123" s="17" t="inlineStr">
        <is>
          <t>TR-0122</t>
        </is>
      </c>
      <c r="B123" s="17" t="inlineStr">
        <is>
          <t>2354</t>
        </is>
      </c>
      <c r="C123" s="18" t="inlineStr">
        <is>
          <t>Other Music Teachers</t>
        </is>
      </c>
      <c r="D123" s="17" t="inlineStr">
        <is>
          <t>2310</t>
        </is>
      </c>
      <c r="E123" s="18" t="inlineStr">
        <is>
          <t>University and Higher Education Teachers</t>
        </is>
      </c>
      <c r="F123" s="18" t="inlineStr">
        <is>
          <t>경영전략 / 인사 / 사업개발</t>
        </is>
      </c>
      <c r="G123" s="17" t="inlineStr">
        <is>
          <t>horizontal_transfer</t>
        </is>
      </c>
      <c r="H123" s="18" t="inlineStr">
        <is>
          <t>designing, modifying, curricula</t>
        </is>
      </c>
      <c r="I123" s="18" t="inlineStr">
        <is>
          <t>심화 University and Higher Education Teachers 실무, 프로젝트 관리 역량</t>
        </is>
      </c>
      <c r="J123" s="18" t="inlineStr">
        <is>
          <t>실무 1년 이상 및 전문 자격</t>
        </is>
      </c>
      <c r="K123" s="17" t="inlineStr">
        <is>
          <t>★★☆☆☆</t>
        </is>
      </c>
      <c r="L123" s="21" t="inlineStr">
        <is>
          <t>+15.0%</t>
        </is>
      </c>
    </row>
    <row r="124">
      <c r="A124" s="15" t="inlineStr">
        <is>
          <t>TR-0123</t>
        </is>
      </c>
      <c r="B124" s="15" t="inlineStr">
        <is>
          <t>2354</t>
        </is>
      </c>
      <c r="C124" s="16" t="inlineStr">
        <is>
          <t>Other Music Teachers</t>
        </is>
      </c>
      <c r="D124" s="15" t="inlineStr">
        <is>
          <t>2320</t>
        </is>
      </c>
      <c r="E124" s="16" t="inlineStr">
        <is>
          <t>Vocational Education Teachers</t>
        </is>
      </c>
      <c r="F124" s="16" t="inlineStr">
        <is>
          <t>경영전략 / 인사 / 사업개발</t>
        </is>
      </c>
      <c r="G124" s="15" t="inlineStr">
        <is>
          <t>horizontal_transfer</t>
        </is>
      </c>
      <c r="H124" s="16" t="inlineStr">
        <is>
          <t>developing, curricula, planning</t>
        </is>
      </c>
      <c r="I124" s="16" t="inlineStr">
        <is>
          <t>심화 Vocational Education Teachers 실무, 프로젝트 관리 역량</t>
        </is>
      </c>
      <c r="J124" s="16" t="inlineStr">
        <is>
          <t>실무 1년 이상 및 전문 자격</t>
        </is>
      </c>
      <c r="K124" s="15" t="inlineStr">
        <is>
          <t>★★☆☆☆</t>
        </is>
      </c>
      <c r="L124" s="20" t="inlineStr">
        <is>
          <t>+15.0%</t>
        </is>
      </c>
    </row>
    <row r="125">
      <c r="A125" s="17" t="inlineStr">
        <is>
          <t>TR-0124</t>
        </is>
      </c>
      <c r="B125" s="17" t="inlineStr">
        <is>
          <t>2354</t>
        </is>
      </c>
      <c r="C125" s="18" t="inlineStr">
        <is>
          <t>Other Music Teachers</t>
        </is>
      </c>
      <c r="D125" s="17" t="inlineStr">
        <is>
          <t>2330</t>
        </is>
      </c>
      <c r="E125" s="18" t="inlineStr">
        <is>
          <t>Secondary Education Teachers</t>
        </is>
      </c>
      <c r="F125" s="18" t="inlineStr">
        <is>
          <t>경영전략 / 인사 / 사업개발</t>
        </is>
      </c>
      <c r="G125" s="17" t="inlineStr">
        <is>
          <t>horizontal_transfer</t>
        </is>
      </c>
      <c r="H125" s="18" t="inlineStr">
        <is>
          <t>designing, modifying, curricula</t>
        </is>
      </c>
      <c r="I125" s="18" t="inlineStr">
        <is>
          <t>심화 Secondary Education Teachers 실무, 프로젝트 관리 역량</t>
        </is>
      </c>
      <c r="J125" s="18" t="inlineStr">
        <is>
          <t>실무 1년 이상 및 전문 자격</t>
        </is>
      </c>
      <c r="K125" s="17" t="inlineStr">
        <is>
          <t>★★☆☆☆</t>
        </is>
      </c>
      <c r="L125" s="21" t="inlineStr">
        <is>
          <t>+15.0%</t>
        </is>
      </c>
    </row>
    <row r="126">
      <c r="A126" s="15" t="inlineStr">
        <is>
          <t>TR-0125</t>
        </is>
      </c>
      <c r="B126" s="15" t="inlineStr">
        <is>
          <t>2354</t>
        </is>
      </c>
      <c r="C126" s="16" t="inlineStr">
        <is>
          <t>Other Music Teachers</t>
        </is>
      </c>
      <c r="D126" s="15" t="inlineStr">
        <is>
          <t>2341</t>
        </is>
      </c>
      <c r="E126" s="16" t="inlineStr">
        <is>
          <t>Primary School Teachers</t>
        </is>
      </c>
      <c r="F126" s="16" t="inlineStr">
        <is>
          <t>경영전략 / 인사 / 사업개발</t>
        </is>
      </c>
      <c r="G126" s="15" t="inlineStr">
        <is>
          <t>horizontal_transfer</t>
        </is>
      </c>
      <c r="H126" s="16" t="inlineStr">
        <is>
          <t>preparing, daily, longer</t>
        </is>
      </c>
      <c r="I126" s="16" t="inlineStr">
        <is>
          <t>심화 Primary School Teachers 실무, 프로젝트 관리 역량</t>
        </is>
      </c>
      <c r="J126" s="16" t="inlineStr">
        <is>
          <t>실무 1년 이상 및 전문 자격</t>
        </is>
      </c>
      <c r="K126" s="15" t="inlineStr">
        <is>
          <t>★★☆☆☆</t>
        </is>
      </c>
      <c r="L126" s="20" t="inlineStr">
        <is>
          <t>+15.0%</t>
        </is>
      </c>
    </row>
    <row r="127">
      <c r="A127" s="17" t="inlineStr">
        <is>
          <t>TR-0126</t>
        </is>
      </c>
      <c r="B127" s="17" t="inlineStr">
        <is>
          <t>2355</t>
        </is>
      </c>
      <c r="C127" s="18" t="inlineStr">
        <is>
          <t>Other Arts Teachers</t>
        </is>
      </c>
      <c r="D127" s="17" t="inlineStr">
        <is>
          <t>2310</t>
        </is>
      </c>
      <c r="E127" s="18" t="inlineStr">
        <is>
          <t>University and Higher Education Teachers</t>
        </is>
      </c>
      <c r="F127" s="18" t="inlineStr">
        <is>
          <t>경영전략 / 인사 / 사업개발</t>
        </is>
      </c>
      <c r="G127" s="17" t="inlineStr">
        <is>
          <t>horizontal_transfer</t>
        </is>
      </c>
      <c r="H127" s="18" t="inlineStr">
        <is>
          <t>designing, modifying, curricula</t>
        </is>
      </c>
      <c r="I127" s="18" t="inlineStr">
        <is>
          <t>심화 University and Higher Education Teachers 실무, 프로젝트 관리 역량</t>
        </is>
      </c>
      <c r="J127" s="18" t="inlineStr">
        <is>
          <t>실무 1년 이상 및 전문 자격</t>
        </is>
      </c>
      <c r="K127" s="17" t="inlineStr">
        <is>
          <t>★★☆☆☆</t>
        </is>
      </c>
      <c r="L127" s="21" t="inlineStr">
        <is>
          <t>+15.0%</t>
        </is>
      </c>
    </row>
    <row r="128">
      <c r="A128" s="15" t="inlineStr">
        <is>
          <t>TR-0127</t>
        </is>
      </c>
      <c r="B128" s="15" t="inlineStr">
        <is>
          <t>2355</t>
        </is>
      </c>
      <c r="C128" s="16" t="inlineStr">
        <is>
          <t>Other Arts Teachers</t>
        </is>
      </c>
      <c r="D128" s="15" t="inlineStr">
        <is>
          <t>2320</t>
        </is>
      </c>
      <c r="E128" s="16" t="inlineStr">
        <is>
          <t>Vocational Education Teachers</t>
        </is>
      </c>
      <c r="F128" s="16" t="inlineStr">
        <is>
          <t>경영전략 / 인사 / 사업개발</t>
        </is>
      </c>
      <c r="G128" s="15" t="inlineStr">
        <is>
          <t>horizontal_transfer</t>
        </is>
      </c>
      <c r="H128" s="16" t="inlineStr">
        <is>
          <t>developing, curricula, planning</t>
        </is>
      </c>
      <c r="I128" s="16" t="inlineStr">
        <is>
          <t>심화 Vocational Education Teachers 실무, 프로젝트 관리 역량</t>
        </is>
      </c>
      <c r="J128" s="16" t="inlineStr">
        <is>
          <t>실무 1년 이상 및 전문 자격</t>
        </is>
      </c>
      <c r="K128" s="15" t="inlineStr">
        <is>
          <t>★★☆☆☆</t>
        </is>
      </c>
      <c r="L128" s="20" t="inlineStr">
        <is>
          <t>+15.0%</t>
        </is>
      </c>
    </row>
    <row r="129">
      <c r="A129" s="17" t="inlineStr">
        <is>
          <t>TR-0128</t>
        </is>
      </c>
      <c r="B129" s="17" t="inlineStr">
        <is>
          <t>2355</t>
        </is>
      </c>
      <c r="C129" s="18" t="inlineStr">
        <is>
          <t>Other Arts Teachers</t>
        </is>
      </c>
      <c r="D129" s="17" t="inlineStr">
        <is>
          <t>2330</t>
        </is>
      </c>
      <c r="E129" s="18" t="inlineStr">
        <is>
          <t>Secondary Education Teachers</t>
        </is>
      </c>
      <c r="F129" s="18" t="inlineStr">
        <is>
          <t>경영전략 / 인사 / 사업개발</t>
        </is>
      </c>
      <c r="G129" s="17" t="inlineStr">
        <is>
          <t>horizontal_transfer</t>
        </is>
      </c>
      <c r="H129" s="18" t="inlineStr">
        <is>
          <t>designing, modifying, curricula</t>
        </is>
      </c>
      <c r="I129" s="18" t="inlineStr">
        <is>
          <t>심화 Secondary Education Teachers 실무, 프로젝트 관리 역량</t>
        </is>
      </c>
      <c r="J129" s="18" t="inlineStr">
        <is>
          <t>실무 1년 이상 및 전문 자격</t>
        </is>
      </c>
      <c r="K129" s="17" t="inlineStr">
        <is>
          <t>★★☆☆☆</t>
        </is>
      </c>
      <c r="L129" s="21" t="inlineStr">
        <is>
          <t>+15.0%</t>
        </is>
      </c>
    </row>
    <row r="130">
      <c r="A130" s="15" t="inlineStr">
        <is>
          <t>TR-0129</t>
        </is>
      </c>
      <c r="B130" s="15" t="inlineStr">
        <is>
          <t>2355</t>
        </is>
      </c>
      <c r="C130" s="16" t="inlineStr">
        <is>
          <t>Other Arts Teachers</t>
        </is>
      </c>
      <c r="D130" s="15" t="inlineStr">
        <is>
          <t>2341</t>
        </is>
      </c>
      <c r="E130" s="16" t="inlineStr">
        <is>
          <t>Primary School Teachers</t>
        </is>
      </c>
      <c r="F130" s="16" t="inlineStr">
        <is>
          <t>경영전략 / 인사 / 사업개발</t>
        </is>
      </c>
      <c r="G130" s="15" t="inlineStr">
        <is>
          <t>horizontal_transfer</t>
        </is>
      </c>
      <c r="H130" s="16" t="inlineStr">
        <is>
          <t>preparing, daily, longer</t>
        </is>
      </c>
      <c r="I130" s="16" t="inlineStr">
        <is>
          <t>심화 Primary School Teachers 실무, 프로젝트 관리 역량</t>
        </is>
      </c>
      <c r="J130" s="16" t="inlineStr">
        <is>
          <t>실무 1년 이상 및 전문 자격</t>
        </is>
      </c>
      <c r="K130" s="15" t="inlineStr">
        <is>
          <t>★★☆☆☆</t>
        </is>
      </c>
      <c r="L130" s="20" t="inlineStr">
        <is>
          <t>+15.0%</t>
        </is>
      </c>
    </row>
    <row r="131">
      <c r="A131" s="17" t="inlineStr">
        <is>
          <t>TR-0130</t>
        </is>
      </c>
      <c r="B131" s="17" t="inlineStr">
        <is>
          <t>2355</t>
        </is>
      </c>
      <c r="C131" s="18" t="inlineStr">
        <is>
          <t>Other Arts Teachers</t>
        </is>
      </c>
      <c r="D131" s="17" t="inlineStr">
        <is>
          <t>2354</t>
        </is>
      </c>
      <c r="E131" s="18" t="inlineStr">
        <is>
          <t>Other Music Teachers</t>
        </is>
      </c>
      <c r="F131" s="18" t="inlineStr">
        <is>
          <t>경영전략 / 인사 / 사업개발</t>
        </is>
      </c>
      <c r="G131" s="17" t="inlineStr">
        <is>
          <t>horizontal_transfer</t>
        </is>
      </c>
      <c r="H131" s="18" t="inlineStr">
        <is>
          <t>assessing, students, level</t>
        </is>
      </c>
      <c r="I131" s="18" t="inlineStr">
        <is>
          <t>심화 Other Music Teachers 실무, 프로젝트 관리 역량</t>
        </is>
      </c>
      <c r="J131" s="18" t="inlineStr">
        <is>
          <t>실무 1년 이상 및 전문 자격</t>
        </is>
      </c>
      <c r="K131" s="17" t="inlineStr">
        <is>
          <t>★★☆☆☆</t>
        </is>
      </c>
      <c r="L131" s="21" t="inlineStr">
        <is>
          <t>+15.0%</t>
        </is>
      </c>
    </row>
    <row r="132">
      <c r="A132" s="15" t="inlineStr">
        <is>
          <t>TR-0131</t>
        </is>
      </c>
      <c r="B132" s="15" t="inlineStr">
        <is>
          <t>2356</t>
        </is>
      </c>
      <c r="C132" s="16" t="inlineStr">
        <is>
          <t>Information Technology Trainers</t>
        </is>
      </c>
      <c r="D132" s="15" t="inlineStr">
        <is>
          <t>2310</t>
        </is>
      </c>
      <c r="E132" s="16" t="inlineStr">
        <is>
          <t>University and Higher Education Teachers</t>
        </is>
      </c>
      <c r="F132" s="16" t="inlineStr">
        <is>
          <t>경영전략 / 인사 / 사업개발</t>
        </is>
      </c>
      <c r="G132" s="15" t="inlineStr">
        <is>
          <t>horizontal_transfer</t>
        </is>
      </c>
      <c r="H132" s="16" t="inlineStr">
        <is>
          <t>designing, modifying, curricula</t>
        </is>
      </c>
      <c r="I132" s="16" t="inlineStr">
        <is>
          <t>심화 University and Higher Education Teachers 실무, 프로젝트 관리 역량</t>
        </is>
      </c>
      <c r="J132" s="16" t="inlineStr">
        <is>
          <t>실무 1년 이상 및 전문 자격</t>
        </is>
      </c>
      <c r="K132" s="15" t="inlineStr">
        <is>
          <t>★★☆☆☆</t>
        </is>
      </c>
      <c r="L132" s="20" t="inlineStr">
        <is>
          <t>+15.0%</t>
        </is>
      </c>
    </row>
    <row r="133">
      <c r="A133" s="17" t="inlineStr">
        <is>
          <t>TR-0132</t>
        </is>
      </c>
      <c r="B133" s="17" t="inlineStr">
        <is>
          <t>2356</t>
        </is>
      </c>
      <c r="C133" s="18" t="inlineStr">
        <is>
          <t>Information Technology Trainers</t>
        </is>
      </c>
      <c r="D133" s="17" t="inlineStr">
        <is>
          <t>2320</t>
        </is>
      </c>
      <c r="E133" s="18" t="inlineStr">
        <is>
          <t>Vocational Education Teachers</t>
        </is>
      </c>
      <c r="F133" s="18" t="inlineStr">
        <is>
          <t>경영전략 / 인사 / 사업개발</t>
        </is>
      </c>
      <c r="G133" s="17" t="inlineStr">
        <is>
          <t>horizontal_transfer</t>
        </is>
      </c>
      <c r="H133" s="18" t="inlineStr">
        <is>
          <t>developing, curricula, planning</t>
        </is>
      </c>
      <c r="I133" s="18" t="inlineStr">
        <is>
          <t>심화 Vocational Education Teachers 실무, 프로젝트 관리 역량</t>
        </is>
      </c>
      <c r="J133" s="18" t="inlineStr">
        <is>
          <t>실무 1년 이상 및 전문 자격</t>
        </is>
      </c>
      <c r="K133" s="17" t="inlineStr">
        <is>
          <t>★★☆☆☆</t>
        </is>
      </c>
      <c r="L133" s="21" t="inlineStr">
        <is>
          <t>+15.0%</t>
        </is>
      </c>
    </row>
    <row r="134">
      <c r="A134" s="15" t="inlineStr">
        <is>
          <t>TR-0133</t>
        </is>
      </c>
      <c r="B134" s="15" t="inlineStr">
        <is>
          <t>2356</t>
        </is>
      </c>
      <c r="C134" s="16" t="inlineStr">
        <is>
          <t>Information Technology Trainers</t>
        </is>
      </c>
      <c r="D134" s="15" t="inlineStr">
        <is>
          <t>2330</t>
        </is>
      </c>
      <c r="E134" s="16" t="inlineStr">
        <is>
          <t>Secondary Education Teachers</t>
        </is>
      </c>
      <c r="F134" s="16" t="inlineStr">
        <is>
          <t>경영전략 / 인사 / 사업개발</t>
        </is>
      </c>
      <c r="G134" s="15" t="inlineStr">
        <is>
          <t>horizontal_transfer</t>
        </is>
      </c>
      <c r="H134" s="16" t="inlineStr">
        <is>
          <t>designing, modifying, curricula</t>
        </is>
      </c>
      <c r="I134" s="16" t="inlineStr">
        <is>
          <t>심화 Secondary Education Teachers 실무, 프로젝트 관리 역량</t>
        </is>
      </c>
      <c r="J134" s="16" t="inlineStr">
        <is>
          <t>실무 1년 이상 및 전문 자격</t>
        </is>
      </c>
      <c r="K134" s="15" t="inlineStr">
        <is>
          <t>★★☆☆☆</t>
        </is>
      </c>
      <c r="L134" s="20" t="inlineStr">
        <is>
          <t>+15.0%</t>
        </is>
      </c>
    </row>
    <row r="135">
      <c r="A135" s="17" t="inlineStr">
        <is>
          <t>TR-0134</t>
        </is>
      </c>
      <c r="B135" s="17" t="inlineStr">
        <is>
          <t>2356</t>
        </is>
      </c>
      <c r="C135" s="18" t="inlineStr">
        <is>
          <t>Information Technology Trainers</t>
        </is>
      </c>
      <c r="D135" s="17" t="inlineStr">
        <is>
          <t>2341</t>
        </is>
      </c>
      <c r="E135" s="18" t="inlineStr">
        <is>
          <t>Primary School Teachers</t>
        </is>
      </c>
      <c r="F135" s="18" t="inlineStr">
        <is>
          <t>경영전략 / 인사 / 사업개발</t>
        </is>
      </c>
      <c r="G135" s="17" t="inlineStr">
        <is>
          <t>horizontal_transfer</t>
        </is>
      </c>
      <c r="H135" s="18" t="inlineStr">
        <is>
          <t>preparing, daily, longer</t>
        </is>
      </c>
      <c r="I135" s="18" t="inlineStr">
        <is>
          <t>심화 Primary School Teachers 실무, 프로젝트 관리 역량</t>
        </is>
      </c>
      <c r="J135" s="18" t="inlineStr">
        <is>
          <t>실무 1년 이상 및 전문 자격</t>
        </is>
      </c>
      <c r="K135" s="17" t="inlineStr">
        <is>
          <t>★★☆☆☆</t>
        </is>
      </c>
      <c r="L135" s="21" t="inlineStr">
        <is>
          <t>+15.0%</t>
        </is>
      </c>
    </row>
    <row r="136">
      <c r="A136" s="15" t="inlineStr">
        <is>
          <t>TR-0135</t>
        </is>
      </c>
      <c r="B136" s="15" t="inlineStr">
        <is>
          <t>2356</t>
        </is>
      </c>
      <c r="C136" s="16" t="inlineStr">
        <is>
          <t>Information Technology Trainers</t>
        </is>
      </c>
      <c r="D136" s="15" t="inlineStr">
        <is>
          <t>2424</t>
        </is>
      </c>
      <c r="E136" s="16" t="inlineStr">
        <is>
          <t>Training and Staff Development Professionals</t>
        </is>
      </c>
      <c r="F136" s="16" t="inlineStr">
        <is>
          <t>경영전략 / 인사 / 사업개발</t>
        </is>
      </c>
      <c r="G136" s="15" t="inlineStr">
        <is>
          <t>horizontal_transfer</t>
        </is>
      </c>
      <c r="H136" s="16" t="inlineStr">
        <is>
          <t>identifying, training, needs</t>
        </is>
      </c>
      <c r="I136" s="16" t="inlineStr">
        <is>
          <t>심화 Training and Staff Development Professionals 실무, 프로젝트 관리 역량</t>
        </is>
      </c>
      <c r="J136" s="16" t="inlineStr">
        <is>
          <t>실무 1년 이상 및 전문 자격</t>
        </is>
      </c>
      <c r="K136" s="15" t="inlineStr">
        <is>
          <t>★★☆☆☆</t>
        </is>
      </c>
      <c r="L136" s="20" t="inlineStr">
        <is>
          <t>+15.0%</t>
        </is>
      </c>
    </row>
    <row r="137">
      <c r="A137" s="17" t="inlineStr">
        <is>
          <t>TR-0136</t>
        </is>
      </c>
      <c r="B137" s="17" t="inlineStr">
        <is>
          <t>2359</t>
        </is>
      </c>
      <c r="C137" s="18" t="inlineStr">
        <is>
          <t>Teaching Professionals Not Elsewhere Classified</t>
        </is>
      </c>
      <c r="D137" s="17" t="inlineStr">
        <is>
          <t>2310</t>
        </is>
      </c>
      <c r="E137" s="18" t="inlineStr">
        <is>
          <t>University and Higher Education Teachers</t>
        </is>
      </c>
      <c r="F137" s="18" t="inlineStr">
        <is>
          <t>경영전략 / 인사 / 사업개발</t>
        </is>
      </c>
      <c r="G137" s="17" t="inlineStr">
        <is>
          <t>horizontal_transfer</t>
        </is>
      </c>
      <c r="H137" s="18" t="inlineStr">
        <is>
          <t>designing, modifying, curricula</t>
        </is>
      </c>
      <c r="I137" s="18" t="inlineStr">
        <is>
          <t>심화 University and Higher Education Teachers 실무, 프로젝트 관리 역량</t>
        </is>
      </c>
      <c r="J137" s="18" t="inlineStr">
        <is>
          <t>실무 1년 이상 및 전문 자격</t>
        </is>
      </c>
      <c r="K137" s="17" t="inlineStr">
        <is>
          <t>★★☆☆☆</t>
        </is>
      </c>
      <c r="L137" s="21" t="inlineStr">
        <is>
          <t>+15.0%</t>
        </is>
      </c>
    </row>
    <row r="138">
      <c r="A138" s="15" t="inlineStr">
        <is>
          <t>TR-0137</t>
        </is>
      </c>
      <c r="B138" s="15" t="inlineStr">
        <is>
          <t>2359</t>
        </is>
      </c>
      <c r="C138" s="16" t="inlineStr">
        <is>
          <t>Teaching Professionals Not Elsewhere Classified</t>
        </is>
      </c>
      <c r="D138" s="15" t="inlineStr">
        <is>
          <t>2320</t>
        </is>
      </c>
      <c r="E138" s="16" t="inlineStr">
        <is>
          <t>Vocational Education Teachers</t>
        </is>
      </c>
      <c r="F138" s="16" t="inlineStr">
        <is>
          <t>경영전략 / 인사 / 사업개발</t>
        </is>
      </c>
      <c r="G138" s="15" t="inlineStr">
        <is>
          <t>horizontal_transfer</t>
        </is>
      </c>
      <c r="H138" s="16" t="inlineStr">
        <is>
          <t>developing, curricula, planning</t>
        </is>
      </c>
      <c r="I138" s="16" t="inlineStr">
        <is>
          <t>심화 Vocational Education Teachers 실무, 프로젝트 관리 역량</t>
        </is>
      </c>
      <c r="J138" s="16" t="inlineStr">
        <is>
          <t>실무 1년 이상 및 전문 자격</t>
        </is>
      </c>
      <c r="K138" s="15" t="inlineStr">
        <is>
          <t>★★☆☆☆</t>
        </is>
      </c>
      <c r="L138" s="20" t="inlineStr">
        <is>
          <t>+15.0%</t>
        </is>
      </c>
    </row>
    <row r="139">
      <c r="A139" s="17" t="inlineStr">
        <is>
          <t>TR-0138</t>
        </is>
      </c>
      <c r="B139" s="17" t="inlineStr">
        <is>
          <t>2359</t>
        </is>
      </c>
      <c r="C139" s="18" t="inlineStr">
        <is>
          <t>Teaching Professionals Not Elsewhere Classified</t>
        </is>
      </c>
      <c r="D139" s="17" t="inlineStr">
        <is>
          <t>2330</t>
        </is>
      </c>
      <c r="E139" s="18" t="inlineStr">
        <is>
          <t>Secondary Education Teachers</t>
        </is>
      </c>
      <c r="F139" s="18" t="inlineStr">
        <is>
          <t>경영전략 / 인사 / 사업개발</t>
        </is>
      </c>
      <c r="G139" s="17" t="inlineStr">
        <is>
          <t>horizontal_transfer</t>
        </is>
      </c>
      <c r="H139" s="18" t="inlineStr">
        <is>
          <t>designing, modifying, curricula</t>
        </is>
      </c>
      <c r="I139" s="18" t="inlineStr">
        <is>
          <t>심화 Secondary Education Teachers 실무, 프로젝트 관리 역량</t>
        </is>
      </c>
      <c r="J139" s="18" t="inlineStr">
        <is>
          <t>실무 1년 이상 및 전문 자격</t>
        </is>
      </c>
      <c r="K139" s="17" t="inlineStr">
        <is>
          <t>★★☆☆☆</t>
        </is>
      </c>
      <c r="L139" s="21" t="inlineStr">
        <is>
          <t>+15.0%</t>
        </is>
      </c>
    </row>
    <row r="140">
      <c r="A140" s="15" t="inlineStr">
        <is>
          <t>TR-0139</t>
        </is>
      </c>
      <c r="B140" s="15" t="inlineStr">
        <is>
          <t>2359</t>
        </is>
      </c>
      <c r="C140" s="16" t="inlineStr">
        <is>
          <t>Teaching Professionals Not Elsewhere Classified</t>
        </is>
      </c>
      <c r="D140" s="15" t="inlineStr">
        <is>
          <t>2341</t>
        </is>
      </c>
      <c r="E140" s="16" t="inlineStr">
        <is>
          <t>Primary School Teachers</t>
        </is>
      </c>
      <c r="F140" s="16" t="inlineStr">
        <is>
          <t>경영전략 / 인사 / 사업개발</t>
        </is>
      </c>
      <c r="G140" s="15" t="inlineStr">
        <is>
          <t>horizontal_transfer</t>
        </is>
      </c>
      <c r="H140" s="16" t="inlineStr">
        <is>
          <t>preparing, daily, longer</t>
        </is>
      </c>
      <c r="I140" s="16" t="inlineStr">
        <is>
          <t>심화 Primary School Teachers 실무, 프로젝트 관리 역량</t>
        </is>
      </c>
      <c r="J140" s="16" t="inlineStr">
        <is>
          <t>실무 1년 이상 및 전문 자격</t>
        </is>
      </c>
      <c r="K140" s="15" t="inlineStr">
        <is>
          <t>★★☆☆☆</t>
        </is>
      </c>
      <c r="L140" s="20" t="inlineStr">
        <is>
          <t>+15.0%</t>
        </is>
      </c>
    </row>
    <row r="141">
      <c r="A141" s="17" t="inlineStr">
        <is>
          <t>TR-0140</t>
        </is>
      </c>
      <c r="B141" s="17" t="inlineStr">
        <is>
          <t>2359</t>
        </is>
      </c>
      <c r="C141" s="18" t="inlineStr">
        <is>
          <t>Teaching Professionals Not Elsewhere Classified</t>
        </is>
      </c>
      <c r="D141" s="17" t="inlineStr">
        <is>
          <t>2353</t>
        </is>
      </c>
      <c r="E141" s="18" t="inlineStr">
        <is>
          <t>Other Language Teachers</t>
        </is>
      </c>
      <c r="F141" s="18" t="inlineStr">
        <is>
          <t>경영전략 / 인사 / 사업개발</t>
        </is>
      </c>
      <c r="G141" s="17" t="inlineStr">
        <is>
          <t>horizontal_transfer</t>
        </is>
      </c>
      <c r="H141" s="18" t="inlineStr">
        <is>
          <t>assessing, level, ability</t>
        </is>
      </c>
      <c r="I141" s="18" t="inlineStr">
        <is>
          <t>심화 Other Language Teachers 실무, 프로젝트 관리 역량</t>
        </is>
      </c>
      <c r="J141" s="18" t="inlineStr">
        <is>
          <t>실무 1년 이상 및 전문 자격</t>
        </is>
      </c>
      <c r="K141" s="17" t="inlineStr">
        <is>
          <t>★★☆☆☆</t>
        </is>
      </c>
      <c r="L141" s="21" t="inlineStr">
        <is>
          <t>+15.0%</t>
        </is>
      </c>
    </row>
    <row r="142">
      <c r="A142" s="15" t="inlineStr">
        <is>
          <t>TR-0141</t>
        </is>
      </c>
      <c r="B142" s="15" t="inlineStr">
        <is>
          <t>2359</t>
        </is>
      </c>
      <c r="C142" s="16" t="inlineStr">
        <is>
          <t>Teaching Professionals Not Elsewhere Classified</t>
        </is>
      </c>
      <c r="D142" s="15" t="inlineStr">
        <is>
          <t>2354</t>
        </is>
      </c>
      <c r="E142" s="16" t="inlineStr">
        <is>
          <t>Other Music Teachers</t>
        </is>
      </c>
      <c r="F142" s="16" t="inlineStr">
        <is>
          <t>경영전략 / 인사 / 사업개발</t>
        </is>
      </c>
      <c r="G142" s="15" t="inlineStr">
        <is>
          <t>horizontal_transfer</t>
        </is>
      </c>
      <c r="H142" s="16" t="inlineStr">
        <is>
          <t>assessing, students, level</t>
        </is>
      </c>
      <c r="I142" s="16" t="inlineStr">
        <is>
          <t>심화 Other Music Teachers 실무, 프로젝트 관리 역량</t>
        </is>
      </c>
      <c r="J142" s="16" t="inlineStr">
        <is>
          <t>실무 1년 이상 및 전문 자격</t>
        </is>
      </c>
      <c r="K142" s="15" t="inlineStr">
        <is>
          <t>★★☆☆☆</t>
        </is>
      </c>
      <c r="L142" s="20" t="inlineStr">
        <is>
          <t>+15.0%</t>
        </is>
      </c>
    </row>
    <row r="143">
      <c r="A143" s="17" t="inlineStr">
        <is>
          <t>TR-0142</t>
        </is>
      </c>
      <c r="B143" s="17" t="inlineStr">
        <is>
          <t>2359</t>
        </is>
      </c>
      <c r="C143" s="18" t="inlineStr">
        <is>
          <t>Teaching Professionals Not Elsewhere Classified</t>
        </is>
      </c>
      <c r="D143" s="17" t="inlineStr">
        <is>
          <t>2355</t>
        </is>
      </c>
      <c r="E143" s="18" t="inlineStr">
        <is>
          <t>Other Arts Teachers</t>
        </is>
      </c>
      <c r="F143" s="18" t="inlineStr">
        <is>
          <t>경영전략 / 인사 / 사업개발</t>
        </is>
      </c>
      <c r="G143" s="17" t="inlineStr">
        <is>
          <t>horizontal_transfer</t>
        </is>
      </c>
      <c r="H143" s="18" t="inlineStr">
        <is>
          <t>assessing, students, level</t>
        </is>
      </c>
      <c r="I143" s="18" t="inlineStr">
        <is>
          <t>심화 Other Arts Teachers 실무, 프로젝트 관리 역량</t>
        </is>
      </c>
      <c r="J143" s="18" t="inlineStr">
        <is>
          <t>실무 1년 이상 및 전문 자격</t>
        </is>
      </c>
      <c r="K143" s="17" t="inlineStr">
        <is>
          <t>★★☆☆☆</t>
        </is>
      </c>
      <c r="L143" s="21" t="inlineStr">
        <is>
          <t>+15.0%</t>
        </is>
      </c>
    </row>
    <row r="144">
      <c r="A144" s="15" t="inlineStr">
        <is>
          <t>TR-0143</t>
        </is>
      </c>
      <c r="B144" s="15" t="inlineStr">
        <is>
          <t>2359</t>
        </is>
      </c>
      <c r="C144" s="16" t="inlineStr">
        <is>
          <t>Teaching Professionals Not Elsewhere Classified</t>
        </is>
      </c>
      <c r="D144" s="15" t="inlineStr">
        <is>
          <t>2634</t>
        </is>
      </c>
      <c r="E144" s="16" t="inlineStr">
        <is>
          <t>Psychologists</t>
        </is>
      </c>
      <c r="F144" s="16" t="inlineStr">
        <is>
          <t>경영전략 / 인사 / 사업개발</t>
        </is>
      </c>
      <c r="G144" s="15" t="inlineStr">
        <is>
          <t>horizontal_transfer</t>
        </is>
      </c>
      <c r="H144" s="16" t="inlineStr">
        <is>
          <t>planning, carrying, tests</t>
        </is>
      </c>
      <c r="I144" s="16" t="inlineStr">
        <is>
          <t>심화 Psychologists 실무, 프로젝트 관리 역량</t>
        </is>
      </c>
      <c r="J144" s="16" t="inlineStr">
        <is>
          <t>실무 1년 이상 및 전문 자격</t>
        </is>
      </c>
      <c r="K144" s="15" t="inlineStr">
        <is>
          <t>★★☆☆☆</t>
        </is>
      </c>
      <c r="L144" s="20" t="inlineStr">
        <is>
          <t>+15.0%</t>
        </is>
      </c>
    </row>
    <row r="145">
      <c r="A145" s="17" t="inlineStr">
        <is>
          <t>TR-0144</t>
        </is>
      </c>
      <c r="B145" s="17" t="inlineStr">
        <is>
          <t>2359</t>
        </is>
      </c>
      <c r="C145" s="18" t="inlineStr">
        <is>
          <t>Teaching Professionals Not Elsewhere Classified</t>
        </is>
      </c>
      <c r="D145" s="17" t="inlineStr">
        <is>
          <t>2635</t>
        </is>
      </c>
      <c r="E145" s="18" t="inlineStr">
        <is>
          <t>Social Work and Counselling Professionals</t>
        </is>
      </c>
      <c r="F145" s="18" t="inlineStr">
        <is>
          <t>경영전략 / 인사 / 사업개발</t>
        </is>
      </c>
      <c r="G145" s="17" t="inlineStr">
        <is>
          <t>horizontal_transfer</t>
        </is>
      </c>
      <c r="H145" s="18" t="inlineStr">
        <is>
          <t>interviewing, clients, individually</t>
        </is>
      </c>
      <c r="I145" s="18" t="inlineStr">
        <is>
          <t>심화 Social Work and Counselling Professionals 실무, 프로젝트 관리 역량</t>
        </is>
      </c>
      <c r="J145" s="18" t="inlineStr">
        <is>
          <t>실무 1년 이상 및 전문 자격</t>
        </is>
      </c>
      <c r="K145" s="17" t="inlineStr">
        <is>
          <t>★★☆☆☆</t>
        </is>
      </c>
      <c r="L145" s="21" t="inlineStr">
        <is>
          <t>+15.0%</t>
        </is>
      </c>
    </row>
    <row r="146">
      <c r="A146" s="15" t="inlineStr">
        <is>
          <t>TR-0145</t>
        </is>
      </c>
      <c r="B146" s="15" t="inlineStr">
        <is>
          <t>2411</t>
        </is>
      </c>
      <c r="C146" s="16" t="inlineStr">
        <is>
          <t>Accountants</t>
        </is>
      </c>
      <c r="D146" s="15" t="inlineStr">
        <is>
          <t>1211</t>
        </is>
      </c>
      <c r="E146" s="16" t="inlineStr">
        <is>
          <t>Finance Managers</t>
        </is>
      </c>
      <c r="F146" s="16" t="inlineStr">
        <is>
          <t>금융투자 / 핀테크 / 리스크</t>
        </is>
      </c>
      <c r="G146" s="15" t="inlineStr">
        <is>
          <t>vertical_promotion</t>
        </is>
      </c>
      <c r="H146" s="16" t="inlineStr">
        <is>
          <t>planning, coordinating, financial</t>
        </is>
      </c>
      <c r="I146" s="16" t="inlineStr">
        <is>
          <t>심화 Finance Managers 실무, 프로젝트 관리 역량</t>
        </is>
      </c>
      <c r="J146" s="16" t="inlineStr">
        <is>
          <t>실무 2년 이상 및 전문 자격</t>
        </is>
      </c>
      <c r="K146" s="15" t="inlineStr">
        <is>
          <t>★★★☆☆</t>
        </is>
      </c>
      <c r="L146" s="20" t="inlineStr">
        <is>
          <t>+25.0%</t>
        </is>
      </c>
    </row>
    <row r="147">
      <c r="A147" s="17" t="inlineStr">
        <is>
          <t>TR-0146</t>
        </is>
      </c>
      <c r="B147" s="17" t="inlineStr">
        <is>
          <t>2411</t>
        </is>
      </c>
      <c r="C147" s="18" t="inlineStr">
        <is>
          <t>Accountants</t>
        </is>
      </c>
      <c r="D147" s="17" t="inlineStr">
        <is>
          <t>3313</t>
        </is>
      </c>
      <c r="E147" s="18" t="inlineStr">
        <is>
          <t>Accounting Associate Professionals</t>
        </is>
      </c>
      <c r="F147" s="18" t="inlineStr">
        <is>
          <t>금융투자 / 핀테크 / 리스크</t>
        </is>
      </c>
      <c r="G147" s="17" t="inlineStr">
        <is>
          <t>horizontal_transfer</t>
        </is>
      </c>
      <c r="H147" s="18" t="inlineStr">
        <is>
          <t>maintaining, complete, records</t>
        </is>
      </c>
      <c r="I147" s="18" t="inlineStr">
        <is>
          <t>심화 Accounting Associate Professionals 실무, 프로젝트 관리 역량</t>
        </is>
      </c>
      <c r="J147" s="18" t="inlineStr">
        <is>
          <t>실무 1년 이상 및 전문 자격</t>
        </is>
      </c>
      <c r="K147" s="17" t="inlineStr">
        <is>
          <t>★☆☆☆☆</t>
        </is>
      </c>
      <c r="L147" s="21" t="inlineStr">
        <is>
          <t>+8.0%</t>
        </is>
      </c>
    </row>
    <row r="148">
      <c r="A148" s="15" t="inlineStr">
        <is>
          <t>TR-0147</t>
        </is>
      </c>
      <c r="B148" s="15" t="inlineStr">
        <is>
          <t>2421</t>
        </is>
      </c>
      <c r="C148" s="16" t="inlineStr">
        <is>
          <t>Management and Organization Analysts</t>
        </is>
      </c>
      <c r="D148" s="15" t="inlineStr">
        <is>
          <t>2511</t>
        </is>
      </c>
      <c r="E148" s="16" t="inlineStr">
        <is>
          <t>Systems Analysts</t>
        </is>
      </c>
      <c r="F148" s="16" t="inlineStr">
        <is>
          <t>금융투자 / 핀테크 / 리스크</t>
        </is>
      </c>
      <c r="G148" s="15" t="inlineStr">
        <is>
          <t>horizontal_transfer</t>
        </is>
      </c>
      <c r="H148" s="16" t="inlineStr">
        <is>
          <t>consulting, with, users</t>
        </is>
      </c>
      <c r="I148" s="16" t="inlineStr">
        <is>
          <t>심화 Systems Analysts 실무, 프로젝트 관리 역량</t>
        </is>
      </c>
      <c r="J148" s="16" t="inlineStr">
        <is>
          <t>실무 1년 이상 및 전문 자격</t>
        </is>
      </c>
      <c r="K148" s="15" t="inlineStr">
        <is>
          <t>★★☆☆☆</t>
        </is>
      </c>
      <c r="L148" s="20" t="inlineStr">
        <is>
          <t>+15.0%</t>
        </is>
      </c>
    </row>
    <row r="149">
      <c r="A149" s="17" t="inlineStr">
        <is>
          <t>TR-0148</t>
        </is>
      </c>
      <c r="B149" s="17" t="inlineStr">
        <is>
          <t>2433</t>
        </is>
      </c>
      <c r="C149" s="18" t="inlineStr">
        <is>
          <t>Technical and Medical Sales Professionals (excluding ICT)</t>
        </is>
      </c>
      <c r="D149" s="17" t="inlineStr">
        <is>
          <t>2434</t>
        </is>
      </c>
      <c r="E149" s="18" t="inlineStr">
        <is>
          <t>Information and Communications Technology Sales Professionals</t>
        </is>
      </c>
      <c r="F149" s="18" t="inlineStr">
        <is>
          <t>금융투자 / 핀테크 / 리스크</t>
        </is>
      </c>
      <c r="G149" s="17" t="inlineStr">
        <is>
          <t>horizontal_transfer</t>
        </is>
      </c>
      <c r="H149" s="18" t="inlineStr">
        <is>
          <t>soliciting, orders, selling</t>
        </is>
      </c>
      <c r="I149" s="18" t="inlineStr">
        <is>
          <t>심화 Information and Communications Technology Sales Professionals 실무, 프로젝트 관리 역량</t>
        </is>
      </c>
      <c r="J149" s="18" t="inlineStr">
        <is>
          <t>실무 1년 이상 및 전문 자격</t>
        </is>
      </c>
      <c r="K149" s="17" t="inlineStr">
        <is>
          <t>★★☆☆☆</t>
        </is>
      </c>
      <c r="L149" s="21" t="inlineStr">
        <is>
          <t>+15.0%</t>
        </is>
      </c>
    </row>
    <row r="150">
      <c r="A150" s="15" t="inlineStr">
        <is>
          <t>TR-0149</t>
        </is>
      </c>
      <c r="B150" s="15" t="inlineStr">
        <is>
          <t>2433</t>
        </is>
      </c>
      <c r="C150" s="16" t="inlineStr">
        <is>
          <t>Technical and Medical Sales Professionals (excluding ICT)</t>
        </is>
      </c>
      <c r="D150" s="15" t="inlineStr">
        <is>
          <t>3322</t>
        </is>
      </c>
      <c r="E150" s="16" t="inlineStr">
        <is>
          <t>Commercial Sales Representatives</t>
        </is>
      </c>
      <c r="F150" s="16" t="inlineStr">
        <is>
          <t>금융투자 / 핀테크 / 리스크</t>
        </is>
      </c>
      <c r="G150" s="15" t="inlineStr">
        <is>
          <t>horizontal_transfer</t>
        </is>
      </c>
      <c r="H150" s="16" t="inlineStr">
        <is>
          <t>soliciting, orders, selling</t>
        </is>
      </c>
      <c r="I150" s="16" t="inlineStr">
        <is>
          <t>심화 Commercial Sales Representatives 실무, 프로젝트 관리 역량</t>
        </is>
      </c>
      <c r="J150" s="16" t="inlineStr">
        <is>
          <t>실무 1년 이상 및 전문 자격</t>
        </is>
      </c>
      <c r="K150" s="15" t="inlineStr">
        <is>
          <t>★☆☆☆☆</t>
        </is>
      </c>
      <c r="L150" s="20" t="inlineStr">
        <is>
          <t>+8.0%</t>
        </is>
      </c>
    </row>
    <row r="151">
      <c r="A151" s="17" t="inlineStr">
        <is>
          <t>TR-0150</t>
        </is>
      </c>
      <c r="B151" s="17" t="inlineStr">
        <is>
          <t>2434</t>
        </is>
      </c>
      <c r="C151" s="18" t="inlineStr">
        <is>
          <t>Information and Communications Technology Sales Professionals</t>
        </is>
      </c>
      <c r="D151" s="17" t="inlineStr">
        <is>
          <t>5223</t>
        </is>
      </c>
      <c r="E151" s="18" t="inlineStr">
        <is>
          <t>Shop Sales Assistants</t>
        </is>
      </c>
      <c r="F151" s="18" t="inlineStr">
        <is>
          <t>금융투자 / 핀테크 / 리스크</t>
        </is>
      </c>
      <c r="G151" s="17" t="inlineStr">
        <is>
          <t>horizontal_transfer</t>
        </is>
      </c>
      <c r="H151" s="18" t="inlineStr">
        <is>
          <t>determining, customer, requirements</t>
        </is>
      </c>
      <c r="I151" s="18" t="inlineStr">
        <is>
          <t>심화 Shop Sales Assistants 실무, 프로젝트 관리 역량</t>
        </is>
      </c>
      <c r="J151" s="18" t="inlineStr">
        <is>
          <t>실무 1년 이상 및 전문 자격</t>
        </is>
      </c>
      <c r="K151" s="17" t="inlineStr">
        <is>
          <t>★☆☆☆☆</t>
        </is>
      </c>
      <c r="L151" s="21" t="inlineStr">
        <is>
          <t>+8.0%</t>
        </is>
      </c>
    </row>
    <row r="152">
      <c r="A152" s="15" t="inlineStr">
        <is>
          <t>TR-0151</t>
        </is>
      </c>
      <c r="B152" s="15" t="inlineStr">
        <is>
          <t>2512</t>
        </is>
      </c>
      <c r="C152" s="16" t="inlineStr">
        <is>
          <t>Software Developers</t>
        </is>
      </c>
      <c r="D152" s="15" t="inlineStr">
        <is>
          <t>2514</t>
        </is>
      </c>
      <c r="E152" s="16" t="inlineStr">
        <is>
          <t>Applications Programmers</t>
        </is>
      </c>
      <c r="F152" s="16" t="inlineStr">
        <is>
          <t>ICT / Software &amp; Data / AI</t>
        </is>
      </c>
      <c r="G152" s="15" t="inlineStr">
        <is>
          <t>horizontal_transfer</t>
        </is>
      </c>
      <c r="H152" s="16" t="inlineStr">
        <is>
          <t>writing, maintaining, programme</t>
        </is>
      </c>
      <c r="I152" s="16" t="inlineStr">
        <is>
          <t>심화 Applications Programmers 실무, 프로젝트 관리 역량</t>
        </is>
      </c>
      <c r="J152" s="16" t="inlineStr">
        <is>
          <t>실무 1년 이상 및 전문 자격</t>
        </is>
      </c>
      <c r="K152" s="15" t="inlineStr">
        <is>
          <t>★★☆☆☆</t>
        </is>
      </c>
      <c r="L152" s="20" t="inlineStr">
        <is>
          <t>+15.0%</t>
        </is>
      </c>
    </row>
    <row r="153">
      <c r="A153" s="17" t="inlineStr">
        <is>
          <t>TR-0152</t>
        </is>
      </c>
      <c r="B153" s="17" t="inlineStr">
        <is>
          <t>2513</t>
        </is>
      </c>
      <c r="C153" s="18" t="inlineStr">
        <is>
          <t>Web and Multimedia Developers</t>
        </is>
      </c>
      <c r="D153" s="17" t="inlineStr">
        <is>
          <t>2166</t>
        </is>
      </c>
      <c r="E153" s="18" t="inlineStr">
        <is>
          <t>Graphic and Multimedia Designers</t>
        </is>
      </c>
      <c r="F153" s="18" t="inlineStr">
        <is>
          <t>ICT / Software &amp; Data / AI</t>
        </is>
      </c>
      <c r="G153" s="17" t="inlineStr">
        <is>
          <t>horizontal_transfer</t>
        </is>
      </c>
      <c r="H153" s="18" t="inlineStr">
        <is>
          <t>determining, objectives, constraints</t>
        </is>
      </c>
      <c r="I153" s="18" t="inlineStr">
        <is>
          <t>심화 Graphic and Multimedia Designers 실무, 프로젝트 관리 역량</t>
        </is>
      </c>
      <c r="J153" s="18" t="inlineStr">
        <is>
          <t>실무 1년 이상 및 전문 자격</t>
        </is>
      </c>
      <c r="K153" s="17" t="inlineStr">
        <is>
          <t>★★☆☆☆</t>
        </is>
      </c>
      <c r="L153" s="21" t="inlineStr">
        <is>
          <t>+15.0%</t>
        </is>
      </c>
    </row>
    <row r="154">
      <c r="A154" s="15" t="inlineStr">
        <is>
          <t>TR-0153</t>
        </is>
      </c>
      <c r="B154" s="15" t="inlineStr">
        <is>
          <t>2513</t>
        </is>
      </c>
      <c r="C154" s="16" t="inlineStr">
        <is>
          <t>Web and Multimedia Developers</t>
        </is>
      </c>
      <c r="D154" s="15" t="inlineStr">
        <is>
          <t>3514</t>
        </is>
      </c>
      <c r="E154" s="16" t="inlineStr">
        <is>
          <t>Web Technicians</t>
        </is>
      </c>
      <c r="F154" s="16" t="inlineStr">
        <is>
          <t>ICT / Software &amp; Data / AI</t>
        </is>
      </c>
      <c r="G154" s="15" t="inlineStr">
        <is>
          <t>horizontal_transfer</t>
        </is>
      </c>
      <c r="H154" s="16" t="inlineStr">
        <is>
          <t>installing, monitoring, supporting</t>
        </is>
      </c>
      <c r="I154" s="16" t="inlineStr">
        <is>
          <t>심화 Web Technicians 실무, 프로젝트 관리 역량</t>
        </is>
      </c>
      <c r="J154" s="16" t="inlineStr">
        <is>
          <t>실무 1년 이상 및 전문 자격</t>
        </is>
      </c>
      <c r="K154" s="15" t="inlineStr">
        <is>
          <t>★☆☆☆☆</t>
        </is>
      </c>
      <c r="L154" s="20" t="inlineStr">
        <is>
          <t>+8.0%</t>
        </is>
      </c>
    </row>
    <row r="155">
      <c r="A155" s="17" t="inlineStr">
        <is>
          <t>TR-0154</t>
        </is>
      </c>
      <c r="B155" s="17" t="inlineStr">
        <is>
          <t>2514</t>
        </is>
      </c>
      <c r="C155" s="18" t="inlineStr">
        <is>
          <t>Applications Programmers</t>
        </is>
      </c>
      <c r="D155" s="17" t="inlineStr">
        <is>
          <t>2512</t>
        </is>
      </c>
      <c r="E155" s="18" t="inlineStr">
        <is>
          <t>Software Developers</t>
        </is>
      </c>
      <c r="F155" s="18" t="inlineStr">
        <is>
          <t>ICT / Software &amp; Data / AI</t>
        </is>
      </c>
      <c r="G155" s="17" t="inlineStr">
        <is>
          <t>horizontal_transfer</t>
        </is>
      </c>
      <c r="H155" s="18" t="inlineStr">
        <is>
          <t>researching, analysing, evaluating</t>
        </is>
      </c>
      <c r="I155" s="18" t="inlineStr">
        <is>
          <t>심화 Software Developers 실무, 프로젝트 관리 역량</t>
        </is>
      </c>
      <c r="J155" s="18" t="inlineStr">
        <is>
          <t>실무 1년 이상 및 전문 자격</t>
        </is>
      </c>
      <c r="K155" s="17" t="inlineStr">
        <is>
          <t>★★☆☆☆</t>
        </is>
      </c>
      <c r="L155" s="21" t="inlineStr">
        <is>
          <t>+15.0%</t>
        </is>
      </c>
    </row>
    <row r="156">
      <c r="A156" s="15" t="inlineStr">
        <is>
          <t>TR-0155</t>
        </is>
      </c>
      <c r="B156" s="15" t="inlineStr">
        <is>
          <t>2514</t>
        </is>
      </c>
      <c r="C156" s="16" t="inlineStr">
        <is>
          <t>Applications Programmers</t>
        </is>
      </c>
      <c r="D156" s="15" t="inlineStr">
        <is>
          <t>2513</t>
        </is>
      </c>
      <c r="E156" s="16" t="inlineStr">
        <is>
          <t>Web and Multimedia Developers</t>
        </is>
      </c>
      <c r="F156" s="16" t="inlineStr">
        <is>
          <t>ICT / Software &amp; Data / AI</t>
        </is>
      </c>
      <c r="G156" s="15" t="inlineStr">
        <is>
          <t>horizontal_transfer</t>
        </is>
      </c>
      <c r="H156" s="16" t="inlineStr">
        <is>
          <t>analysing, designing, developing</t>
        </is>
      </c>
      <c r="I156" s="16" t="inlineStr">
        <is>
          <t>심화 Web and Multimedia Developers 실무, 프로젝트 관리 역량</t>
        </is>
      </c>
      <c r="J156" s="16" t="inlineStr">
        <is>
          <t>실무 1년 이상 및 전문 자격</t>
        </is>
      </c>
      <c r="K156" s="15" t="inlineStr">
        <is>
          <t>★★☆☆☆</t>
        </is>
      </c>
      <c r="L156" s="20" t="inlineStr">
        <is>
          <t>+15.0%</t>
        </is>
      </c>
    </row>
    <row r="157">
      <c r="A157" s="17" t="inlineStr">
        <is>
          <t>TR-0156</t>
        </is>
      </c>
      <c r="B157" s="17" t="inlineStr">
        <is>
          <t>2521</t>
        </is>
      </c>
      <c r="C157" s="18" t="inlineStr">
        <is>
          <t>Database Designers and Administrators</t>
        </is>
      </c>
      <c r="D157" s="17" t="inlineStr">
        <is>
          <t>2522</t>
        </is>
      </c>
      <c r="E157" s="18" t="inlineStr">
        <is>
          <t>Systems Aministrators</t>
        </is>
      </c>
      <c r="F157" s="18" t="inlineStr">
        <is>
          <t>ICT / Software &amp; Data / AI</t>
        </is>
      </c>
      <c r="G157" s="17" t="inlineStr">
        <is>
          <t>horizontal_transfer</t>
        </is>
      </c>
      <c r="H157" s="18" t="inlineStr">
        <is>
          <t>maintaining, administering, computer</t>
        </is>
      </c>
      <c r="I157" s="18" t="inlineStr">
        <is>
          <t>심화 Systems Aministrators 실무, 프로젝트 관리 역량</t>
        </is>
      </c>
      <c r="J157" s="18" t="inlineStr">
        <is>
          <t>실무 1년 이상 및 전문 자격</t>
        </is>
      </c>
      <c r="K157" s="17" t="inlineStr">
        <is>
          <t>★★☆☆☆</t>
        </is>
      </c>
      <c r="L157" s="21" t="inlineStr">
        <is>
          <t>+15.0%</t>
        </is>
      </c>
    </row>
    <row r="158">
      <c r="A158" s="15" t="inlineStr">
        <is>
          <t>TR-0157</t>
        </is>
      </c>
      <c r="B158" s="15" t="inlineStr">
        <is>
          <t>2521</t>
        </is>
      </c>
      <c r="C158" s="16" t="inlineStr">
        <is>
          <t>Database Designers and Administrators</t>
        </is>
      </c>
      <c r="D158" s="15" t="inlineStr">
        <is>
          <t>3514</t>
        </is>
      </c>
      <c r="E158" s="16" t="inlineStr">
        <is>
          <t>Web Technicians</t>
        </is>
      </c>
      <c r="F158" s="16" t="inlineStr">
        <is>
          <t>ICT / Software &amp; Data / AI</t>
        </is>
      </c>
      <c r="G158" s="15" t="inlineStr">
        <is>
          <t>horizontal_transfer</t>
        </is>
      </c>
      <c r="H158" s="16" t="inlineStr">
        <is>
          <t>installing, monitoring, supporting</t>
        </is>
      </c>
      <c r="I158" s="16" t="inlineStr">
        <is>
          <t>심화 Web Technicians 실무, 프로젝트 관리 역량</t>
        </is>
      </c>
      <c r="J158" s="16" t="inlineStr">
        <is>
          <t>실무 1년 이상 및 전문 자격</t>
        </is>
      </c>
      <c r="K158" s="15" t="inlineStr">
        <is>
          <t>★☆☆☆☆</t>
        </is>
      </c>
      <c r="L158" s="20" t="inlineStr">
        <is>
          <t>+8.0%</t>
        </is>
      </c>
    </row>
    <row r="159">
      <c r="A159" s="17" t="inlineStr">
        <is>
          <t>TR-0158</t>
        </is>
      </c>
      <c r="B159" s="17" t="inlineStr">
        <is>
          <t>2522</t>
        </is>
      </c>
      <c r="C159" s="18" t="inlineStr">
        <is>
          <t>Systems Aministrators</t>
        </is>
      </c>
      <c r="D159" s="17" t="inlineStr">
        <is>
          <t>2521</t>
        </is>
      </c>
      <c r="E159" s="18" t="inlineStr">
        <is>
          <t>Database Designers and Administrators</t>
        </is>
      </c>
      <c r="F159" s="18" t="inlineStr">
        <is>
          <t>ICT / Software &amp; Data / AI</t>
        </is>
      </c>
      <c r="G159" s="17" t="inlineStr">
        <is>
          <t>horizontal_transfer</t>
        </is>
      </c>
      <c r="H159" s="18" t="inlineStr">
        <is>
          <t>designing, developing, database</t>
        </is>
      </c>
      <c r="I159" s="18" t="inlineStr">
        <is>
          <t>심화 Database Designers and Administrators 실무, 프로젝트 관리 역량</t>
        </is>
      </c>
      <c r="J159" s="18" t="inlineStr">
        <is>
          <t>실무 1년 이상 및 전문 자격</t>
        </is>
      </c>
      <c r="K159" s="17" t="inlineStr">
        <is>
          <t>★★☆☆☆</t>
        </is>
      </c>
      <c r="L159" s="21" t="inlineStr">
        <is>
          <t>+15.0%</t>
        </is>
      </c>
    </row>
    <row r="160">
      <c r="A160" s="15" t="inlineStr">
        <is>
          <t>TR-0159</t>
        </is>
      </c>
      <c r="B160" s="15" t="inlineStr">
        <is>
          <t>2522</t>
        </is>
      </c>
      <c r="C160" s="16" t="inlineStr">
        <is>
          <t>Systems Aministrators</t>
        </is>
      </c>
      <c r="D160" s="15" t="inlineStr">
        <is>
          <t>2523</t>
        </is>
      </c>
      <c r="E160" s="16" t="inlineStr">
        <is>
          <t>Computer Network Professionals</t>
        </is>
      </c>
      <c r="F160" s="16" t="inlineStr">
        <is>
          <t>ICT / Software &amp; Data / AI</t>
        </is>
      </c>
      <c r="G160" s="15" t="inlineStr">
        <is>
          <t>horizontal_transfer</t>
        </is>
      </c>
      <c r="H160" s="16" t="inlineStr">
        <is>
          <t>analysing, developing, interpreting</t>
        </is>
      </c>
      <c r="I160" s="16" t="inlineStr">
        <is>
          <t>심화 Computer Network Professionals 실무, 프로젝트 관리 역량</t>
        </is>
      </c>
      <c r="J160" s="16" t="inlineStr">
        <is>
          <t>실무 1년 이상 및 전문 자격</t>
        </is>
      </c>
      <c r="K160" s="15" t="inlineStr">
        <is>
          <t>★★☆☆☆</t>
        </is>
      </c>
      <c r="L160" s="20" t="inlineStr">
        <is>
          <t>+15.0%</t>
        </is>
      </c>
    </row>
    <row r="161">
      <c r="A161" s="17" t="inlineStr">
        <is>
          <t>TR-0160</t>
        </is>
      </c>
      <c r="B161" s="17" t="inlineStr">
        <is>
          <t>2522</t>
        </is>
      </c>
      <c r="C161" s="18" t="inlineStr">
        <is>
          <t>Systems Aministrators</t>
        </is>
      </c>
      <c r="D161" s="17" t="inlineStr">
        <is>
          <t>3514</t>
        </is>
      </c>
      <c r="E161" s="18" t="inlineStr">
        <is>
          <t>Web Technicians</t>
        </is>
      </c>
      <c r="F161" s="18" t="inlineStr">
        <is>
          <t>ICT / Software &amp; Data / AI</t>
        </is>
      </c>
      <c r="G161" s="17" t="inlineStr">
        <is>
          <t>horizontal_transfer</t>
        </is>
      </c>
      <c r="H161" s="18" t="inlineStr">
        <is>
          <t>installing, monitoring, supporting</t>
        </is>
      </c>
      <c r="I161" s="18" t="inlineStr">
        <is>
          <t>심화 Web Technicians 실무, 프로젝트 관리 역량</t>
        </is>
      </c>
      <c r="J161" s="18" t="inlineStr">
        <is>
          <t>실무 1년 이상 및 전문 자격</t>
        </is>
      </c>
      <c r="K161" s="17" t="inlineStr">
        <is>
          <t>★☆☆☆☆</t>
        </is>
      </c>
      <c r="L161" s="21" t="inlineStr">
        <is>
          <t>+8.0%</t>
        </is>
      </c>
    </row>
    <row r="162">
      <c r="A162" s="15" t="inlineStr">
        <is>
          <t>TR-0161</t>
        </is>
      </c>
      <c r="B162" s="15" t="inlineStr">
        <is>
          <t>2523</t>
        </is>
      </c>
      <c r="C162" s="16" t="inlineStr">
        <is>
          <t>Computer Network Professionals</t>
        </is>
      </c>
      <c r="D162" s="15" t="inlineStr">
        <is>
          <t>2511</t>
        </is>
      </c>
      <c r="E162" s="16" t="inlineStr">
        <is>
          <t>Systems Analysts</t>
        </is>
      </c>
      <c r="F162" s="16" t="inlineStr">
        <is>
          <t>ICT / Software &amp; Data / AI</t>
        </is>
      </c>
      <c r="G162" s="15" t="inlineStr">
        <is>
          <t>horizontal_transfer</t>
        </is>
      </c>
      <c r="H162" s="16" t="inlineStr">
        <is>
          <t>consulting, with, users</t>
        </is>
      </c>
      <c r="I162" s="16" t="inlineStr">
        <is>
          <t>심화 Systems Analysts 실무, 프로젝트 관리 역량</t>
        </is>
      </c>
      <c r="J162" s="16" t="inlineStr">
        <is>
          <t>실무 1년 이상 및 전문 자격</t>
        </is>
      </c>
      <c r="K162" s="15" t="inlineStr">
        <is>
          <t>★★☆☆☆</t>
        </is>
      </c>
      <c r="L162" s="20" t="inlineStr">
        <is>
          <t>+15.0%</t>
        </is>
      </c>
    </row>
    <row r="163">
      <c r="A163" s="17" t="inlineStr">
        <is>
          <t>TR-0162</t>
        </is>
      </c>
      <c r="B163" s="17" t="inlineStr">
        <is>
          <t>2523</t>
        </is>
      </c>
      <c r="C163" s="18" t="inlineStr">
        <is>
          <t>Computer Network Professionals</t>
        </is>
      </c>
      <c r="D163" s="17" t="inlineStr">
        <is>
          <t>2522</t>
        </is>
      </c>
      <c r="E163" s="18" t="inlineStr">
        <is>
          <t>Systems Aministrators</t>
        </is>
      </c>
      <c r="F163" s="18" t="inlineStr">
        <is>
          <t>ICT / Software &amp; Data / AI</t>
        </is>
      </c>
      <c r="G163" s="17" t="inlineStr">
        <is>
          <t>horizontal_transfer</t>
        </is>
      </c>
      <c r="H163" s="18" t="inlineStr">
        <is>
          <t>maintaining, administering, computer</t>
        </is>
      </c>
      <c r="I163" s="18" t="inlineStr">
        <is>
          <t>심화 Systems Aministrators 실무, 프로젝트 관리 역량</t>
        </is>
      </c>
      <c r="J163" s="18" t="inlineStr">
        <is>
          <t>실무 1년 이상 및 전문 자격</t>
        </is>
      </c>
      <c r="K163" s="17" t="inlineStr">
        <is>
          <t>★★☆☆☆</t>
        </is>
      </c>
      <c r="L163" s="21" t="inlineStr">
        <is>
          <t>+15.0%</t>
        </is>
      </c>
    </row>
    <row r="164">
      <c r="A164" s="15" t="inlineStr">
        <is>
          <t>TR-0163</t>
        </is>
      </c>
      <c r="B164" s="15" t="inlineStr">
        <is>
          <t>2611</t>
        </is>
      </c>
      <c r="C164" s="16" t="inlineStr">
        <is>
          <t>Lawyers</t>
        </is>
      </c>
      <c r="D164" s="15" t="inlineStr">
        <is>
          <t>2619</t>
        </is>
      </c>
      <c r="E164" s="16" t="inlineStr">
        <is>
          <t>Legal Professionals Not Elsewhere Classified</t>
        </is>
      </c>
      <c r="F164" s="16" t="inlineStr">
        <is>
          <t>법률 / 지식재산권 / 변리</t>
        </is>
      </c>
      <c r="G164" s="15" t="inlineStr">
        <is>
          <t>horizontal_transfer</t>
        </is>
      </c>
      <c r="H164" s="16" t="inlineStr">
        <is>
          <t>such, cases, would</t>
        </is>
      </c>
      <c r="I164" s="16" t="inlineStr">
        <is>
          <t>심화 Legal Professionals Not Elsewhere Classified 실무, 프로젝트 관리 역량</t>
        </is>
      </c>
      <c r="J164" s="16" t="inlineStr">
        <is>
          <t>실무 1년 이상 및 전문 자격</t>
        </is>
      </c>
      <c r="K164" s="15" t="inlineStr">
        <is>
          <t>★★☆☆☆</t>
        </is>
      </c>
      <c r="L164" s="20" t="inlineStr">
        <is>
          <t>+15.0%</t>
        </is>
      </c>
    </row>
    <row r="165">
      <c r="A165" s="17" t="inlineStr">
        <is>
          <t>TR-0164</t>
        </is>
      </c>
      <c r="B165" s="17" t="inlineStr">
        <is>
          <t>2611</t>
        </is>
      </c>
      <c r="C165" s="18" t="inlineStr">
        <is>
          <t>Lawyers</t>
        </is>
      </c>
      <c r="D165" s="17" t="inlineStr">
        <is>
          <t>3411</t>
        </is>
      </c>
      <c r="E165" s="18" t="inlineStr">
        <is>
          <t>Legal and Related Associate Professionals</t>
        </is>
      </c>
      <c r="F165" s="18" t="inlineStr">
        <is>
          <t>법률 / 지식재산권 / 변리</t>
        </is>
      </c>
      <c r="G165" s="17" t="inlineStr">
        <is>
          <t>horizontal_transfer</t>
        </is>
      </c>
      <c r="H165" s="18" t="inlineStr">
        <is>
          <t>documenting, court, proceedings</t>
        </is>
      </c>
      <c r="I165" s="18" t="inlineStr">
        <is>
          <t>심화 Legal and Related Associate Professionals 실무, 프로젝트 관리 역량</t>
        </is>
      </c>
      <c r="J165" s="18" t="inlineStr">
        <is>
          <t>실무 1년 이상 및 전문 자격</t>
        </is>
      </c>
      <c r="K165" s="17" t="inlineStr">
        <is>
          <t>★☆☆☆☆</t>
        </is>
      </c>
      <c r="L165" s="21" t="inlineStr">
        <is>
          <t>+8.0%</t>
        </is>
      </c>
    </row>
    <row r="166">
      <c r="A166" s="15" t="inlineStr">
        <is>
          <t>TR-0165</t>
        </is>
      </c>
      <c r="B166" s="15" t="inlineStr">
        <is>
          <t>2612</t>
        </is>
      </c>
      <c r="C166" s="16" t="inlineStr">
        <is>
          <t>Judges</t>
        </is>
      </c>
      <c r="D166" s="15" t="inlineStr">
        <is>
          <t>3411</t>
        </is>
      </c>
      <c r="E166" s="16" t="inlineStr">
        <is>
          <t>Legal and Related Associate Professionals</t>
        </is>
      </c>
      <c r="F166" s="16" t="inlineStr">
        <is>
          <t>법률 / 지식재산권 / 변리</t>
        </is>
      </c>
      <c r="G166" s="15" t="inlineStr">
        <is>
          <t>horizontal_transfer</t>
        </is>
      </c>
      <c r="H166" s="16" t="inlineStr">
        <is>
          <t>documenting, court, proceedings</t>
        </is>
      </c>
      <c r="I166" s="16" t="inlineStr">
        <is>
          <t>심화 Legal and Related Associate Professionals 실무, 프로젝트 관리 역량</t>
        </is>
      </c>
      <c r="J166" s="16" t="inlineStr">
        <is>
          <t>실무 1년 이상 및 전문 자격</t>
        </is>
      </c>
      <c r="K166" s="15" t="inlineStr">
        <is>
          <t>★☆☆☆☆</t>
        </is>
      </c>
      <c r="L166" s="20" t="inlineStr">
        <is>
          <t>+8.0%</t>
        </is>
      </c>
    </row>
    <row r="167">
      <c r="A167" s="17" t="inlineStr">
        <is>
          <t>TR-0166</t>
        </is>
      </c>
      <c r="B167" s="17" t="inlineStr">
        <is>
          <t>2631</t>
        </is>
      </c>
      <c r="C167" s="18" t="inlineStr">
        <is>
          <t>Economists</t>
        </is>
      </c>
      <c r="D167" s="17" t="inlineStr">
        <is>
          <t>2120</t>
        </is>
      </c>
      <c r="E167" s="18" t="inlineStr">
        <is>
          <t>Mathematicians, Actuaries and Statisticians</t>
        </is>
      </c>
      <c r="F167" s="18" t="inlineStr">
        <is>
          <t>법률 / 지식재산권 / 변리</t>
        </is>
      </c>
      <c r="G167" s="17" t="inlineStr">
        <is>
          <t>horizontal_transfer</t>
        </is>
      </c>
      <c r="H167" s="18" t="inlineStr">
        <is>
          <t>studying, improving, developing</t>
        </is>
      </c>
      <c r="I167" s="18" t="inlineStr">
        <is>
          <t>심화 Mathematicians, Actuaries and Statisticians 실무, 프로젝트 관리 역량</t>
        </is>
      </c>
      <c r="J167" s="18" t="inlineStr">
        <is>
          <t>실무 1년 이상 및 전문 자격</t>
        </is>
      </c>
      <c r="K167" s="17" t="inlineStr">
        <is>
          <t>★★☆☆☆</t>
        </is>
      </c>
      <c r="L167" s="21" t="inlineStr">
        <is>
          <t>+15.0%</t>
        </is>
      </c>
    </row>
    <row r="168">
      <c r="A168" s="15" t="inlineStr">
        <is>
          <t>TR-0167</t>
        </is>
      </c>
      <c r="B168" s="15" t="inlineStr">
        <is>
          <t>2633</t>
        </is>
      </c>
      <c r="C168" s="16" t="inlineStr">
        <is>
          <t>Philosophers, Historians and Political Scientists</t>
        </is>
      </c>
      <c r="D168" s="15" t="inlineStr">
        <is>
          <t>2422</t>
        </is>
      </c>
      <c r="E168" s="16" t="inlineStr">
        <is>
          <t>Policy Administration Professionals</t>
        </is>
      </c>
      <c r="F168" s="16" t="inlineStr">
        <is>
          <t>법률 / 지식재산권 / 변리</t>
        </is>
      </c>
      <c r="G168" s="15" t="inlineStr">
        <is>
          <t>horizontal_transfer</t>
        </is>
      </c>
      <c r="H168" s="16" t="inlineStr">
        <is>
          <t>liaising, consulting, with</t>
        </is>
      </c>
      <c r="I168" s="16" t="inlineStr">
        <is>
          <t>심화 Policy Administration Professionals 실무, 프로젝트 관리 역량</t>
        </is>
      </c>
      <c r="J168" s="16" t="inlineStr">
        <is>
          <t>실무 1년 이상 및 전문 자격</t>
        </is>
      </c>
      <c r="K168" s="15" t="inlineStr">
        <is>
          <t>★★☆☆☆</t>
        </is>
      </c>
      <c r="L168" s="20" t="inlineStr">
        <is>
          <t>+15.0%</t>
        </is>
      </c>
    </row>
    <row r="169">
      <c r="A169" s="17" t="inlineStr">
        <is>
          <t>TR-0168</t>
        </is>
      </c>
      <c r="B169" s="17" t="inlineStr">
        <is>
          <t>2634</t>
        </is>
      </c>
      <c r="C169" s="18" t="inlineStr">
        <is>
          <t>Psychologists</t>
        </is>
      </c>
      <c r="D169" s="17" t="inlineStr">
        <is>
          <t>2212</t>
        </is>
      </c>
      <c r="E169" s="18" t="inlineStr">
        <is>
          <t>Specialist Medical Practitioners</t>
        </is>
      </c>
      <c r="F169" s="18" t="inlineStr">
        <is>
          <t>법률 / 지식재산권 / 변리</t>
        </is>
      </c>
      <c r="G169" s="17" t="inlineStr">
        <is>
          <t>horizontal_transfer</t>
        </is>
      </c>
      <c r="H169" s="18" t="inlineStr">
        <is>
          <t>conducting, physical, examinations</t>
        </is>
      </c>
      <c r="I169" s="18" t="inlineStr">
        <is>
          <t>심화 Specialist Medical Practitioners 실무, 프로젝트 관리 역량</t>
        </is>
      </c>
      <c r="J169" s="18" t="inlineStr">
        <is>
          <t>실무 1년 이상 및 전문 자격</t>
        </is>
      </c>
      <c r="K169" s="17" t="inlineStr">
        <is>
          <t>★★☆☆☆</t>
        </is>
      </c>
      <c r="L169" s="21" t="inlineStr">
        <is>
          <t>+15.0%</t>
        </is>
      </c>
    </row>
    <row r="170">
      <c r="A170" s="15" t="inlineStr">
        <is>
          <t>TR-0169</t>
        </is>
      </c>
      <c r="B170" s="15" t="inlineStr">
        <is>
          <t>2635</t>
        </is>
      </c>
      <c r="C170" s="16" t="inlineStr">
        <is>
          <t>Social Work and Counselling Professionals</t>
        </is>
      </c>
      <c r="D170" s="15" t="inlineStr">
        <is>
          <t>2634</t>
        </is>
      </c>
      <c r="E170" s="16" t="inlineStr">
        <is>
          <t>Psychologists</t>
        </is>
      </c>
      <c r="F170" s="16" t="inlineStr">
        <is>
          <t>법률 / 지식재산권 / 변리</t>
        </is>
      </c>
      <c r="G170" s="15" t="inlineStr">
        <is>
          <t>horizontal_transfer</t>
        </is>
      </c>
      <c r="H170" s="16" t="inlineStr">
        <is>
          <t>planning, carrying, tests</t>
        </is>
      </c>
      <c r="I170" s="16" t="inlineStr">
        <is>
          <t>심화 Psychologists 실무, 프로젝트 관리 역량</t>
        </is>
      </c>
      <c r="J170" s="16" t="inlineStr">
        <is>
          <t>실무 1년 이상 및 전문 자격</t>
        </is>
      </c>
      <c r="K170" s="15" t="inlineStr">
        <is>
          <t>★★☆☆☆</t>
        </is>
      </c>
      <c r="L170" s="20" t="inlineStr">
        <is>
          <t>+15.0%</t>
        </is>
      </c>
    </row>
    <row r="171">
      <c r="A171" s="17" t="inlineStr">
        <is>
          <t>TR-0170</t>
        </is>
      </c>
      <c r="B171" s="17" t="inlineStr">
        <is>
          <t>2635</t>
        </is>
      </c>
      <c r="C171" s="18" t="inlineStr">
        <is>
          <t>Social Work and Counselling Professionals</t>
        </is>
      </c>
      <c r="D171" s="17" t="inlineStr">
        <is>
          <t>3412</t>
        </is>
      </c>
      <c r="E171" s="18" t="inlineStr">
        <is>
          <t>Social Work Associate Professionals</t>
        </is>
      </c>
      <c r="F171" s="18" t="inlineStr">
        <is>
          <t>법률 / 지식재산권 / 변리</t>
        </is>
      </c>
      <c r="G171" s="17" t="inlineStr">
        <is>
          <t>horizontal_transfer</t>
        </is>
      </c>
      <c r="H171" s="18" t="inlineStr">
        <is>
          <t>collecting, information, relevant</t>
        </is>
      </c>
      <c r="I171" s="18" t="inlineStr">
        <is>
          <t>심화 Social Work Associate Professionals 실무, 프로젝트 관리 역량</t>
        </is>
      </c>
      <c r="J171" s="18" t="inlineStr">
        <is>
          <t>실무 1년 이상 및 전문 자격</t>
        </is>
      </c>
      <c r="K171" s="17" t="inlineStr">
        <is>
          <t>★☆☆☆☆</t>
        </is>
      </c>
      <c r="L171" s="21" t="inlineStr">
        <is>
          <t>+8.0%</t>
        </is>
      </c>
    </row>
    <row r="172">
      <c r="A172" s="15" t="inlineStr">
        <is>
          <t>TR-0171</t>
        </is>
      </c>
      <c r="B172" s="15" t="inlineStr">
        <is>
          <t>2636</t>
        </is>
      </c>
      <c r="C172" s="16" t="inlineStr">
        <is>
          <t>Religious Professionals</t>
        </is>
      </c>
      <c r="D172" s="15" t="inlineStr">
        <is>
          <t>3413</t>
        </is>
      </c>
      <c r="E172" s="16" t="inlineStr">
        <is>
          <t>Religious Associate Professionals</t>
        </is>
      </c>
      <c r="F172" s="16" t="inlineStr">
        <is>
          <t>법률 / 지식재산권 / 변리</t>
        </is>
      </c>
      <c r="G172" s="15" t="inlineStr">
        <is>
          <t>horizontal_transfer</t>
        </is>
      </c>
      <c r="H172" s="16" t="inlineStr">
        <is>
          <t>undertaking, religious, works</t>
        </is>
      </c>
      <c r="I172" s="16" t="inlineStr">
        <is>
          <t>심화 Religious Associate Professionals 실무, 프로젝트 관리 역량</t>
        </is>
      </c>
      <c r="J172" s="16" t="inlineStr">
        <is>
          <t>실무 1년 이상 및 전문 자격</t>
        </is>
      </c>
      <c r="K172" s="15" t="inlineStr">
        <is>
          <t>★☆☆☆☆</t>
        </is>
      </c>
      <c r="L172" s="20" t="inlineStr">
        <is>
          <t>+8.0%</t>
        </is>
      </c>
    </row>
    <row r="173">
      <c r="A173" s="17" t="inlineStr">
        <is>
          <t>TR-0172</t>
        </is>
      </c>
      <c r="B173" s="17" t="inlineStr">
        <is>
          <t>2641</t>
        </is>
      </c>
      <c r="C173" s="18" t="inlineStr">
        <is>
          <t>Authors and Related Writers</t>
        </is>
      </c>
      <c r="D173" s="17" t="inlineStr">
        <is>
          <t>2431</t>
        </is>
      </c>
      <c r="E173" s="18" t="inlineStr">
        <is>
          <t>Advertising and Marketing Professionals</t>
        </is>
      </c>
      <c r="F173" s="18" t="inlineStr">
        <is>
          <t>법률 / 지식재산권 / 변리</t>
        </is>
      </c>
      <c r="G173" s="17" t="inlineStr">
        <is>
          <t>horizontal_transfer</t>
        </is>
      </c>
      <c r="H173" s="18" t="inlineStr">
        <is>
          <t>planning, developing, organizing</t>
        </is>
      </c>
      <c r="I173" s="18" t="inlineStr">
        <is>
          <t>심화 Advertising and Marketing Professionals 실무, 프로젝트 관리 역량</t>
        </is>
      </c>
      <c r="J173" s="18" t="inlineStr">
        <is>
          <t>실무 1년 이상 및 전문 자격</t>
        </is>
      </c>
      <c r="K173" s="17" t="inlineStr">
        <is>
          <t>★★☆☆☆</t>
        </is>
      </c>
      <c r="L173" s="21" t="inlineStr">
        <is>
          <t>+15.0%</t>
        </is>
      </c>
    </row>
    <row r="174">
      <c r="A174" s="15" t="inlineStr">
        <is>
          <t>TR-0173</t>
        </is>
      </c>
      <c r="B174" s="15" t="inlineStr">
        <is>
          <t>2641</t>
        </is>
      </c>
      <c r="C174" s="16" t="inlineStr">
        <is>
          <t>Authors and Related Writers</t>
        </is>
      </c>
      <c r="D174" s="15" t="inlineStr">
        <is>
          <t>2432</t>
        </is>
      </c>
      <c r="E174" s="16" t="inlineStr">
        <is>
          <t>Public Relations Professionals</t>
        </is>
      </c>
      <c r="F174" s="16" t="inlineStr">
        <is>
          <t>법률 / 지식재산권 / 변리</t>
        </is>
      </c>
      <c r="G174" s="15" t="inlineStr">
        <is>
          <t>horizontal_transfer</t>
        </is>
      </c>
      <c r="H174" s="16" t="inlineStr">
        <is>
          <t>planning, organizing, publicity</t>
        </is>
      </c>
      <c r="I174" s="16" t="inlineStr">
        <is>
          <t>심화 Public Relations Professionals 실무, 프로젝트 관리 역량</t>
        </is>
      </c>
      <c r="J174" s="16" t="inlineStr">
        <is>
          <t>실무 1년 이상 및 전문 자격</t>
        </is>
      </c>
      <c r="K174" s="15" t="inlineStr">
        <is>
          <t>★★☆☆☆</t>
        </is>
      </c>
      <c r="L174" s="20" t="inlineStr">
        <is>
          <t>+15.0%</t>
        </is>
      </c>
    </row>
    <row r="175">
      <c r="A175" s="17" t="inlineStr">
        <is>
          <t>TR-0174</t>
        </is>
      </c>
      <c r="B175" s="17" t="inlineStr">
        <is>
          <t>2641</t>
        </is>
      </c>
      <c r="C175" s="18" t="inlineStr">
        <is>
          <t>Authors and Related Writers</t>
        </is>
      </c>
      <c r="D175" s="17" t="inlineStr">
        <is>
          <t>2642</t>
        </is>
      </c>
      <c r="E175" s="18" t="inlineStr">
        <is>
          <t>Journalists</t>
        </is>
      </c>
      <c r="F175" s="18" t="inlineStr">
        <is>
          <t>법률 / 지식재산권 / 변리</t>
        </is>
      </c>
      <c r="G175" s="17" t="inlineStr">
        <is>
          <t>horizontal_transfer</t>
        </is>
      </c>
      <c r="H175" s="18" t="inlineStr">
        <is>
          <t>collecting, local, national</t>
        </is>
      </c>
      <c r="I175" s="18" t="inlineStr">
        <is>
          <t>심화 Journalists 실무, 프로젝트 관리 역량</t>
        </is>
      </c>
      <c r="J175" s="18" t="inlineStr">
        <is>
          <t>실무 1년 이상 및 전문 자격</t>
        </is>
      </c>
      <c r="K175" s="17" t="inlineStr">
        <is>
          <t>★★☆☆☆</t>
        </is>
      </c>
      <c r="L175" s="21" t="inlineStr">
        <is>
          <t>+15.0%</t>
        </is>
      </c>
    </row>
    <row r="176">
      <c r="A176" s="15" t="inlineStr">
        <is>
          <t>TR-0175</t>
        </is>
      </c>
      <c r="B176" s="15" t="inlineStr">
        <is>
          <t>2642</t>
        </is>
      </c>
      <c r="C176" s="16" t="inlineStr">
        <is>
          <t>Journalists</t>
        </is>
      </c>
      <c r="D176" s="15" t="inlineStr">
        <is>
          <t>2432</t>
        </is>
      </c>
      <c r="E176" s="16" t="inlineStr">
        <is>
          <t>Public Relations Professionals</t>
        </is>
      </c>
      <c r="F176" s="16" t="inlineStr">
        <is>
          <t>법률 / 지식재산권 / 변리</t>
        </is>
      </c>
      <c r="G176" s="15" t="inlineStr">
        <is>
          <t>horizontal_transfer</t>
        </is>
      </c>
      <c r="H176" s="16" t="inlineStr">
        <is>
          <t>planning, organizing, publicity</t>
        </is>
      </c>
      <c r="I176" s="16" t="inlineStr">
        <is>
          <t>심화 Public Relations Professionals 실무, 프로젝트 관리 역량</t>
        </is>
      </c>
      <c r="J176" s="16" t="inlineStr">
        <is>
          <t>실무 1년 이상 및 전문 자격</t>
        </is>
      </c>
      <c r="K176" s="15" t="inlineStr">
        <is>
          <t>★★☆☆☆</t>
        </is>
      </c>
      <c r="L176" s="20" t="inlineStr">
        <is>
          <t>+15.0%</t>
        </is>
      </c>
    </row>
    <row r="177">
      <c r="A177" s="17" t="inlineStr">
        <is>
          <t>TR-0176</t>
        </is>
      </c>
      <c r="B177" s="17" t="inlineStr">
        <is>
          <t>2642</t>
        </is>
      </c>
      <c r="C177" s="18" t="inlineStr">
        <is>
          <t>Journalists</t>
        </is>
      </c>
      <c r="D177" s="17" t="inlineStr">
        <is>
          <t>2641</t>
        </is>
      </c>
      <c r="E177" s="18" t="inlineStr">
        <is>
          <t>Authors and Related Writers</t>
        </is>
      </c>
      <c r="F177" s="18" t="inlineStr">
        <is>
          <t>법률 / 지식재산권 / 변리</t>
        </is>
      </c>
      <c r="G177" s="17" t="inlineStr">
        <is>
          <t>horizontal_transfer</t>
        </is>
      </c>
      <c r="H177" s="18" t="inlineStr">
        <is>
          <t>conceiving, writing, editing</t>
        </is>
      </c>
      <c r="I177" s="18" t="inlineStr">
        <is>
          <t>심화 Authors and Related Writers 실무, 프로젝트 관리 역량</t>
        </is>
      </c>
      <c r="J177" s="18" t="inlineStr">
        <is>
          <t>실무 1년 이상 및 전문 자격</t>
        </is>
      </c>
      <c r="K177" s="17" t="inlineStr">
        <is>
          <t>★★☆☆☆</t>
        </is>
      </c>
      <c r="L177" s="21" t="inlineStr">
        <is>
          <t>+15.0%</t>
        </is>
      </c>
    </row>
    <row r="178">
      <c r="A178" s="15" t="inlineStr">
        <is>
          <t>TR-0177</t>
        </is>
      </c>
      <c r="B178" s="15" t="inlineStr">
        <is>
          <t>2642</t>
        </is>
      </c>
      <c r="C178" s="16" t="inlineStr">
        <is>
          <t>Journalists</t>
        </is>
      </c>
      <c r="D178" s="15" t="inlineStr">
        <is>
          <t>3431</t>
        </is>
      </c>
      <c r="E178" s="16" t="inlineStr">
        <is>
          <t>Photographers</t>
        </is>
      </c>
      <c r="F178" s="16" t="inlineStr">
        <is>
          <t>법률 / 지식재산권 / 변리</t>
        </is>
      </c>
      <c r="G178" s="15" t="inlineStr">
        <is>
          <t>horizontal_transfer</t>
        </is>
      </c>
      <c r="H178" s="16" t="inlineStr">
        <is>
          <t>taking, photographs, advertising</t>
        </is>
      </c>
      <c r="I178" s="16" t="inlineStr">
        <is>
          <t>심화 Photographers 실무, 프로젝트 관리 역량</t>
        </is>
      </c>
      <c r="J178" s="16" t="inlineStr">
        <is>
          <t>실무 1년 이상 및 전문 자격</t>
        </is>
      </c>
      <c r="K178" s="15" t="inlineStr">
        <is>
          <t>★☆☆☆☆</t>
        </is>
      </c>
      <c r="L178" s="20" t="inlineStr">
        <is>
          <t>+8.0%</t>
        </is>
      </c>
    </row>
    <row r="179">
      <c r="A179" s="17" t="inlineStr">
        <is>
          <t>TR-0178</t>
        </is>
      </c>
      <c r="B179" s="17" t="inlineStr">
        <is>
          <t>2642</t>
        </is>
      </c>
      <c r="C179" s="18" t="inlineStr">
        <is>
          <t>Journalists</t>
        </is>
      </c>
      <c r="D179" s="17" t="inlineStr">
        <is>
          <t>3521</t>
        </is>
      </c>
      <c r="E179" s="18" t="inlineStr">
        <is>
          <t>Broadcasting and Audio-visual Technicians</t>
        </is>
      </c>
      <c r="F179" s="18" t="inlineStr">
        <is>
          <t>법률 / 지식재산권 / 변리</t>
        </is>
      </c>
      <c r="G179" s="17" t="inlineStr">
        <is>
          <t>horizontal_transfer</t>
        </is>
      </c>
      <c r="H179" s="18" t="inlineStr">
        <is>
          <t>controlling, equipment, record</t>
        </is>
      </c>
      <c r="I179" s="18" t="inlineStr">
        <is>
          <t>심화 Broadcasting and Audio-visual Technicians 실무, 프로젝트 관리 역량</t>
        </is>
      </c>
      <c r="J179" s="18" t="inlineStr">
        <is>
          <t>실무 1년 이상 및 전문 자격</t>
        </is>
      </c>
      <c r="K179" s="17" t="inlineStr">
        <is>
          <t>★☆☆☆☆</t>
        </is>
      </c>
      <c r="L179" s="21" t="inlineStr">
        <is>
          <t>+8.0%</t>
        </is>
      </c>
    </row>
    <row r="180">
      <c r="A180" s="15" t="inlineStr">
        <is>
          <t>TR-0179</t>
        </is>
      </c>
      <c r="B180" s="15" t="inlineStr">
        <is>
          <t>2643</t>
        </is>
      </c>
      <c r="C180" s="16" t="inlineStr">
        <is>
          <t>Translators, Interpreters and Other Linguists</t>
        </is>
      </c>
      <c r="D180" s="15" t="inlineStr">
        <is>
          <t>2641</t>
        </is>
      </c>
      <c r="E180" s="16" t="inlineStr">
        <is>
          <t>Authors and Related Writers</t>
        </is>
      </c>
      <c r="F180" s="16" t="inlineStr">
        <is>
          <t>법률 / 지식재산권 / 변리</t>
        </is>
      </c>
      <c r="G180" s="15" t="inlineStr">
        <is>
          <t>horizontal_transfer</t>
        </is>
      </c>
      <c r="H180" s="16" t="inlineStr">
        <is>
          <t>conceiving, writing, editing</t>
        </is>
      </c>
      <c r="I180" s="16" t="inlineStr">
        <is>
          <t>심화 Authors and Related Writers 실무, 프로젝트 관리 역량</t>
        </is>
      </c>
      <c r="J180" s="16" t="inlineStr">
        <is>
          <t>실무 1년 이상 및 전문 자격</t>
        </is>
      </c>
      <c r="K180" s="15" t="inlineStr">
        <is>
          <t>★★☆☆☆</t>
        </is>
      </c>
      <c r="L180" s="20" t="inlineStr">
        <is>
          <t>+15.0%</t>
        </is>
      </c>
    </row>
    <row r="181">
      <c r="A181" s="17" t="inlineStr">
        <is>
          <t>TR-0180</t>
        </is>
      </c>
      <c r="B181" s="17" t="inlineStr">
        <is>
          <t>2643</t>
        </is>
      </c>
      <c r="C181" s="18" t="inlineStr">
        <is>
          <t>Translators, Interpreters and Other Linguists</t>
        </is>
      </c>
      <c r="D181" s="17" t="inlineStr">
        <is>
          <t>2642</t>
        </is>
      </c>
      <c r="E181" s="18" t="inlineStr">
        <is>
          <t>Journalists</t>
        </is>
      </c>
      <c r="F181" s="18" t="inlineStr">
        <is>
          <t>법률 / 지식재산권 / 변리</t>
        </is>
      </c>
      <c r="G181" s="17" t="inlineStr">
        <is>
          <t>horizontal_transfer</t>
        </is>
      </c>
      <c r="H181" s="18" t="inlineStr">
        <is>
          <t>collecting, local, national</t>
        </is>
      </c>
      <c r="I181" s="18" t="inlineStr">
        <is>
          <t>심화 Journalists 실무, 프로젝트 관리 역량</t>
        </is>
      </c>
      <c r="J181" s="18" t="inlineStr">
        <is>
          <t>실무 1년 이상 및 전문 자격</t>
        </is>
      </c>
      <c r="K181" s="17" t="inlineStr">
        <is>
          <t>★★☆☆☆</t>
        </is>
      </c>
      <c r="L181" s="21" t="inlineStr">
        <is>
          <t>+15.0%</t>
        </is>
      </c>
    </row>
    <row r="182">
      <c r="A182" s="15" t="inlineStr">
        <is>
          <t>TR-0181</t>
        </is>
      </c>
      <c r="B182" s="15" t="inlineStr">
        <is>
          <t>2651</t>
        </is>
      </c>
      <c r="C182" s="16" t="inlineStr">
        <is>
          <t>Visual Artists</t>
        </is>
      </c>
      <c r="D182" s="15" t="inlineStr">
        <is>
          <t>2163</t>
        </is>
      </c>
      <c r="E182" s="16" t="inlineStr">
        <is>
          <t>Product and Garment Designers</t>
        </is>
      </c>
      <c r="F182" s="16" t="inlineStr">
        <is>
          <t>법률 / 지식재산권 / 변리</t>
        </is>
      </c>
      <c r="G182" s="15" t="inlineStr">
        <is>
          <t>horizontal_transfer</t>
        </is>
      </c>
      <c r="H182" s="16" t="inlineStr">
        <is>
          <t>determining, objectives, constraints</t>
        </is>
      </c>
      <c r="I182" s="16" t="inlineStr">
        <is>
          <t>심화 Product and Garment Designers 실무, 프로젝트 관리 역량</t>
        </is>
      </c>
      <c r="J182" s="16" t="inlineStr">
        <is>
          <t>실무 1년 이상 및 전문 자격</t>
        </is>
      </c>
      <c r="K182" s="15" t="inlineStr">
        <is>
          <t>★★☆☆☆</t>
        </is>
      </c>
      <c r="L182" s="20" t="inlineStr">
        <is>
          <t>+15.0%</t>
        </is>
      </c>
    </row>
    <row r="183">
      <c r="A183" s="17" t="inlineStr">
        <is>
          <t>TR-0182</t>
        </is>
      </c>
      <c r="B183" s="17" t="inlineStr">
        <is>
          <t>2651</t>
        </is>
      </c>
      <c r="C183" s="18" t="inlineStr">
        <is>
          <t>Visual Artists</t>
        </is>
      </c>
      <c r="D183" s="17" t="inlineStr">
        <is>
          <t>2166</t>
        </is>
      </c>
      <c r="E183" s="18" t="inlineStr">
        <is>
          <t>Graphic and Multimedia Designers</t>
        </is>
      </c>
      <c r="F183" s="18" t="inlineStr">
        <is>
          <t>법률 / 지식재산권 / 변리</t>
        </is>
      </c>
      <c r="G183" s="17" t="inlineStr">
        <is>
          <t>horizontal_transfer</t>
        </is>
      </c>
      <c r="H183" s="18" t="inlineStr">
        <is>
          <t>determining, objectives, constraints</t>
        </is>
      </c>
      <c r="I183" s="18" t="inlineStr">
        <is>
          <t>심화 Graphic and Multimedia Designers 실무, 프로젝트 관리 역량</t>
        </is>
      </c>
      <c r="J183" s="18" t="inlineStr">
        <is>
          <t>실무 1년 이상 및 전문 자격</t>
        </is>
      </c>
      <c r="K183" s="17" t="inlineStr">
        <is>
          <t>★★☆☆☆</t>
        </is>
      </c>
      <c r="L183" s="21" t="inlineStr">
        <is>
          <t>+15.0%</t>
        </is>
      </c>
    </row>
    <row r="184">
      <c r="A184" s="15" t="inlineStr">
        <is>
          <t>TR-0183</t>
        </is>
      </c>
      <c r="B184" s="15" t="inlineStr">
        <is>
          <t>2651</t>
        </is>
      </c>
      <c r="C184" s="16" t="inlineStr">
        <is>
          <t>Visual Artists</t>
        </is>
      </c>
      <c r="D184" s="15" t="inlineStr">
        <is>
          <t>2355</t>
        </is>
      </c>
      <c r="E184" s="16" t="inlineStr">
        <is>
          <t>Other Arts Teachers</t>
        </is>
      </c>
      <c r="F184" s="16" t="inlineStr">
        <is>
          <t>법률 / 지식재산권 / 변리</t>
        </is>
      </c>
      <c r="G184" s="15" t="inlineStr">
        <is>
          <t>horizontal_transfer</t>
        </is>
      </c>
      <c r="H184" s="16" t="inlineStr">
        <is>
          <t>assessing, students, level</t>
        </is>
      </c>
      <c r="I184" s="16" t="inlineStr">
        <is>
          <t>심화 Other Arts Teachers 실무, 프로젝트 관리 역량</t>
        </is>
      </c>
      <c r="J184" s="16" t="inlineStr">
        <is>
          <t>실무 1년 이상 및 전문 자격</t>
        </is>
      </c>
      <c r="K184" s="15" t="inlineStr">
        <is>
          <t>★★☆☆☆</t>
        </is>
      </c>
      <c r="L184" s="20" t="inlineStr">
        <is>
          <t>+15.0%</t>
        </is>
      </c>
    </row>
    <row r="185">
      <c r="A185" s="17" t="inlineStr">
        <is>
          <t>TR-0184</t>
        </is>
      </c>
      <c r="B185" s="17" t="inlineStr">
        <is>
          <t>2651</t>
        </is>
      </c>
      <c r="C185" s="18" t="inlineStr">
        <is>
          <t>Visual Artists</t>
        </is>
      </c>
      <c r="D185" s="17" t="inlineStr">
        <is>
          <t>7314</t>
        </is>
      </c>
      <c r="E185" s="18" t="inlineStr">
        <is>
          <t>Potters and Related Workers</t>
        </is>
      </c>
      <c r="F185" s="18" t="inlineStr">
        <is>
          <t>법률 / 지식재산권 / 변리</t>
        </is>
      </c>
      <c r="G185" s="17" t="inlineStr">
        <is>
          <t>horizontal_transfer</t>
        </is>
      </c>
      <c r="H185" s="18" t="inlineStr">
        <is>
          <t>making, articles, pottery</t>
        </is>
      </c>
      <c r="I185" s="18" t="inlineStr">
        <is>
          <t>심화 Potters and Related Workers 실무, 프로젝트 관리 역량</t>
        </is>
      </c>
      <c r="J185" s="18" t="inlineStr">
        <is>
          <t>실무 1년 이상 및 전문 자격</t>
        </is>
      </c>
      <c r="K185" s="17" t="inlineStr">
        <is>
          <t>★☆☆☆☆</t>
        </is>
      </c>
      <c r="L185" s="21" t="inlineStr">
        <is>
          <t>+8.0%</t>
        </is>
      </c>
    </row>
    <row r="186">
      <c r="A186" s="15" t="inlineStr">
        <is>
          <t>TR-0185</t>
        </is>
      </c>
      <c r="B186" s="15" t="inlineStr">
        <is>
          <t>2651</t>
        </is>
      </c>
      <c r="C186" s="16" t="inlineStr">
        <is>
          <t>Visual Artists</t>
        </is>
      </c>
      <c r="D186" s="15" t="inlineStr">
        <is>
          <t>7316</t>
        </is>
      </c>
      <c r="E186" s="16" t="inlineStr">
        <is>
          <t>Sign Writers, Decorative Painters, Engravers and Etchers</t>
        </is>
      </c>
      <c r="F186" s="16" t="inlineStr">
        <is>
          <t>법률 / 지식재산권 / 변리</t>
        </is>
      </c>
      <c r="G186" s="15" t="inlineStr">
        <is>
          <t>horizontal_transfer</t>
        </is>
      </c>
      <c r="H186" s="16" t="inlineStr">
        <is>
          <t>painting, decorative, freehand</t>
        </is>
      </c>
      <c r="I186" s="16" t="inlineStr">
        <is>
          <t>심화 Sign Writers, Decorative Painters, Engravers and Etchers 실무, 프로젝트 관리 역량</t>
        </is>
      </c>
      <c r="J186" s="16" t="inlineStr">
        <is>
          <t>실무 1년 이상 및 전문 자격</t>
        </is>
      </c>
      <c r="K186" s="15" t="inlineStr">
        <is>
          <t>★☆☆☆☆</t>
        </is>
      </c>
      <c r="L186" s="20" t="inlineStr">
        <is>
          <t>+8.0%</t>
        </is>
      </c>
    </row>
    <row r="187">
      <c r="A187" s="17" t="inlineStr">
        <is>
          <t>TR-0186</t>
        </is>
      </c>
      <c r="B187" s="17" t="inlineStr">
        <is>
          <t>2653</t>
        </is>
      </c>
      <c r="C187" s="18" t="inlineStr">
        <is>
          <t>Dancers and Choreographers</t>
        </is>
      </c>
      <c r="D187" s="17" t="inlineStr">
        <is>
          <t>2355</t>
        </is>
      </c>
      <c r="E187" s="18" t="inlineStr">
        <is>
          <t>Other Arts Teachers</t>
        </is>
      </c>
      <c r="F187" s="18" t="inlineStr">
        <is>
          <t>법률 / 지식재산권 / 변리</t>
        </is>
      </c>
      <c r="G187" s="17" t="inlineStr">
        <is>
          <t>horizontal_transfer</t>
        </is>
      </c>
      <c r="H187" s="18" t="inlineStr">
        <is>
          <t>assessing, students, level</t>
        </is>
      </c>
      <c r="I187" s="18" t="inlineStr">
        <is>
          <t>심화 Other Arts Teachers 실무, 프로젝트 관리 역량</t>
        </is>
      </c>
      <c r="J187" s="18" t="inlineStr">
        <is>
          <t>실무 1년 이상 및 전문 자격</t>
        </is>
      </c>
      <c r="K187" s="17" t="inlineStr">
        <is>
          <t>★★☆☆☆</t>
        </is>
      </c>
      <c r="L187" s="21" t="inlineStr">
        <is>
          <t>+15.0%</t>
        </is>
      </c>
    </row>
    <row r="188">
      <c r="A188" s="15" t="inlineStr">
        <is>
          <t>TR-0187</t>
        </is>
      </c>
      <c r="B188" s="15" t="inlineStr">
        <is>
          <t>2654</t>
        </is>
      </c>
      <c r="C188" s="16" t="inlineStr">
        <is>
          <t>Film, Stage and Related Directors and Producers</t>
        </is>
      </c>
      <c r="D188" s="15" t="inlineStr">
        <is>
          <t>2642</t>
        </is>
      </c>
      <c r="E188" s="16" t="inlineStr">
        <is>
          <t>Journalists</t>
        </is>
      </c>
      <c r="F188" s="16" t="inlineStr">
        <is>
          <t>법률 / 지식재산권 / 변리</t>
        </is>
      </c>
      <c r="G188" s="15" t="inlineStr">
        <is>
          <t>horizontal_transfer</t>
        </is>
      </c>
      <c r="H188" s="16" t="inlineStr">
        <is>
          <t>collecting, local, national</t>
        </is>
      </c>
      <c r="I188" s="16" t="inlineStr">
        <is>
          <t>심화 Journalists 실무, 프로젝트 관리 역량</t>
        </is>
      </c>
      <c r="J188" s="16" t="inlineStr">
        <is>
          <t>실무 1년 이상 및 전문 자격</t>
        </is>
      </c>
      <c r="K188" s="15" t="inlineStr">
        <is>
          <t>★★☆☆☆</t>
        </is>
      </c>
      <c r="L188" s="20" t="inlineStr">
        <is>
          <t>+15.0%</t>
        </is>
      </c>
    </row>
    <row r="189">
      <c r="A189" s="17" t="inlineStr">
        <is>
          <t>TR-0188</t>
        </is>
      </c>
      <c r="B189" s="17" t="inlineStr">
        <is>
          <t>2654</t>
        </is>
      </c>
      <c r="C189" s="18" t="inlineStr">
        <is>
          <t>Film, Stage and Related Directors and Producers</t>
        </is>
      </c>
      <c r="D189" s="17" t="inlineStr">
        <is>
          <t>3435</t>
        </is>
      </c>
      <c r="E189" s="18" t="inlineStr">
        <is>
          <t>Other Artistic and Cultural Associate Professionals</t>
        </is>
      </c>
      <c r="F189" s="18" t="inlineStr">
        <is>
          <t>법률 / 지식재산권 / 변리</t>
        </is>
      </c>
      <c r="G189" s="17" t="inlineStr">
        <is>
          <t>horizontal_transfer</t>
        </is>
      </c>
      <c r="H189" s="18" t="inlineStr">
        <is>
          <t>Other Artistic and Cultural Associate Professionals 실무, 표준 프로세스 준수, 데이터/지표 분석</t>
        </is>
      </c>
      <c r="I189" s="18" t="inlineStr">
        <is>
          <t>심화 Other Artistic and Cultural Associate Professionals 실무, 프로젝트 관리 역량</t>
        </is>
      </c>
      <c r="J189" s="18" t="inlineStr">
        <is>
          <t>실무 1년 이상 및 전문 자격</t>
        </is>
      </c>
      <c r="K189" s="17" t="inlineStr">
        <is>
          <t>★☆☆☆☆</t>
        </is>
      </c>
      <c r="L189" s="21" t="inlineStr">
        <is>
          <t>+8.0%</t>
        </is>
      </c>
    </row>
    <row r="190">
      <c r="A190" s="15" t="inlineStr">
        <is>
          <t>TR-0189</t>
        </is>
      </c>
      <c r="B190" s="15" t="inlineStr">
        <is>
          <t>2654</t>
        </is>
      </c>
      <c r="C190" s="16" t="inlineStr">
        <is>
          <t>Film, Stage and Related Directors and Producers</t>
        </is>
      </c>
      <c r="D190" s="15" t="inlineStr">
        <is>
          <t>3521</t>
        </is>
      </c>
      <c r="E190" s="16" t="inlineStr">
        <is>
          <t>Broadcasting and Audio-visual Technicians</t>
        </is>
      </c>
      <c r="F190" s="16" t="inlineStr">
        <is>
          <t>법률 / 지식재산권 / 변리</t>
        </is>
      </c>
      <c r="G190" s="15" t="inlineStr">
        <is>
          <t>horizontal_transfer</t>
        </is>
      </c>
      <c r="H190" s="16" t="inlineStr">
        <is>
          <t>controlling, equipment, record</t>
        </is>
      </c>
      <c r="I190" s="16" t="inlineStr">
        <is>
          <t>심화 Broadcasting and Audio-visual Technicians 실무, 프로젝트 관리 역량</t>
        </is>
      </c>
      <c r="J190" s="16" t="inlineStr">
        <is>
          <t>실무 1년 이상 및 전문 자격</t>
        </is>
      </c>
      <c r="K190" s="15" t="inlineStr">
        <is>
          <t>★☆☆☆☆</t>
        </is>
      </c>
      <c r="L190" s="20" t="inlineStr">
        <is>
          <t>+8.0%</t>
        </is>
      </c>
    </row>
    <row r="191">
      <c r="A191" s="17" t="inlineStr">
        <is>
          <t>TR-0190</t>
        </is>
      </c>
      <c r="B191" s="17" t="inlineStr">
        <is>
          <t>2655</t>
        </is>
      </c>
      <c r="C191" s="18" t="inlineStr">
        <is>
          <t>Actors</t>
        </is>
      </c>
      <c r="D191" s="17" t="inlineStr">
        <is>
          <t>3435</t>
        </is>
      </c>
      <c r="E191" s="18" t="inlineStr">
        <is>
          <t>Other Artistic and Cultural Associate Professionals</t>
        </is>
      </c>
      <c r="F191" s="18" t="inlineStr">
        <is>
          <t>법률 / 지식재산권 / 변리</t>
        </is>
      </c>
      <c r="G191" s="17" t="inlineStr">
        <is>
          <t>horizontal_transfer</t>
        </is>
      </c>
      <c r="H191" s="18" t="inlineStr">
        <is>
          <t>Other Artistic and Cultural Associate Professionals 실무, 표준 프로세스 준수, 데이터/지표 분석</t>
        </is>
      </c>
      <c r="I191" s="18" t="inlineStr">
        <is>
          <t>심화 Other Artistic and Cultural Associate Professionals 실무, 프로젝트 관리 역량</t>
        </is>
      </c>
      <c r="J191" s="18" t="inlineStr">
        <is>
          <t>실무 1년 이상 및 전문 자격</t>
        </is>
      </c>
      <c r="K191" s="17" t="inlineStr">
        <is>
          <t>★☆☆☆☆</t>
        </is>
      </c>
      <c r="L191" s="21" t="inlineStr">
        <is>
          <t>+8.0%</t>
        </is>
      </c>
    </row>
    <row r="192">
      <c r="A192" s="15" t="inlineStr">
        <is>
          <t>TR-0191</t>
        </is>
      </c>
      <c r="B192" s="15" t="inlineStr">
        <is>
          <t>2656</t>
        </is>
      </c>
      <c r="C192" s="16" t="inlineStr">
        <is>
          <t>Announcers on Radio, Television and Other Media</t>
        </is>
      </c>
      <c r="D192" s="15" t="inlineStr">
        <is>
          <t>2642</t>
        </is>
      </c>
      <c r="E192" s="16" t="inlineStr">
        <is>
          <t>Journalists</t>
        </is>
      </c>
      <c r="F192" s="16" t="inlineStr">
        <is>
          <t>법률 / 지식재산권 / 변리</t>
        </is>
      </c>
      <c r="G192" s="15" t="inlineStr">
        <is>
          <t>horizontal_transfer</t>
        </is>
      </c>
      <c r="H192" s="16" t="inlineStr">
        <is>
          <t>collecting, local, national</t>
        </is>
      </c>
      <c r="I192" s="16" t="inlineStr">
        <is>
          <t>심화 Journalists 실무, 프로젝트 관리 역량</t>
        </is>
      </c>
      <c r="J192" s="16" t="inlineStr">
        <is>
          <t>실무 1년 이상 및 전문 자격</t>
        </is>
      </c>
      <c r="K192" s="15" t="inlineStr">
        <is>
          <t>★★☆☆☆</t>
        </is>
      </c>
      <c r="L192" s="20" t="inlineStr">
        <is>
          <t>+15.0%</t>
        </is>
      </c>
    </row>
    <row r="193">
      <c r="A193" s="17" t="inlineStr">
        <is>
          <t>TR-0192</t>
        </is>
      </c>
      <c r="B193" s="17" t="inlineStr">
        <is>
          <t>3111</t>
        </is>
      </c>
      <c r="C193" s="18" t="inlineStr">
        <is>
          <t>Chemical and Physical Science Technicians</t>
        </is>
      </c>
      <c r="D193" s="17" t="inlineStr">
        <is>
          <t>3116</t>
        </is>
      </c>
      <c r="E193" s="18" t="inlineStr">
        <is>
          <t>Chemical Engineering Technicians</t>
        </is>
      </c>
      <c r="F193" s="18" t="inlineStr">
        <is>
          <t>반도체 / 전자회로 / 하드웨어</t>
        </is>
      </c>
      <c r="G193" s="17" t="inlineStr">
        <is>
          <t>horizontal_transfer</t>
        </is>
      </c>
      <c r="H193" s="18" t="inlineStr">
        <is>
          <t>assisting, research, development</t>
        </is>
      </c>
      <c r="I193" s="18" t="inlineStr">
        <is>
          <t>심화 Chemical Engineering Technicians 실무, 프로젝트 관리 역량</t>
        </is>
      </c>
      <c r="J193" s="18" t="inlineStr">
        <is>
          <t>실무 1년 이상 및 전문 자격</t>
        </is>
      </c>
      <c r="K193" s="17" t="inlineStr">
        <is>
          <t>★★☆☆☆</t>
        </is>
      </c>
      <c r="L193" s="21" t="inlineStr">
        <is>
          <t>+15.0%</t>
        </is>
      </c>
    </row>
    <row r="194">
      <c r="A194" s="15" t="inlineStr">
        <is>
          <t>TR-0193</t>
        </is>
      </c>
      <c r="B194" s="15" t="inlineStr">
        <is>
          <t>3111</t>
        </is>
      </c>
      <c r="C194" s="16" t="inlineStr">
        <is>
          <t>Chemical and Physical Science Technicians</t>
        </is>
      </c>
      <c r="D194" s="15" t="inlineStr">
        <is>
          <t>3133</t>
        </is>
      </c>
      <c r="E194" s="16" t="inlineStr">
        <is>
          <t>Chemical Processing Plant Controllers</t>
        </is>
      </c>
      <c r="F194" s="16" t="inlineStr">
        <is>
          <t>반도체 / 전자회로 / 하드웨어</t>
        </is>
      </c>
      <c r="G194" s="15" t="inlineStr">
        <is>
          <t>horizontal_transfer</t>
        </is>
      </c>
      <c r="H194" s="16" t="inlineStr">
        <is>
          <t>operating, electronic, computerized</t>
        </is>
      </c>
      <c r="I194" s="16" t="inlineStr">
        <is>
          <t>심화 Chemical Processing Plant Controllers 실무, 프로젝트 관리 역량</t>
        </is>
      </c>
      <c r="J194" s="16" t="inlineStr">
        <is>
          <t>실무 1년 이상 및 전문 자격</t>
        </is>
      </c>
      <c r="K194" s="15" t="inlineStr">
        <is>
          <t>★★☆☆☆</t>
        </is>
      </c>
      <c r="L194" s="20" t="inlineStr">
        <is>
          <t>+15.0%</t>
        </is>
      </c>
    </row>
    <row r="195">
      <c r="A195" s="17" t="inlineStr">
        <is>
          <t>TR-0194</t>
        </is>
      </c>
      <c r="B195" s="17" t="inlineStr">
        <is>
          <t>3111</t>
        </is>
      </c>
      <c r="C195" s="18" t="inlineStr">
        <is>
          <t>Chemical and Physical Science Technicians</t>
        </is>
      </c>
      <c r="D195" s="17" t="inlineStr">
        <is>
          <t>3141</t>
        </is>
      </c>
      <c r="E195" s="18" t="inlineStr">
        <is>
          <t>Life Science Technicians (excluding Medical)</t>
        </is>
      </c>
      <c r="F195" s="18" t="inlineStr">
        <is>
          <t>반도체 / 전자회로 / 하드웨어</t>
        </is>
      </c>
      <c r="G195" s="17" t="inlineStr">
        <is>
          <t>horizontal_transfer</t>
        </is>
      </c>
      <c r="H195" s="18" t="inlineStr">
        <is>
          <t>assisting, designing, setting</t>
        </is>
      </c>
      <c r="I195" s="18" t="inlineStr">
        <is>
          <t>심화 Life Science Technicians (excluding Medical) 실무, 프로젝트 관리 역량</t>
        </is>
      </c>
      <c r="J195" s="18" t="inlineStr">
        <is>
          <t>실무 1년 이상 및 전문 자격</t>
        </is>
      </c>
      <c r="K195" s="17" t="inlineStr">
        <is>
          <t>★★☆☆☆</t>
        </is>
      </c>
      <c r="L195" s="21" t="inlineStr">
        <is>
          <t>+15.0%</t>
        </is>
      </c>
    </row>
    <row r="196">
      <c r="A196" s="15" t="inlineStr">
        <is>
          <t>TR-0195</t>
        </is>
      </c>
      <c r="B196" s="15" t="inlineStr">
        <is>
          <t>3112</t>
        </is>
      </c>
      <c r="C196" s="16" t="inlineStr">
        <is>
          <t>Civil Engineering Technicians</t>
        </is>
      </c>
      <c r="D196" s="15" t="inlineStr">
        <is>
          <t>2149</t>
        </is>
      </c>
      <c r="E196" s="16" t="inlineStr">
        <is>
          <t>Engineering Professionals Not Elsewhere Classified</t>
        </is>
      </c>
      <c r="F196" s="16" t="inlineStr">
        <is>
          <t>반도체 / 전자회로 / 하드웨어</t>
        </is>
      </c>
      <c r="G196" s="15" t="inlineStr">
        <is>
          <t>vertical_promotion</t>
        </is>
      </c>
      <c r="H196" s="16" t="inlineStr">
        <is>
          <t>such, cases, would</t>
        </is>
      </c>
      <c r="I196" s="16" t="inlineStr">
        <is>
          <t>심화 Engineering Professionals Not Elsewhere Classified 실무, 프로젝트 관리 역량</t>
        </is>
      </c>
      <c r="J196" s="16" t="inlineStr">
        <is>
          <t>실무 2년 이상 및 전문 자격</t>
        </is>
      </c>
      <c r="K196" s="15" t="inlineStr">
        <is>
          <t>★★★☆☆</t>
        </is>
      </c>
      <c r="L196" s="20" t="inlineStr">
        <is>
          <t>+25.0%</t>
        </is>
      </c>
    </row>
    <row r="197">
      <c r="A197" s="17" t="inlineStr">
        <is>
          <t>TR-0196</t>
        </is>
      </c>
      <c r="B197" s="17" t="inlineStr">
        <is>
          <t>3112</t>
        </is>
      </c>
      <c r="C197" s="18" t="inlineStr">
        <is>
          <t>Civil Engineering Technicians</t>
        </is>
      </c>
      <c r="D197" s="17" t="inlineStr">
        <is>
          <t>3115</t>
        </is>
      </c>
      <c r="E197" s="18" t="inlineStr">
        <is>
          <t>Mechanical Engineering Technicians</t>
        </is>
      </c>
      <c r="F197" s="18" t="inlineStr">
        <is>
          <t>반도체 / 전자회로 / 하드웨어</t>
        </is>
      </c>
      <c r="G197" s="17" t="inlineStr">
        <is>
          <t>horizontal_transfer</t>
        </is>
      </c>
      <c r="H197" s="18" t="inlineStr">
        <is>
          <t>technical, assistance, research</t>
        </is>
      </c>
      <c r="I197" s="18" t="inlineStr">
        <is>
          <t>심화 Mechanical Engineering Technicians 실무, 프로젝트 관리 역량</t>
        </is>
      </c>
      <c r="J197" s="18" t="inlineStr">
        <is>
          <t>실무 1년 이상 및 전문 자격</t>
        </is>
      </c>
      <c r="K197" s="17" t="inlineStr">
        <is>
          <t>★★☆☆☆</t>
        </is>
      </c>
      <c r="L197" s="21" t="inlineStr">
        <is>
          <t>+15.0%</t>
        </is>
      </c>
    </row>
    <row r="198">
      <c r="A198" s="15" t="inlineStr">
        <is>
          <t>TR-0197</t>
        </is>
      </c>
      <c r="B198" s="15" t="inlineStr">
        <is>
          <t>3112</t>
        </is>
      </c>
      <c r="C198" s="16" t="inlineStr">
        <is>
          <t>Civil Engineering Technicians</t>
        </is>
      </c>
      <c r="D198" s="15" t="inlineStr">
        <is>
          <t>3119</t>
        </is>
      </c>
      <c r="E198" s="16" t="inlineStr">
        <is>
          <t>Physical and Engineering Science Technicians Not Elsewhere Classified</t>
        </is>
      </c>
      <c r="F198" s="16" t="inlineStr">
        <is>
          <t>반도체 / 전자회로 / 하드웨어</t>
        </is>
      </c>
      <c r="G198" s="15" t="inlineStr">
        <is>
          <t>horizontal_transfer</t>
        </is>
      </c>
      <c r="H198" s="16" t="inlineStr">
        <is>
          <t>such, cases, would</t>
        </is>
      </c>
      <c r="I198" s="16" t="inlineStr">
        <is>
          <t>심화 Physical and Engineering Science Technicians Not Elsewhere Classified 실무, 프로젝트 관리 역량</t>
        </is>
      </c>
      <c r="J198" s="16" t="inlineStr">
        <is>
          <t>실무 1년 이상 및 전문 자격</t>
        </is>
      </c>
      <c r="K198" s="15" t="inlineStr">
        <is>
          <t>★★☆☆☆</t>
        </is>
      </c>
      <c r="L198" s="20" t="inlineStr">
        <is>
          <t>+15.0%</t>
        </is>
      </c>
    </row>
    <row r="199">
      <c r="A199" s="17" t="inlineStr">
        <is>
          <t>TR-0198</t>
        </is>
      </c>
      <c r="B199" s="17" t="inlineStr">
        <is>
          <t>3113</t>
        </is>
      </c>
      <c r="C199" s="18" t="inlineStr">
        <is>
          <t>Electrical Engineering Technicians</t>
        </is>
      </c>
      <c r="D199" s="17" t="inlineStr">
        <is>
          <t>3114</t>
        </is>
      </c>
      <c r="E199" s="18" t="inlineStr">
        <is>
          <t>Electronics Engineering Technicians</t>
        </is>
      </c>
      <c r="F199" s="18" t="inlineStr">
        <is>
          <t>반도체 / 전자회로 / 하드웨어</t>
        </is>
      </c>
      <c r="G199" s="17" t="inlineStr">
        <is>
          <t>horizontal_transfer</t>
        </is>
      </c>
      <c r="H199" s="18" t="inlineStr">
        <is>
          <t>technical, assistance, research</t>
        </is>
      </c>
      <c r="I199" s="18" t="inlineStr">
        <is>
          <t>심화 Electronics Engineering Technicians 실무, 프로젝트 관리 역량</t>
        </is>
      </c>
      <c r="J199" s="18" t="inlineStr">
        <is>
          <t>실무 1년 이상 및 전문 자격</t>
        </is>
      </c>
      <c r="K199" s="17" t="inlineStr">
        <is>
          <t>★★☆☆☆</t>
        </is>
      </c>
      <c r="L199" s="21" t="inlineStr">
        <is>
          <t>+15.0%</t>
        </is>
      </c>
    </row>
    <row r="200">
      <c r="A200" s="15" t="inlineStr">
        <is>
          <t>TR-0199</t>
        </is>
      </c>
      <c r="B200" s="15" t="inlineStr">
        <is>
          <t>3113</t>
        </is>
      </c>
      <c r="C200" s="16" t="inlineStr">
        <is>
          <t>Electrical Engineering Technicians</t>
        </is>
      </c>
      <c r="D200" s="15" t="inlineStr">
        <is>
          <t>3131</t>
        </is>
      </c>
      <c r="E200" s="16" t="inlineStr">
        <is>
          <t>Power Production Plant Operators</t>
        </is>
      </c>
      <c r="F200" s="16" t="inlineStr">
        <is>
          <t>반도체 / 전자회로 / 하드웨어</t>
        </is>
      </c>
      <c r="G200" s="15" t="inlineStr">
        <is>
          <t>horizontal_transfer</t>
        </is>
      </c>
      <c r="H200" s="16" t="inlineStr">
        <is>
          <t>operating, monitoring, inspecting</t>
        </is>
      </c>
      <c r="I200" s="16" t="inlineStr">
        <is>
          <t>심화 Power Production Plant Operators 실무, 프로젝트 관리 역량</t>
        </is>
      </c>
      <c r="J200" s="16" t="inlineStr">
        <is>
          <t>실무 1년 이상 및 전문 자격</t>
        </is>
      </c>
      <c r="K200" s="15" t="inlineStr">
        <is>
          <t>★★☆☆☆</t>
        </is>
      </c>
      <c r="L200" s="20" t="inlineStr">
        <is>
          <t>+15.0%</t>
        </is>
      </c>
    </row>
    <row r="201">
      <c r="A201" s="17" t="inlineStr">
        <is>
          <t>TR-0200</t>
        </is>
      </c>
      <c r="B201" s="17" t="inlineStr">
        <is>
          <t>3113</t>
        </is>
      </c>
      <c r="C201" s="18" t="inlineStr">
        <is>
          <t>Electrical Engineering Technicians</t>
        </is>
      </c>
      <c r="D201" s="17" t="inlineStr">
        <is>
          <t>7412</t>
        </is>
      </c>
      <c r="E201" s="18" t="inlineStr">
        <is>
          <t>Electrical Mechanics and Fitters</t>
        </is>
      </c>
      <c r="F201" s="18" t="inlineStr">
        <is>
          <t>반도체 / 전자회로 / 하드웨어</t>
        </is>
      </c>
      <c r="G201" s="17" t="inlineStr">
        <is>
          <t>horizontal_transfer</t>
        </is>
      </c>
      <c r="H201" s="18" t="inlineStr">
        <is>
          <t>fitting, adjusting, repairing</t>
        </is>
      </c>
      <c r="I201" s="18" t="inlineStr">
        <is>
          <t>심화 Electrical Mechanics and Fitters 실무, 프로젝트 관리 역량</t>
        </is>
      </c>
      <c r="J201" s="18" t="inlineStr">
        <is>
          <t>실무 1년 이상 및 전문 자격</t>
        </is>
      </c>
      <c r="K201" s="17" t="inlineStr">
        <is>
          <t>★☆☆☆☆</t>
        </is>
      </c>
      <c r="L201" s="21" t="inlineStr">
        <is>
          <t>+8.0%</t>
        </is>
      </c>
    </row>
    <row r="202">
      <c r="A202" s="15" t="inlineStr">
        <is>
          <t>TR-0201</t>
        </is>
      </c>
      <c r="B202" s="15" t="inlineStr">
        <is>
          <t>3114</t>
        </is>
      </c>
      <c r="C202" s="16" t="inlineStr">
        <is>
          <t>Electronics Engineering Technicians</t>
        </is>
      </c>
      <c r="D202" s="15" t="inlineStr">
        <is>
          <t>3113</t>
        </is>
      </c>
      <c r="E202" s="16" t="inlineStr">
        <is>
          <t>Electrical Engineering Technicians</t>
        </is>
      </c>
      <c r="F202" s="16" t="inlineStr">
        <is>
          <t>반도체 / 전자회로 / 하드웨어</t>
        </is>
      </c>
      <c r="G202" s="15" t="inlineStr">
        <is>
          <t>horizontal_transfer</t>
        </is>
      </c>
      <c r="H202" s="16" t="inlineStr">
        <is>
          <t>technical, assistance, research</t>
        </is>
      </c>
      <c r="I202" s="16" t="inlineStr">
        <is>
          <t>심화 Electrical Engineering Technicians 실무, 프로젝트 관리 역량</t>
        </is>
      </c>
      <c r="J202" s="16" t="inlineStr">
        <is>
          <t>실무 1년 이상 및 전문 자격</t>
        </is>
      </c>
      <c r="K202" s="15" t="inlineStr">
        <is>
          <t>★★☆☆☆</t>
        </is>
      </c>
      <c r="L202" s="20" t="inlineStr">
        <is>
          <t>+15.0%</t>
        </is>
      </c>
    </row>
    <row r="203">
      <c r="A203" s="17" t="inlineStr">
        <is>
          <t>TR-0202</t>
        </is>
      </c>
      <c r="B203" s="17" t="inlineStr">
        <is>
          <t>3114</t>
        </is>
      </c>
      <c r="C203" s="18" t="inlineStr">
        <is>
          <t>Electronics Engineering Technicians</t>
        </is>
      </c>
      <c r="D203" s="17" t="inlineStr">
        <is>
          <t>3522</t>
        </is>
      </c>
      <c r="E203" s="18" t="inlineStr">
        <is>
          <t>Telecommunications Engineering Technicians</t>
        </is>
      </c>
      <c r="F203" s="18" t="inlineStr">
        <is>
          <t>반도체 / 전자회로 / 하드웨어</t>
        </is>
      </c>
      <c r="G203" s="17" t="inlineStr">
        <is>
          <t>horizontal_transfer</t>
        </is>
      </c>
      <c r="H203" s="18" t="inlineStr">
        <is>
          <t>technical, assistance, connected</t>
        </is>
      </c>
      <c r="I203" s="18" t="inlineStr">
        <is>
          <t>심화 Telecommunications Engineering Technicians 실무, 프로젝트 관리 역량</t>
        </is>
      </c>
      <c r="J203" s="18" t="inlineStr">
        <is>
          <t>실무 1년 이상 및 전문 자격</t>
        </is>
      </c>
      <c r="K203" s="17" t="inlineStr">
        <is>
          <t>★★☆☆☆</t>
        </is>
      </c>
      <c r="L203" s="21" t="inlineStr">
        <is>
          <t>+15.0%</t>
        </is>
      </c>
    </row>
    <row r="204">
      <c r="A204" s="15" t="inlineStr">
        <is>
          <t>TR-0203</t>
        </is>
      </c>
      <c r="B204" s="15" t="inlineStr">
        <is>
          <t>3114</t>
        </is>
      </c>
      <c r="C204" s="16" t="inlineStr">
        <is>
          <t>Electronics Engineering Technicians</t>
        </is>
      </c>
      <c r="D204" s="15" t="inlineStr">
        <is>
          <t>7421</t>
        </is>
      </c>
      <c r="E204" s="16" t="inlineStr">
        <is>
          <t>Electronics Mechanics and Servicers</t>
        </is>
      </c>
      <c r="F204" s="16" t="inlineStr">
        <is>
          <t>반도체 / 전자회로 / 하드웨어</t>
        </is>
      </c>
      <c r="G204" s="15" t="inlineStr">
        <is>
          <t>horizontal_transfer</t>
        </is>
      </c>
      <c r="H204" s="16" t="inlineStr">
        <is>
          <t>examining, testing, machines</t>
        </is>
      </c>
      <c r="I204" s="16" t="inlineStr">
        <is>
          <t>심화 Electronics Mechanics and Servicers 실무, 프로젝트 관리 역량</t>
        </is>
      </c>
      <c r="J204" s="16" t="inlineStr">
        <is>
          <t>실무 1년 이상 및 전문 자격</t>
        </is>
      </c>
      <c r="K204" s="15" t="inlineStr">
        <is>
          <t>★☆☆☆☆</t>
        </is>
      </c>
      <c r="L204" s="20" t="inlineStr">
        <is>
          <t>+8.0%</t>
        </is>
      </c>
    </row>
    <row r="205">
      <c r="A205" s="17" t="inlineStr">
        <is>
          <t>TR-0204</t>
        </is>
      </c>
      <c r="B205" s="17" t="inlineStr">
        <is>
          <t>3114</t>
        </is>
      </c>
      <c r="C205" s="18" t="inlineStr">
        <is>
          <t>Electronics Engineering Technicians</t>
        </is>
      </c>
      <c r="D205" s="17" t="inlineStr">
        <is>
          <t>8212</t>
        </is>
      </c>
      <c r="E205" s="18" t="inlineStr">
        <is>
          <t>Electrical and Electronic Equipment Assemblers</t>
        </is>
      </c>
      <c r="F205" s="18" t="inlineStr">
        <is>
          <t>반도체 / 전자회로 / 하드웨어</t>
        </is>
      </c>
      <c r="G205" s="17" t="inlineStr">
        <is>
          <t>horizontal_transfer</t>
        </is>
      </c>
      <c r="H205" s="18" t="inlineStr">
        <is>
          <t>assembling, component, parts</t>
        </is>
      </c>
      <c r="I205" s="18" t="inlineStr">
        <is>
          <t>심화 Electrical and Electronic Equipment Assemblers 실무, 프로젝트 관리 역량</t>
        </is>
      </c>
      <c r="J205" s="18" t="inlineStr">
        <is>
          <t>실무 1년 이상 및 전문 자격</t>
        </is>
      </c>
      <c r="K205" s="17" t="inlineStr">
        <is>
          <t>★☆☆☆☆</t>
        </is>
      </c>
      <c r="L205" s="21" t="inlineStr">
        <is>
          <t>+8.0%</t>
        </is>
      </c>
    </row>
    <row r="206">
      <c r="A206" s="15" t="inlineStr">
        <is>
          <t>TR-0205</t>
        </is>
      </c>
      <c r="B206" s="15" t="inlineStr">
        <is>
          <t>3115</t>
        </is>
      </c>
      <c r="C206" s="16" t="inlineStr">
        <is>
          <t>Mechanical Engineering Technicians</t>
        </is>
      </c>
      <c r="D206" s="15" t="inlineStr">
        <is>
          <t>7233</t>
        </is>
      </c>
      <c r="E206" s="16" t="inlineStr">
        <is>
          <t>Agricultural and Industrial Machinery Mechanics and Repairers</t>
        </is>
      </c>
      <c r="F206" s="16" t="inlineStr">
        <is>
          <t>반도체 / 전자회로 / 하드웨어</t>
        </is>
      </c>
      <c r="G206" s="15" t="inlineStr">
        <is>
          <t>horizontal_transfer</t>
        </is>
      </c>
      <c r="H206" s="16" t="inlineStr">
        <is>
          <t>fitting, installing, examining</t>
        </is>
      </c>
      <c r="I206" s="16" t="inlineStr">
        <is>
          <t>심화 Agricultural and Industrial Machinery Mechanics and Repairers 실무, 프로젝트 관리 역량</t>
        </is>
      </c>
      <c r="J206" s="16" t="inlineStr">
        <is>
          <t>실무 1년 이상 및 전문 자격</t>
        </is>
      </c>
      <c r="K206" s="15" t="inlineStr">
        <is>
          <t>★☆☆☆☆</t>
        </is>
      </c>
      <c r="L206" s="20" t="inlineStr">
        <is>
          <t>+8.0%</t>
        </is>
      </c>
    </row>
    <row r="207">
      <c r="A207" s="17" t="inlineStr">
        <is>
          <t>TR-0206</t>
        </is>
      </c>
      <c r="B207" s="17" t="inlineStr">
        <is>
          <t>3115</t>
        </is>
      </c>
      <c r="C207" s="18" t="inlineStr">
        <is>
          <t>Mechanical Engineering Technicians</t>
        </is>
      </c>
      <c r="D207" s="17" t="inlineStr">
        <is>
          <t>8211</t>
        </is>
      </c>
      <c r="E207" s="18" t="inlineStr">
        <is>
          <t>Mechanical Machinery Assemblers</t>
        </is>
      </c>
      <c r="F207" s="18" t="inlineStr">
        <is>
          <t>반도체 / 전자회로 / 하드웨어</t>
        </is>
      </c>
      <c r="G207" s="17" t="inlineStr">
        <is>
          <t>horizontal_transfer</t>
        </is>
      </c>
      <c r="H207" s="18" t="inlineStr">
        <is>
          <t>assembling, installing, prefabricated</t>
        </is>
      </c>
      <c r="I207" s="18" t="inlineStr">
        <is>
          <t>심화 Mechanical Machinery Assemblers 실무, 프로젝트 관리 역량</t>
        </is>
      </c>
      <c r="J207" s="18" t="inlineStr">
        <is>
          <t>실무 1년 이상 및 전문 자격</t>
        </is>
      </c>
      <c r="K207" s="17" t="inlineStr">
        <is>
          <t>★☆☆☆☆</t>
        </is>
      </c>
      <c r="L207" s="21" t="inlineStr">
        <is>
          <t>+8.0%</t>
        </is>
      </c>
    </row>
    <row r="208">
      <c r="A208" s="15" t="inlineStr">
        <is>
          <t>TR-0207</t>
        </is>
      </c>
      <c r="B208" s="15" t="inlineStr">
        <is>
          <t>3116</t>
        </is>
      </c>
      <c r="C208" s="16" t="inlineStr">
        <is>
          <t>Chemical Engineering Technicians</t>
        </is>
      </c>
      <c r="D208" s="15" t="inlineStr">
        <is>
          <t>3111</t>
        </is>
      </c>
      <c r="E208" s="16" t="inlineStr">
        <is>
          <t>Chemical and Physical Science Technicians</t>
        </is>
      </c>
      <c r="F208" s="16" t="inlineStr">
        <is>
          <t>반도체 / 전자회로 / 하드웨어</t>
        </is>
      </c>
      <c r="G208" s="15" t="inlineStr">
        <is>
          <t>horizontal_transfer</t>
        </is>
      </c>
      <c r="H208" s="16" t="inlineStr">
        <is>
          <t>collecting, samples, preparing</t>
        </is>
      </c>
      <c r="I208" s="16" t="inlineStr">
        <is>
          <t>심화 Chemical and Physical Science Technicians 실무, 프로젝트 관리 역량</t>
        </is>
      </c>
      <c r="J208" s="16" t="inlineStr">
        <is>
          <t>실무 1년 이상 및 전문 자격</t>
        </is>
      </c>
      <c r="K208" s="15" t="inlineStr">
        <is>
          <t>★★☆☆☆</t>
        </is>
      </c>
      <c r="L208" s="20" t="inlineStr">
        <is>
          <t>+15.0%</t>
        </is>
      </c>
    </row>
    <row r="209">
      <c r="A209" s="17" t="inlineStr">
        <is>
          <t>TR-0208</t>
        </is>
      </c>
      <c r="B209" s="17" t="inlineStr">
        <is>
          <t>3116</t>
        </is>
      </c>
      <c r="C209" s="18" t="inlineStr">
        <is>
          <t>Chemical Engineering Technicians</t>
        </is>
      </c>
      <c r="D209" s="17" t="inlineStr">
        <is>
          <t>3133</t>
        </is>
      </c>
      <c r="E209" s="18" t="inlineStr">
        <is>
          <t>Chemical Processing Plant Controllers</t>
        </is>
      </c>
      <c r="F209" s="18" t="inlineStr">
        <is>
          <t>반도체 / 전자회로 / 하드웨어</t>
        </is>
      </c>
      <c r="G209" s="17" t="inlineStr">
        <is>
          <t>horizontal_transfer</t>
        </is>
      </c>
      <c r="H209" s="18" t="inlineStr">
        <is>
          <t>operating, electronic, computerized</t>
        </is>
      </c>
      <c r="I209" s="18" t="inlineStr">
        <is>
          <t>심화 Chemical Processing Plant Controllers 실무, 프로젝트 관리 역량</t>
        </is>
      </c>
      <c r="J209" s="18" t="inlineStr">
        <is>
          <t>실무 1년 이상 및 전문 자격</t>
        </is>
      </c>
      <c r="K209" s="17" t="inlineStr">
        <is>
          <t>★★☆☆☆</t>
        </is>
      </c>
      <c r="L209" s="21" t="inlineStr">
        <is>
          <t>+15.0%</t>
        </is>
      </c>
    </row>
    <row r="210">
      <c r="A210" s="15" t="inlineStr">
        <is>
          <t>TR-0209</t>
        </is>
      </c>
      <c r="B210" s="15" t="inlineStr">
        <is>
          <t>3117</t>
        </is>
      </c>
      <c r="C210" s="16" t="inlineStr">
        <is>
          <t>Mining and metallurgical technicians</t>
        </is>
      </c>
      <c r="D210" s="15" t="inlineStr">
        <is>
          <t>3111</t>
        </is>
      </c>
      <c r="E210" s="16" t="inlineStr">
        <is>
          <t>Chemical and Physical Science Technicians</t>
        </is>
      </c>
      <c r="F210" s="16" t="inlineStr">
        <is>
          <t>반도체 / 전자회로 / 하드웨어</t>
        </is>
      </c>
      <c r="G210" s="15" t="inlineStr">
        <is>
          <t>horizontal_transfer</t>
        </is>
      </c>
      <c r="H210" s="16" t="inlineStr">
        <is>
          <t>collecting, samples, preparing</t>
        </is>
      </c>
      <c r="I210" s="16" t="inlineStr">
        <is>
          <t>심화 Chemical and Physical Science Technicians 실무, 프로젝트 관리 역량</t>
        </is>
      </c>
      <c r="J210" s="16" t="inlineStr">
        <is>
          <t>실무 1년 이상 및 전문 자격</t>
        </is>
      </c>
      <c r="K210" s="15" t="inlineStr">
        <is>
          <t>★★☆☆☆</t>
        </is>
      </c>
      <c r="L210" s="20" t="inlineStr">
        <is>
          <t>+15.0%</t>
        </is>
      </c>
    </row>
    <row r="211">
      <c r="A211" s="17" t="inlineStr">
        <is>
          <t>TR-0210</t>
        </is>
      </c>
      <c r="B211" s="17" t="inlineStr">
        <is>
          <t>3117</t>
        </is>
      </c>
      <c r="C211" s="18" t="inlineStr">
        <is>
          <t>Mining and metallurgical technicians</t>
        </is>
      </c>
      <c r="D211" s="17" t="inlineStr">
        <is>
          <t>8111</t>
        </is>
      </c>
      <c r="E211" s="18" t="inlineStr">
        <is>
          <t>Miners and Quarriers</t>
        </is>
      </c>
      <c r="F211" s="18" t="inlineStr">
        <is>
          <t>반도체 / 전자회로 / 하드웨어</t>
        </is>
      </c>
      <c r="G211" s="17" t="inlineStr">
        <is>
          <t>horizontal_transfer</t>
        </is>
      </c>
      <c r="H211" s="18" t="inlineStr">
        <is>
          <t>positioning, operating, monitoring</t>
        </is>
      </c>
      <c r="I211" s="18" t="inlineStr">
        <is>
          <t>심화 Miners and Quarriers 실무, 프로젝트 관리 역량</t>
        </is>
      </c>
      <c r="J211" s="18" t="inlineStr">
        <is>
          <t>실무 1년 이상 및 전문 자격</t>
        </is>
      </c>
      <c r="K211" s="17" t="inlineStr">
        <is>
          <t>★☆☆☆☆</t>
        </is>
      </c>
      <c r="L211" s="21" t="inlineStr">
        <is>
          <t>+8.0%</t>
        </is>
      </c>
    </row>
    <row r="212">
      <c r="A212" s="15" t="inlineStr">
        <is>
          <t>TR-0211</t>
        </is>
      </c>
      <c r="B212" s="15" t="inlineStr">
        <is>
          <t>3118</t>
        </is>
      </c>
      <c r="C212" s="16" t="inlineStr">
        <is>
          <t>Draughtspersons</t>
        </is>
      </c>
      <c r="D212" s="15" t="inlineStr">
        <is>
          <t>2165</t>
        </is>
      </c>
      <c r="E212" s="16" t="inlineStr">
        <is>
          <t>Cartographers and Surveyors</t>
        </is>
      </c>
      <c r="F212" s="16" t="inlineStr">
        <is>
          <t>반도체 / 전자회로 / 하드웨어</t>
        </is>
      </c>
      <c r="G212" s="15" t="inlineStr">
        <is>
          <t>vertical_promotion</t>
        </is>
      </c>
      <c r="H212" s="16" t="inlineStr">
        <is>
          <t>surveying, measuring, describing</t>
        </is>
      </c>
      <c r="I212" s="16" t="inlineStr">
        <is>
          <t>심화 Cartographers and Surveyors 실무, 프로젝트 관리 역량</t>
        </is>
      </c>
      <c r="J212" s="16" t="inlineStr">
        <is>
          <t>실무 2년 이상 및 전문 자격</t>
        </is>
      </c>
      <c r="K212" s="15" t="inlineStr">
        <is>
          <t>★★★☆☆</t>
        </is>
      </c>
      <c r="L212" s="20" t="inlineStr">
        <is>
          <t>+25.0%</t>
        </is>
      </c>
    </row>
    <row r="213">
      <c r="A213" s="17" t="inlineStr">
        <is>
          <t>TR-0212</t>
        </is>
      </c>
      <c r="B213" s="17" t="inlineStr">
        <is>
          <t>3119</t>
        </is>
      </c>
      <c r="C213" s="18" t="inlineStr">
        <is>
          <t>Physical and Engineering Science Technicians Not Elsewhere Classified</t>
        </is>
      </c>
      <c r="D213" s="17" t="inlineStr">
        <is>
          <t>2141</t>
        </is>
      </c>
      <c r="E213" s="18" t="inlineStr">
        <is>
          <t>Industrial and Production Engineers</t>
        </is>
      </c>
      <c r="F213" s="18" t="inlineStr">
        <is>
          <t>반도체 / 전자회로 / 하드웨어</t>
        </is>
      </c>
      <c r="G213" s="17" t="inlineStr">
        <is>
          <t>vertical_promotion</t>
        </is>
      </c>
      <c r="H213" s="18" t="inlineStr">
        <is>
          <t>studying, functional, statements</t>
        </is>
      </c>
      <c r="I213" s="18" t="inlineStr">
        <is>
          <t>심화 Industrial and Production Engineers 실무, 프로젝트 관리 역량</t>
        </is>
      </c>
      <c r="J213" s="18" t="inlineStr">
        <is>
          <t>실무 2년 이상 및 전문 자격</t>
        </is>
      </c>
      <c r="K213" s="17" t="inlineStr">
        <is>
          <t>★★★☆☆</t>
        </is>
      </c>
      <c r="L213" s="21" t="inlineStr">
        <is>
          <t>+25.0%</t>
        </is>
      </c>
    </row>
    <row r="214">
      <c r="A214" s="15" t="inlineStr">
        <is>
          <t>TR-0213</t>
        </is>
      </c>
      <c r="B214" s="15" t="inlineStr">
        <is>
          <t>3119</t>
        </is>
      </c>
      <c r="C214" s="16" t="inlineStr">
        <is>
          <t>Physical and Engineering Science Technicians Not Elsewhere Classified</t>
        </is>
      </c>
      <c r="D214" s="15" t="inlineStr">
        <is>
          <t>2149</t>
        </is>
      </c>
      <c r="E214" s="16" t="inlineStr">
        <is>
          <t>Engineering Professionals Not Elsewhere Classified</t>
        </is>
      </c>
      <c r="F214" s="16" t="inlineStr">
        <is>
          <t>반도체 / 전자회로 / 하드웨어</t>
        </is>
      </c>
      <c r="G214" s="15" t="inlineStr">
        <is>
          <t>vertical_promotion</t>
        </is>
      </c>
      <c r="H214" s="16" t="inlineStr">
        <is>
          <t>such, cases, would</t>
        </is>
      </c>
      <c r="I214" s="16" t="inlineStr">
        <is>
          <t>심화 Engineering Professionals Not Elsewhere Classified 실무, 프로젝트 관리 역량</t>
        </is>
      </c>
      <c r="J214" s="16" t="inlineStr">
        <is>
          <t>실무 2년 이상 및 전문 자격</t>
        </is>
      </c>
      <c r="K214" s="15" t="inlineStr">
        <is>
          <t>★★★☆☆</t>
        </is>
      </c>
      <c r="L214" s="20" t="inlineStr">
        <is>
          <t>+25.0%</t>
        </is>
      </c>
    </row>
    <row r="215">
      <c r="A215" s="17" t="inlineStr">
        <is>
          <t>TR-0214</t>
        </is>
      </c>
      <c r="B215" s="17" t="inlineStr">
        <is>
          <t>3119</t>
        </is>
      </c>
      <c r="C215" s="18" t="inlineStr">
        <is>
          <t>Physical and Engineering Science Technicians Not Elsewhere Classified</t>
        </is>
      </c>
      <c r="D215" s="17" t="inlineStr">
        <is>
          <t>3115</t>
        </is>
      </c>
      <c r="E215" s="18" t="inlineStr">
        <is>
          <t>Mechanical Engineering Technicians</t>
        </is>
      </c>
      <c r="F215" s="18" t="inlineStr">
        <is>
          <t>반도체 / 전자회로 / 하드웨어</t>
        </is>
      </c>
      <c r="G215" s="17" t="inlineStr">
        <is>
          <t>horizontal_transfer</t>
        </is>
      </c>
      <c r="H215" s="18" t="inlineStr">
        <is>
          <t>technical, assistance, research</t>
        </is>
      </c>
      <c r="I215" s="18" t="inlineStr">
        <is>
          <t>심화 Mechanical Engineering Technicians 실무, 프로젝트 관리 역량</t>
        </is>
      </c>
      <c r="J215" s="18" t="inlineStr">
        <is>
          <t>실무 1년 이상 및 전문 자격</t>
        </is>
      </c>
      <c r="K215" s="17" t="inlineStr">
        <is>
          <t>★★☆☆☆</t>
        </is>
      </c>
      <c r="L215" s="21" t="inlineStr">
        <is>
          <t>+15.0%</t>
        </is>
      </c>
    </row>
    <row r="216">
      <c r="A216" s="15" t="inlineStr">
        <is>
          <t>TR-0215</t>
        </is>
      </c>
      <c r="B216" s="15" t="inlineStr">
        <is>
          <t>3121</t>
        </is>
      </c>
      <c r="C216" s="16" t="inlineStr">
        <is>
          <t>Mining Supervisors</t>
        </is>
      </c>
      <c r="D216" s="15" t="inlineStr">
        <is>
          <t>1322</t>
        </is>
      </c>
      <c r="E216" s="16" t="inlineStr">
        <is>
          <t>Mining Managers</t>
        </is>
      </c>
      <c r="F216" s="16" t="inlineStr">
        <is>
          <t>반도체 / 전자회로 / 하드웨어</t>
        </is>
      </c>
      <c r="G216" s="15" t="inlineStr">
        <is>
          <t>vertical_promotion</t>
        </is>
      </c>
      <c r="H216" s="16" t="inlineStr">
        <is>
          <t>conferring, with, other</t>
        </is>
      </c>
      <c r="I216" s="16" t="inlineStr">
        <is>
          <t>심화 Mining Managers 실무, 프로젝트 관리 역량</t>
        </is>
      </c>
      <c r="J216" s="16" t="inlineStr">
        <is>
          <t>실무 4년 이상 및 전문 자격</t>
        </is>
      </c>
      <c r="K216" s="15" t="inlineStr">
        <is>
          <t>★★★★☆</t>
        </is>
      </c>
      <c r="L216" s="20" t="inlineStr">
        <is>
          <t>+35.0%</t>
        </is>
      </c>
    </row>
    <row r="217">
      <c r="A217" s="17" t="inlineStr">
        <is>
          <t>TR-0216</t>
        </is>
      </c>
      <c r="B217" s="17" t="inlineStr">
        <is>
          <t>3121</t>
        </is>
      </c>
      <c r="C217" s="18" t="inlineStr">
        <is>
          <t>Mining Supervisors</t>
        </is>
      </c>
      <c r="D217" s="17" t="inlineStr">
        <is>
          <t>3117</t>
        </is>
      </c>
      <c r="E217" s="18" t="inlineStr">
        <is>
          <t>Mining and metallurgical technicians</t>
        </is>
      </c>
      <c r="F217" s="18" t="inlineStr">
        <is>
          <t>반도체 / 전자회로 / 하드웨어</t>
        </is>
      </c>
      <c r="G217" s="17" t="inlineStr">
        <is>
          <t>horizontal_transfer</t>
        </is>
      </c>
      <c r="H217" s="18" t="inlineStr">
        <is>
          <t>technical, assistance, research</t>
        </is>
      </c>
      <c r="I217" s="18" t="inlineStr">
        <is>
          <t>심화 Mining and metallurgical technicians 실무, 프로젝트 관리 역량</t>
        </is>
      </c>
      <c r="J217" s="18" t="inlineStr">
        <is>
          <t>실무 1년 이상 및 전문 자격</t>
        </is>
      </c>
      <c r="K217" s="17" t="inlineStr">
        <is>
          <t>★★☆☆☆</t>
        </is>
      </c>
      <c r="L217" s="21" t="inlineStr">
        <is>
          <t>+15.0%</t>
        </is>
      </c>
    </row>
    <row r="218">
      <c r="A218" s="15" t="inlineStr">
        <is>
          <t>TR-0217</t>
        </is>
      </c>
      <c r="B218" s="15" t="inlineStr">
        <is>
          <t>3121</t>
        </is>
      </c>
      <c r="C218" s="16" t="inlineStr">
        <is>
          <t>Mining Supervisors</t>
        </is>
      </c>
      <c r="D218" s="15" t="inlineStr">
        <is>
          <t>8111</t>
        </is>
      </c>
      <c r="E218" s="16" t="inlineStr">
        <is>
          <t>Miners and Quarriers</t>
        </is>
      </c>
      <c r="F218" s="16" t="inlineStr">
        <is>
          <t>반도체 / 전자회로 / 하드웨어</t>
        </is>
      </c>
      <c r="G218" s="15" t="inlineStr">
        <is>
          <t>horizontal_transfer</t>
        </is>
      </c>
      <c r="H218" s="16" t="inlineStr">
        <is>
          <t>positioning, operating, monitoring</t>
        </is>
      </c>
      <c r="I218" s="16" t="inlineStr">
        <is>
          <t>심화 Miners and Quarriers 실무, 프로젝트 관리 역량</t>
        </is>
      </c>
      <c r="J218" s="16" t="inlineStr">
        <is>
          <t>실무 1년 이상 및 전문 자격</t>
        </is>
      </c>
      <c r="K218" s="15" t="inlineStr">
        <is>
          <t>★☆☆☆☆</t>
        </is>
      </c>
      <c r="L218" s="20" t="inlineStr">
        <is>
          <t>+8.0%</t>
        </is>
      </c>
    </row>
    <row r="219">
      <c r="A219" s="17" t="inlineStr">
        <is>
          <t>TR-0218</t>
        </is>
      </c>
      <c r="B219" s="17" t="inlineStr">
        <is>
          <t>3122</t>
        </is>
      </c>
      <c r="C219" s="18" t="inlineStr">
        <is>
          <t>Manufacturing Supervisors</t>
        </is>
      </c>
      <c r="D219" s="17" t="inlineStr">
        <is>
          <t>1321</t>
        </is>
      </c>
      <c r="E219" s="18" t="inlineStr">
        <is>
          <t>Manufacturing Managers</t>
        </is>
      </c>
      <c r="F219" s="18" t="inlineStr">
        <is>
          <t>반도체 / 전자회로 / 하드웨어</t>
        </is>
      </c>
      <c r="G219" s="17" t="inlineStr">
        <is>
          <t>vertical_promotion</t>
        </is>
      </c>
      <c r="H219" s="18" t="inlineStr">
        <is>
          <t>determining, implementing, monitoring</t>
        </is>
      </c>
      <c r="I219" s="18" t="inlineStr">
        <is>
          <t>심화 Manufacturing Managers 실무, 프로젝트 관리 역량</t>
        </is>
      </c>
      <c r="J219" s="18" t="inlineStr">
        <is>
          <t>실무 4년 이상 및 전문 자격</t>
        </is>
      </c>
      <c r="K219" s="17" t="inlineStr">
        <is>
          <t>★★★★☆</t>
        </is>
      </c>
      <c r="L219" s="21" t="inlineStr">
        <is>
          <t>+35.0%</t>
        </is>
      </c>
    </row>
    <row r="220">
      <c r="A220" s="15" t="inlineStr">
        <is>
          <t>TR-0219</t>
        </is>
      </c>
      <c r="B220" s="15" t="inlineStr">
        <is>
          <t>3123</t>
        </is>
      </c>
      <c r="C220" s="16" t="inlineStr">
        <is>
          <t>Construction Supervisors</t>
        </is>
      </c>
      <c r="D220" s="15" t="inlineStr">
        <is>
          <t>1323</t>
        </is>
      </c>
      <c r="E220" s="16" t="inlineStr">
        <is>
          <t>Construction Managers</t>
        </is>
      </c>
      <c r="F220" s="16" t="inlineStr">
        <is>
          <t>반도체 / 전자회로 / 하드웨어</t>
        </is>
      </c>
      <c r="G220" s="15" t="inlineStr">
        <is>
          <t>vertical_promotion</t>
        </is>
      </c>
      <c r="H220" s="16" t="inlineStr">
        <is>
          <t>interpreting, architectural, drawings</t>
        </is>
      </c>
      <c r="I220" s="16" t="inlineStr">
        <is>
          <t>심화 Construction Managers 실무, 프로젝트 관리 역량</t>
        </is>
      </c>
      <c r="J220" s="16" t="inlineStr">
        <is>
          <t>실무 4년 이상 및 전문 자격</t>
        </is>
      </c>
      <c r="K220" s="15" t="inlineStr">
        <is>
          <t>★★★★☆</t>
        </is>
      </c>
      <c r="L220" s="20" t="inlineStr">
        <is>
          <t>+35.0%</t>
        </is>
      </c>
    </row>
    <row r="221">
      <c r="A221" s="17" t="inlineStr">
        <is>
          <t>TR-0220</t>
        </is>
      </c>
      <c r="B221" s="17" t="inlineStr">
        <is>
          <t>3123</t>
        </is>
      </c>
      <c r="C221" s="18" t="inlineStr">
        <is>
          <t>Construction Supervisors</t>
        </is>
      </c>
      <c r="D221" s="17" t="inlineStr">
        <is>
          <t>3112</t>
        </is>
      </c>
      <c r="E221" s="18" t="inlineStr">
        <is>
          <t>Civil Engineering Technicians</t>
        </is>
      </c>
      <c r="F221" s="18" t="inlineStr">
        <is>
          <t>반도체 / 전자회로 / 하드웨어</t>
        </is>
      </c>
      <c r="G221" s="17" t="inlineStr">
        <is>
          <t>horizontal_transfer</t>
        </is>
      </c>
      <c r="H221" s="18" t="inlineStr">
        <is>
          <t>assisting, with, field</t>
        </is>
      </c>
      <c r="I221" s="18" t="inlineStr">
        <is>
          <t>심화 Civil Engineering Technicians 실무, 프로젝트 관리 역량</t>
        </is>
      </c>
      <c r="J221" s="18" t="inlineStr">
        <is>
          <t>실무 1년 이상 및 전문 자격</t>
        </is>
      </c>
      <c r="K221" s="17" t="inlineStr">
        <is>
          <t>★★☆☆☆</t>
        </is>
      </c>
      <c r="L221" s="21" t="inlineStr">
        <is>
          <t>+15.0%</t>
        </is>
      </c>
    </row>
    <row r="222">
      <c r="A222" s="15" t="inlineStr">
        <is>
          <t>TR-0221</t>
        </is>
      </c>
      <c r="B222" s="15" t="inlineStr">
        <is>
          <t>3131</t>
        </is>
      </c>
      <c r="C222" s="16" t="inlineStr">
        <is>
          <t>Power Production Plant Operators</t>
        </is>
      </c>
      <c r="D222" s="15" t="inlineStr">
        <is>
          <t>8182</t>
        </is>
      </c>
      <c r="E222" s="16" t="inlineStr">
        <is>
          <t>Steam Engine and Boiler Operators</t>
        </is>
      </c>
      <c r="F222" s="16" t="inlineStr">
        <is>
          <t>반도체 / 전자회로 / 하드웨어</t>
        </is>
      </c>
      <c r="G222" s="15" t="inlineStr">
        <is>
          <t>horizontal_transfer</t>
        </is>
      </c>
      <c r="H222" s="16" t="inlineStr">
        <is>
          <t>operating, cleaning, lubricating</t>
        </is>
      </c>
      <c r="I222" s="16" t="inlineStr">
        <is>
          <t>심화 Steam Engine and Boiler Operators 실무, 프로젝트 관리 역량</t>
        </is>
      </c>
      <c r="J222" s="16" t="inlineStr">
        <is>
          <t>실무 1년 이상 및 전문 자격</t>
        </is>
      </c>
      <c r="K222" s="15" t="inlineStr">
        <is>
          <t>★☆☆☆☆</t>
        </is>
      </c>
      <c r="L222" s="20" t="inlineStr">
        <is>
          <t>+8.0%</t>
        </is>
      </c>
    </row>
    <row r="223">
      <c r="A223" s="17" t="inlineStr">
        <is>
          <t>TR-0222</t>
        </is>
      </c>
      <c r="B223" s="17" t="inlineStr">
        <is>
          <t>3133</t>
        </is>
      </c>
      <c r="C223" s="18" t="inlineStr">
        <is>
          <t>Chemical Processing Plant Controllers</t>
        </is>
      </c>
      <c r="D223" s="17" t="inlineStr">
        <is>
          <t>3134</t>
        </is>
      </c>
      <c r="E223" s="18" t="inlineStr">
        <is>
          <t>Petroleum and Natural Gas Refining Plant Operators</t>
        </is>
      </c>
      <c r="F223" s="18" t="inlineStr">
        <is>
          <t>반도체 / 전자회로 / 하드웨어</t>
        </is>
      </c>
      <c r="G223" s="17" t="inlineStr">
        <is>
          <t>horizontal_transfer</t>
        </is>
      </c>
      <c r="H223" s="18" t="inlineStr">
        <is>
          <t>operating, electronic, computerized</t>
        </is>
      </c>
      <c r="I223" s="18" t="inlineStr">
        <is>
          <t>심화 Petroleum and Natural Gas Refining Plant Operators 실무, 프로젝트 관리 역량</t>
        </is>
      </c>
      <c r="J223" s="18" t="inlineStr">
        <is>
          <t>실무 1년 이상 및 전문 자격</t>
        </is>
      </c>
      <c r="K223" s="17" t="inlineStr">
        <is>
          <t>★★☆☆☆</t>
        </is>
      </c>
      <c r="L223" s="21" t="inlineStr">
        <is>
          <t>+15.0%</t>
        </is>
      </c>
    </row>
    <row r="224">
      <c r="A224" s="15" t="inlineStr">
        <is>
          <t>TR-0223</t>
        </is>
      </c>
      <c r="B224" s="15" t="inlineStr">
        <is>
          <t>3133</t>
        </is>
      </c>
      <c r="C224" s="16" t="inlineStr">
        <is>
          <t>Chemical Processing Plant Controllers</t>
        </is>
      </c>
      <c r="D224" s="15" t="inlineStr">
        <is>
          <t>8131</t>
        </is>
      </c>
      <c r="E224" s="16" t="inlineStr">
        <is>
          <t>Chemical Products Plant and Machine Operators</t>
        </is>
      </c>
      <c r="F224" s="16" t="inlineStr">
        <is>
          <t>반도체 / 전자회로 / 하드웨어</t>
        </is>
      </c>
      <c r="G224" s="15" t="inlineStr">
        <is>
          <t>horizontal_transfer</t>
        </is>
      </c>
      <c r="H224" s="16" t="inlineStr">
        <is>
          <t>setting, starting, controlling</t>
        </is>
      </c>
      <c r="I224" s="16" t="inlineStr">
        <is>
          <t>심화 Chemical Products Plant and Machine Operators 실무, 프로젝트 관리 역량</t>
        </is>
      </c>
      <c r="J224" s="16" t="inlineStr">
        <is>
          <t>실무 1년 이상 및 전문 자격</t>
        </is>
      </c>
      <c r="K224" s="15" t="inlineStr">
        <is>
          <t>★☆☆☆☆</t>
        </is>
      </c>
      <c r="L224" s="20" t="inlineStr">
        <is>
          <t>+8.0%</t>
        </is>
      </c>
    </row>
    <row r="225">
      <c r="A225" s="17" t="inlineStr">
        <is>
          <t>TR-0224</t>
        </is>
      </c>
      <c r="B225" s="17" t="inlineStr">
        <is>
          <t>3134</t>
        </is>
      </c>
      <c r="C225" s="18" t="inlineStr">
        <is>
          <t>Petroleum and Natural Gas Refining Plant Operators</t>
        </is>
      </c>
      <c r="D225" s="17" t="inlineStr">
        <is>
          <t>3133</t>
        </is>
      </c>
      <c r="E225" s="18" t="inlineStr">
        <is>
          <t>Chemical Processing Plant Controllers</t>
        </is>
      </c>
      <c r="F225" s="18" t="inlineStr">
        <is>
          <t>반도체 / 전자회로 / 하드웨어</t>
        </is>
      </c>
      <c r="G225" s="17" t="inlineStr">
        <is>
          <t>horizontal_transfer</t>
        </is>
      </c>
      <c r="H225" s="18" t="inlineStr">
        <is>
          <t>operating, electronic, computerized</t>
        </is>
      </c>
      <c r="I225" s="18" t="inlineStr">
        <is>
          <t>심화 Chemical Processing Plant Controllers 실무, 프로젝트 관리 역량</t>
        </is>
      </c>
      <c r="J225" s="18" t="inlineStr">
        <is>
          <t>실무 1년 이상 및 전문 자격</t>
        </is>
      </c>
      <c r="K225" s="17" t="inlineStr">
        <is>
          <t>★★☆☆☆</t>
        </is>
      </c>
      <c r="L225" s="21" t="inlineStr">
        <is>
          <t>+15.0%</t>
        </is>
      </c>
    </row>
    <row r="226">
      <c r="A226" s="15" t="inlineStr">
        <is>
          <t>TR-0225</t>
        </is>
      </c>
      <c r="B226" s="15" t="inlineStr">
        <is>
          <t>3134</t>
        </is>
      </c>
      <c r="C226" s="16" t="inlineStr">
        <is>
          <t>Petroleum and Natural Gas Refining Plant Operators</t>
        </is>
      </c>
      <c r="D226" s="15" t="inlineStr">
        <is>
          <t>8131</t>
        </is>
      </c>
      <c r="E226" s="16" t="inlineStr">
        <is>
          <t>Chemical Products Plant and Machine Operators</t>
        </is>
      </c>
      <c r="F226" s="16" t="inlineStr">
        <is>
          <t>반도체 / 전자회로 / 하드웨어</t>
        </is>
      </c>
      <c r="G226" s="15" t="inlineStr">
        <is>
          <t>horizontal_transfer</t>
        </is>
      </c>
      <c r="H226" s="16" t="inlineStr">
        <is>
          <t>setting, starting, controlling</t>
        </is>
      </c>
      <c r="I226" s="16" t="inlineStr">
        <is>
          <t>심화 Chemical Products Plant and Machine Operators 실무, 프로젝트 관리 역량</t>
        </is>
      </c>
      <c r="J226" s="16" t="inlineStr">
        <is>
          <t>실무 1년 이상 및 전문 자격</t>
        </is>
      </c>
      <c r="K226" s="15" t="inlineStr">
        <is>
          <t>★☆☆☆☆</t>
        </is>
      </c>
      <c r="L226" s="20" t="inlineStr">
        <is>
          <t>+8.0%</t>
        </is>
      </c>
    </row>
    <row r="227">
      <c r="A227" s="17" t="inlineStr">
        <is>
          <t>TR-0226</t>
        </is>
      </c>
      <c r="B227" s="17" t="inlineStr">
        <is>
          <t>3135</t>
        </is>
      </c>
      <c r="C227" s="18" t="inlineStr">
        <is>
          <t>Metal Production Process Controllers</t>
        </is>
      </c>
      <c r="D227" s="17" t="inlineStr">
        <is>
          <t>8121</t>
        </is>
      </c>
      <c r="E227" s="18" t="inlineStr">
        <is>
          <t>Metal Processing Plant Operators</t>
        </is>
      </c>
      <c r="F227" s="18" t="inlineStr">
        <is>
          <t>반도체 / 전자회로 / 하드웨어</t>
        </is>
      </c>
      <c r="G227" s="17" t="inlineStr">
        <is>
          <t>horizontal_transfer</t>
        </is>
      </c>
      <c r="H227" s="18" t="inlineStr">
        <is>
          <t>setting, preparing, adjusting</t>
        </is>
      </c>
      <c r="I227" s="18" t="inlineStr">
        <is>
          <t>심화 Metal Processing Plant Operators 실무, 프로젝트 관리 역량</t>
        </is>
      </c>
      <c r="J227" s="18" t="inlineStr">
        <is>
          <t>실무 1년 이상 및 전문 자격</t>
        </is>
      </c>
      <c r="K227" s="17" t="inlineStr">
        <is>
          <t>★☆☆☆☆</t>
        </is>
      </c>
      <c r="L227" s="21" t="inlineStr">
        <is>
          <t>+8.0%</t>
        </is>
      </c>
    </row>
    <row r="228">
      <c r="A228" s="15" t="inlineStr">
        <is>
          <t>TR-0227</t>
        </is>
      </c>
      <c r="B228" s="15" t="inlineStr">
        <is>
          <t>3135</t>
        </is>
      </c>
      <c r="C228" s="16" t="inlineStr">
        <is>
          <t>Metal Production Process Controllers</t>
        </is>
      </c>
      <c r="D228" s="15" t="inlineStr">
        <is>
          <t>8122</t>
        </is>
      </c>
      <c r="E228" s="16" t="inlineStr">
        <is>
          <t>Metal Finishing, Plating and Coating Machine Operators</t>
        </is>
      </c>
      <c r="F228" s="16" t="inlineStr">
        <is>
          <t>반도체 / 전자회로 / 하드웨어</t>
        </is>
      </c>
      <c r="G228" s="15" t="inlineStr">
        <is>
          <t>horizontal_transfer</t>
        </is>
      </c>
      <c r="H228" s="16" t="inlineStr">
        <is>
          <t>operating, monitoring, equipment</t>
        </is>
      </c>
      <c r="I228" s="16" t="inlineStr">
        <is>
          <t>심화 Metal Finishing, Plating and Coating Machine Operators 실무, 프로젝트 관리 역량</t>
        </is>
      </c>
      <c r="J228" s="16" t="inlineStr">
        <is>
          <t>실무 1년 이상 및 전문 자격</t>
        </is>
      </c>
      <c r="K228" s="15" t="inlineStr">
        <is>
          <t>★☆☆☆☆</t>
        </is>
      </c>
      <c r="L228" s="20" t="inlineStr">
        <is>
          <t>+8.0%</t>
        </is>
      </c>
    </row>
    <row r="229">
      <c r="A229" s="17" t="inlineStr">
        <is>
          <t>TR-0228</t>
        </is>
      </c>
      <c r="B229" s="17" t="inlineStr">
        <is>
          <t>3141</t>
        </is>
      </c>
      <c r="C229" s="18" t="inlineStr">
        <is>
          <t>Life Science Technicians (excluding Medical)</t>
        </is>
      </c>
      <c r="D229" s="17" t="inlineStr">
        <is>
          <t>3119</t>
        </is>
      </c>
      <c r="E229" s="18" t="inlineStr">
        <is>
          <t>Physical and Engineering Science Technicians Not Elsewhere Classified</t>
        </is>
      </c>
      <c r="F229" s="18" t="inlineStr">
        <is>
          <t>반도체 / 전자회로 / 하드웨어</t>
        </is>
      </c>
      <c r="G229" s="17" t="inlineStr">
        <is>
          <t>horizontal_transfer</t>
        </is>
      </c>
      <c r="H229" s="18" t="inlineStr">
        <is>
          <t>such, cases, would</t>
        </is>
      </c>
      <c r="I229" s="18" t="inlineStr">
        <is>
          <t>심화 Physical and Engineering Science Technicians Not Elsewhere Classified 실무, 프로젝트 관리 역량</t>
        </is>
      </c>
      <c r="J229" s="18" t="inlineStr">
        <is>
          <t>실무 1년 이상 및 전문 자격</t>
        </is>
      </c>
      <c r="K229" s="17" t="inlineStr">
        <is>
          <t>★★☆☆☆</t>
        </is>
      </c>
      <c r="L229" s="21" t="inlineStr">
        <is>
          <t>+15.0%</t>
        </is>
      </c>
    </row>
    <row r="230">
      <c r="A230" s="15" t="inlineStr">
        <is>
          <t>TR-0229</t>
        </is>
      </c>
      <c r="B230" s="15" t="inlineStr">
        <is>
          <t>3141</t>
        </is>
      </c>
      <c r="C230" s="16" t="inlineStr">
        <is>
          <t>Life Science Technicians (excluding Medical)</t>
        </is>
      </c>
      <c r="D230" s="15" t="inlineStr">
        <is>
          <t>3212</t>
        </is>
      </c>
      <c r="E230" s="16" t="inlineStr">
        <is>
          <t>Medical and Pathology Laboratory Technicians</t>
        </is>
      </c>
      <c r="F230" s="16" t="inlineStr">
        <is>
          <t>반도체 / 전자회로 / 하드웨어</t>
        </is>
      </c>
      <c r="G230" s="15" t="inlineStr">
        <is>
          <t>horizontal_transfer</t>
        </is>
      </c>
      <c r="H230" s="16" t="inlineStr">
        <is>
          <t>conducting, chemical, analysis</t>
        </is>
      </c>
      <c r="I230" s="16" t="inlineStr">
        <is>
          <t>심화 Medical and Pathology Laboratory Technicians 실무, 프로젝트 관리 역량</t>
        </is>
      </c>
      <c r="J230" s="16" t="inlineStr">
        <is>
          <t>실무 1년 이상 및 전문 자격</t>
        </is>
      </c>
      <c r="K230" s="15" t="inlineStr">
        <is>
          <t>★★☆☆☆</t>
        </is>
      </c>
      <c r="L230" s="20" t="inlineStr">
        <is>
          <t>+15.0%</t>
        </is>
      </c>
    </row>
    <row r="231">
      <c r="A231" s="17" t="inlineStr">
        <is>
          <t>TR-0230</t>
        </is>
      </c>
      <c r="B231" s="17" t="inlineStr">
        <is>
          <t>3141</t>
        </is>
      </c>
      <c r="C231" s="18" t="inlineStr">
        <is>
          <t>Life Science Technicians (excluding Medical)</t>
        </is>
      </c>
      <c r="D231" s="17" t="inlineStr">
        <is>
          <t>3213</t>
        </is>
      </c>
      <c r="E231" s="18" t="inlineStr">
        <is>
          <t>Pharmaceutical Technicians and Assistants</t>
        </is>
      </c>
      <c r="F231" s="18" t="inlineStr">
        <is>
          <t>반도체 / 전자회로 / 하드웨어</t>
        </is>
      </c>
      <c r="G231" s="17" t="inlineStr">
        <is>
          <t>horizontal_transfer</t>
        </is>
      </c>
      <c r="H231" s="18" t="inlineStr">
        <is>
          <t>preparing, medications, other</t>
        </is>
      </c>
      <c r="I231" s="18" t="inlineStr">
        <is>
          <t>심화 Pharmaceutical Technicians and Assistants 실무, 프로젝트 관리 역량</t>
        </is>
      </c>
      <c r="J231" s="18" t="inlineStr">
        <is>
          <t>실무 1년 이상 및 전문 자격</t>
        </is>
      </c>
      <c r="K231" s="17" t="inlineStr">
        <is>
          <t>★★☆☆☆</t>
        </is>
      </c>
      <c r="L231" s="21" t="inlineStr">
        <is>
          <t>+15.0%</t>
        </is>
      </c>
    </row>
    <row r="232">
      <c r="A232" s="15" t="inlineStr">
        <is>
          <t>TR-0231</t>
        </is>
      </c>
      <c r="B232" s="15" t="inlineStr">
        <is>
          <t>3142</t>
        </is>
      </c>
      <c r="C232" s="16" t="inlineStr">
        <is>
          <t>Agricultural Technicians</t>
        </is>
      </c>
      <c r="D232" s="15" t="inlineStr">
        <is>
          <t>3240</t>
        </is>
      </c>
      <c r="E232" s="16" t="inlineStr">
        <is>
          <t>Veterinary Technicians and Assistants</t>
        </is>
      </c>
      <c r="F232" s="16" t="inlineStr">
        <is>
          <t>반도체 / 전자회로 / 하드웨어</t>
        </is>
      </c>
      <c r="G232" s="15" t="inlineStr">
        <is>
          <t>horizontal_transfer</t>
        </is>
      </c>
      <c r="H232" s="16" t="inlineStr">
        <is>
          <t>advising, communities, individuals</t>
        </is>
      </c>
      <c r="I232" s="16" t="inlineStr">
        <is>
          <t>심화 Veterinary Technicians and Assistants 실무, 프로젝트 관리 역량</t>
        </is>
      </c>
      <c r="J232" s="16" t="inlineStr">
        <is>
          <t>실무 1년 이상 및 전문 자격</t>
        </is>
      </c>
      <c r="K232" s="15" t="inlineStr">
        <is>
          <t>★★☆☆☆</t>
        </is>
      </c>
      <c r="L232" s="20" t="inlineStr">
        <is>
          <t>+15.0%</t>
        </is>
      </c>
    </row>
    <row r="233">
      <c r="A233" s="17" t="inlineStr">
        <is>
          <t>TR-0232</t>
        </is>
      </c>
      <c r="B233" s="17" t="inlineStr">
        <is>
          <t>3151</t>
        </is>
      </c>
      <c r="C233" s="18" t="inlineStr">
        <is>
          <t>Ships' Engineers</t>
        </is>
      </c>
      <c r="D233" s="17" t="inlineStr">
        <is>
          <t>2144</t>
        </is>
      </c>
      <c r="E233" s="18" t="inlineStr">
        <is>
          <t>Mechanical Engineers</t>
        </is>
      </c>
      <c r="F233" s="18" t="inlineStr">
        <is>
          <t>반도체 / 전자회로 / 하드웨어</t>
        </is>
      </c>
      <c r="G233" s="17" t="inlineStr">
        <is>
          <t>vertical_promotion</t>
        </is>
      </c>
      <c r="H233" s="18" t="inlineStr">
        <is>
          <t>advising, designing, machinery</t>
        </is>
      </c>
      <c r="I233" s="18" t="inlineStr">
        <is>
          <t>심화 Mechanical Engineers 실무, 프로젝트 관리 역량</t>
        </is>
      </c>
      <c r="J233" s="18" t="inlineStr">
        <is>
          <t>실무 2년 이상 및 전문 자격</t>
        </is>
      </c>
      <c r="K233" s="17" t="inlineStr">
        <is>
          <t>★★★☆☆</t>
        </is>
      </c>
      <c r="L233" s="21" t="inlineStr">
        <is>
          <t>+25.0%</t>
        </is>
      </c>
    </row>
    <row r="234">
      <c r="A234" s="15" t="inlineStr">
        <is>
          <t>TR-0233</t>
        </is>
      </c>
      <c r="B234" s="15" t="inlineStr">
        <is>
          <t>3152</t>
        </is>
      </c>
      <c r="C234" s="16" t="inlineStr">
        <is>
          <t>Ships' Deck Officers and Pilots</t>
        </is>
      </c>
      <c r="D234" s="15" t="inlineStr">
        <is>
          <t>6222</t>
        </is>
      </c>
      <c r="E234" s="16" t="inlineStr">
        <is>
          <t>Inland and Coastal Waters Fishery Workers</t>
        </is>
      </c>
      <c r="F234" s="16" t="inlineStr">
        <is>
          <t>반도체 / 전자회로 / 하드웨어</t>
        </is>
      </c>
      <c r="G234" s="15" t="inlineStr">
        <is>
          <t>horizontal_transfer</t>
        </is>
      </c>
      <c r="H234" s="16" t="inlineStr">
        <is>
          <t>preparing, repairing, nets</t>
        </is>
      </c>
      <c r="I234" s="16" t="inlineStr">
        <is>
          <t>심화 Inland and Coastal Waters Fishery Workers 실무, 프로젝트 관리 역량</t>
        </is>
      </c>
      <c r="J234" s="16" t="inlineStr">
        <is>
          <t>실무 1년 이상 및 전문 자격</t>
        </is>
      </c>
      <c r="K234" s="15" t="inlineStr">
        <is>
          <t>★☆☆☆☆</t>
        </is>
      </c>
      <c r="L234" s="20" t="inlineStr">
        <is>
          <t>+8.0%</t>
        </is>
      </c>
    </row>
    <row r="235">
      <c r="A235" s="17" t="inlineStr">
        <is>
          <t>TR-0234</t>
        </is>
      </c>
      <c r="B235" s="17" t="inlineStr">
        <is>
          <t>3152</t>
        </is>
      </c>
      <c r="C235" s="18" t="inlineStr">
        <is>
          <t>Ships' Deck Officers and Pilots</t>
        </is>
      </c>
      <c r="D235" s="17" t="inlineStr">
        <is>
          <t>6223</t>
        </is>
      </c>
      <c r="E235" s="18" t="inlineStr">
        <is>
          <t>Deep-sea Fishery Workers</t>
        </is>
      </c>
      <c r="F235" s="18" t="inlineStr">
        <is>
          <t>반도체 / 전자회로 / 하드웨어</t>
        </is>
      </c>
      <c r="G235" s="17" t="inlineStr">
        <is>
          <t>horizontal_transfer</t>
        </is>
      </c>
      <c r="H235" s="18" t="inlineStr">
        <is>
          <t>preparing, repairing, nets</t>
        </is>
      </c>
      <c r="I235" s="18" t="inlineStr">
        <is>
          <t>심화 Deep-sea Fishery Workers 실무, 프로젝트 관리 역량</t>
        </is>
      </c>
      <c r="J235" s="18" t="inlineStr">
        <is>
          <t>실무 1년 이상 및 전문 자격</t>
        </is>
      </c>
      <c r="K235" s="17" t="inlineStr">
        <is>
          <t>★☆☆☆☆</t>
        </is>
      </c>
      <c r="L235" s="21" t="inlineStr">
        <is>
          <t>+8.0%</t>
        </is>
      </c>
    </row>
    <row r="236">
      <c r="A236" s="15" t="inlineStr">
        <is>
          <t>TR-0235</t>
        </is>
      </c>
      <c r="B236" s="15" t="inlineStr">
        <is>
          <t>3152</t>
        </is>
      </c>
      <c r="C236" s="16" t="inlineStr">
        <is>
          <t>Ships' Deck Officers and Pilots</t>
        </is>
      </c>
      <c r="D236" s="15" t="inlineStr">
        <is>
          <t>8350</t>
        </is>
      </c>
      <c r="E236" s="16" t="inlineStr">
        <is>
          <t>Ships' Deck Crews and Related Workers</t>
        </is>
      </c>
      <c r="F236" s="16" t="inlineStr">
        <is>
          <t>반도체 / 전자회로 / 하드웨어</t>
        </is>
      </c>
      <c r="G236" s="15" t="inlineStr">
        <is>
          <t>horizontal_transfer</t>
        </is>
      </c>
      <c r="H236" s="16" t="inlineStr">
        <is>
          <t>standing, look, watches</t>
        </is>
      </c>
      <c r="I236" s="16" t="inlineStr">
        <is>
          <t>심화 Ships' Deck Crews and Related Workers 실무, 프로젝트 관리 역량</t>
        </is>
      </c>
      <c r="J236" s="16" t="inlineStr">
        <is>
          <t>실무 1년 이상 및 전문 자격</t>
        </is>
      </c>
      <c r="K236" s="15" t="inlineStr">
        <is>
          <t>★☆☆☆☆</t>
        </is>
      </c>
      <c r="L236" s="20" t="inlineStr">
        <is>
          <t>+8.0%</t>
        </is>
      </c>
    </row>
    <row r="237">
      <c r="A237" s="17" t="inlineStr">
        <is>
          <t>TR-0236</t>
        </is>
      </c>
      <c r="B237" s="17" t="inlineStr">
        <is>
          <t>3155</t>
        </is>
      </c>
      <c r="C237" s="18" t="inlineStr">
        <is>
          <t>Air Traffic Safety Electronics Technicians</t>
        </is>
      </c>
      <c r="D237" s="17" t="inlineStr">
        <is>
          <t>2144</t>
        </is>
      </c>
      <c r="E237" s="18" t="inlineStr">
        <is>
          <t>Mechanical Engineers</t>
        </is>
      </c>
      <c r="F237" s="18" t="inlineStr">
        <is>
          <t>반도체 / 전자회로 / 하드웨어</t>
        </is>
      </c>
      <c r="G237" s="17" t="inlineStr">
        <is>
          <t>vertical_promotion</t>
        </is>
      </c>
      <c r="H237" s="18" t="inlineStr">
        <is>
          <t>advising, designing, machinery</t>
        </is>
      </c>
      <c r="I237" s="18" t="inlineStr">
        <is>
          <t>심화 Mechanical Engineers 실무, 프로젝트 관리 역량</t>
        </is>
      </c>
      <c r="J237" s="18" t="inlineStr">
        <is>
          <t>실무 2년 이상 및 전문 자격</t>
        </is>
      </c>
      <c r="K237" s="17" t="inlineStr">
        <is>
          <t>★★★☆☆</t>
        </is>
      </c>
      <c r="L237" s="21" t="inlineStr">
        <is>
          <t>+25.0%</t>
        </is>
      </c>
    </row>
    <row r="238">
      <c r="A238" s="15" t="inlineStr">
        <is>
          <t>TR-0237</t>
        </is>
      </c>
      <c r="B238" s="15" t="inlineStr">
        <is>
          <t>3155</t>
        </is>
      </c>
      <c r="C238" s="16" t="inlineStr">
        <is>
          <t>Air Traffic Safety Electronics Technicians</t>
        </is>
      </c>
      <c r="D238" s="15" t="inlineStr">
        <is>
          <t>2152</t>
        </is>
      </c>
      <c r="E238" s="16" t="inlineStr">
        <is>
          <t>Electronics Engineers</t>
        </is>
      </c>
      <c r="F238" s="16" t="inlineStr">
        <is>
          <t>반도체 / 전자회로 / 하드웨어</t>
        </is>
      </c>
      <c r="G238" s="15" t="inlineStr">
        <is>
          <t>vertical_promotion</t>
        </is>
      </c>
      <c r="H238" s="16" t="inlineStr">
        <is>
          <t>advising, designing, electronic</t>
        </is>
      </c>
      <c r="I238" s="16" t="inlineStr">
        <is>
          <t>심화 Electronics Engineers 실무, 프로젝트 관리 역량</t>
        </is>
      </c>
      <c r="J238" s="16" t="inlineStr">
        <is>
          <t>실무 2년 이상 및 전문 자격</t>
        </is>
      </c>
      <c r="K238" s="15" t="inlineStr">
        <is>
          <t>★★★☆☆</t>
        </is>
      </c>
      <c r="L238" s="20" t="inlineStr">
        <is>
          <t>+25.0%</t>
        </is>
      </c>
    </row>
    <row r="239">
      <c r="A239" s="17" t="inlineStr">
        <is>
          <t>TR-0238</t>
        </is>
      </c>
      <c r="B239" s="17" t="inlineStr">
        <is>
          <t>3155</t>
        </is>
      </c>
      <c r="C239" s="18" t="inlineStr">
        <is>
          <t>Air Traffic Safety Electronics Technicians</t>
        </is>
      </c>
      <c r="D239" s="17" t="inlineStr">
        <is>
          <t>7232</t>
        </is>
      </c>
      <c r="E239" s="18" t="inlineStr">
        <is>
          <t>Aircraft Engine Mechanics and Repairers</t>
        </is>
      </c>
      <c r="F239" s="18" t="inlineStr">
        <is>
          <t>반도체 / 전자회로 / 하드웨어</t>
        </is>
      </c>
      <c r="G239" s="17" t="inlineStr">
        <is>
          <t>horizontal_transfer</t>
        </is>
      </c>
      <c r="H239" s="18" t="inlineStr">
        <is>
          <t>fitting, examining, testing</t>
        </is>
      </c>
      <c r="I239" s="18" t="inlineStr">
        <is>
          <t>심화 Aircraft Engine Mechanics and Repairers 실무, 프로젝트 관리 역량</t>
        </is>
      </c>
      <c r="J239" s="18" t="inlineStr">
        <is>
          <t>실무 1년 이상 및 전문 자격</t>
        </is>
      </c>
      <c r="K239" s="17" t="inlineStr">
        <is>
          <t>★☆☆☆☆</t>
        </is>
      </c>
      <c r="L239" s="21" t="inlineStr">
        <is>
          <t>+8.0%</t>
        </is>
      </c>
    </row>
    <row r="240">
      <c r="A240" s="15" t="inlineStr">
        <is>
          <t>TR-0239</t>
        </is>
      </c>
      <c r="B240" s="15" t="inlineStr">
        <is>
          <t>3155</t>
        </is>
      </c>
      <c r="C240" s="16" t="inlineStr">
        <is>
          <t>Air Traffic Safety Electronics Technicians</t>
        </is>
      </c>
      <c r="D240" s="15" t="inlineStr">
        <is>
          <t>7421</t>
        </is>
      </c>
      <c r="E240" s="16" t="inlineStr">
        <is>
          <t>Electronics Mechanics and Servicers</t>
        </is>
      </c>
      <c r="F240" s="16" t="inlineStr">
        <is>
          <t>반도체 / 전자회로 / 하드웨어</t>
        </is>
      </c>
      <c r="G240" s="15" t="inlineStr">
        <is>
          <t>horizontal_transfer</t>
        </is>
      </c>
      <c r="H240" s="16" t="inlineStr">
        <is>
          <t>examining, testing, machines</t>
        </is>
      </c>
      <c r="I240" s="16" t="inlineStr">
        <is>
          <t>심화 Electronics Mechanics and Servicers 실무, 프로젝트 관리 역량</t>
        </is>
      </c>
      <c r="J240" s="16" t="inlineStr">
        <is>
          <t>실무 1년 이상 및 전문 자격</t>
        </is>
      </c>
      <c r="K240" s="15" t="inlineStr">
        <is>
          <t>★☆☆☆☆</t>
        </is>
      </c>
      <c r="L240" s="20" t="inlineStr">
        <is>
          <t>+8.0%</t>
        </is>
      </c>
    </row>
    <row r="241">
      <c r="A241" s="17" t="inlineStr">
        <is>
          <t>TR-0240</t>
        </is>
      </c>
      <c r="B241" s="17" t="inlineStr">
        <is>
          <t>3211</t>
        </is>
      </c>
      <c r="C241" s="18" t="inlineStr">
        <is>
          <t>Medical Imaging and Therapeutic Equipment Technicians</t>
        </is>
      </c>
      <c r="D241" s="17" t="inlineStr">
        <is>
          <t>2111</t>
        </is>
      </c>
      <c r="E241" s="18" t="inlineStr">
        <is>
          <t>Physicists and Astronomers</t>
        </is>
      </c>
      <c r="F241" s="18" t="inlineStr">
        <is>
          <t>바이오 / 제약 / 임상헬스케어</t>
        </is>
      </c>
      <c r="G241" s="17" t="inlineStr">
        <is>
          <t>vertical_promotion</t>
        </is>
      </c>
      <c r="H241" s="18" t="inlineStr">
        <is>
          <t>conducting, research, improving</t>
        </is>
      </c>
      <c r="I241" s="18" t="inlineStr">
        <is>
          <t>심화 Physicists and Astronomers 실무, 프로젝트 관리 역량</t>
        </is>
      </c>
      <c r="J241" s="18" t="inlineStr">
        <is>
          <t>실무 2년 이상 및 전문 자격</t>
        </is>
      </c>
      <c r="K241" s="17" t="inlineStr">
        <is>
          <t>★★★☆☆</t>
        </is>
      </c>
      <c r="L241" s="21" t="inlineStr">
        <is>
          <t>+25.0%</t>
        </is>
      </c>
    </row>
    <row r="242">
      <c r="A242" s="15" t="inlineStr">
        <is>
          <t>TR-0241</t>
        </is>
      </c>
      <c r="B242" s="15" t="inlineStr">
        <is>
          <t>3211</t>
        </is>
      </c>
      <c r="C242" s="16" t="inlineStr">
        <is>
          <t>Medical Imaging and Therapeutic Equipment Technicians</t>
        </is>
      </c>
      <c r="D242" s="15" t="inlineStr">
        <is>
          <t>2212</t>
        </is>
      </c>
      <c r="E242" s="16" t="inlineStr">
        <is>
          <t>Specialist Medical Practitioners</t>
        </is>
      </c>
      <c r="F242" s="16" t="inlineStr">
        <is>
          <t>바이오 / 제약 / 임상헬스케어</t>
        </is>
      </c>
      <c r="G242" s="15" t="inlineStr">
        <is>
          <t>vertical_promotion</t>
        </is>
      </c>
      <c r="H242" s="16" t="inlineStr">
        <is>
          <t>conducting, physical, examinations</t>
        </is>
      </c>
      <c r="I242" s="16" t="inlineStr">
        <is>
          <t>심화 Specialist Medical Practitioners 실무, 프로젝트 관리 역량</t>
        </is>
      </c>
      <c r="J242" s="16" t="inlineStr">
        <is>
          <t>실무 2년 이상 및 전문 자격</t>
        </is>
      </c>
      <c r="K242" s="15" t="inlineStr">
        <is>
          <t>★★★☆☆</t>
        </is>
      </c>
      <c r="L242" s="20" t="inlineStr">
        <is>
          <t>+25.0%</t>
        </is>
      </c>
    </row>
    <row r="243">
      <c r="A243" s="17" t="inlineStr">
        <is>
          <t>TR-0242</t>
        </is>
      </c>
      <c r="B243" s="17" t="inlineStr">
        <is>
          <t>3211</t>
        </is>
      </c>
      <c r="C243" s="18" t="inlineStr">
        <is>
          <t>Medical Imaging and Therapeutic Equipment Technicians</t>
        </is>
      </c>
      <c r="D243" s="17" t="inlineStr">
        <is>
          <t>2263</t>
        </is>
      </c>
      <c r="E243" s="18" t="inlineStr">
        <is>
          <t>Environmental and Occupational Health and Hygiene Professionals</t>
        </is>
      </c>
      <c r="F243" s="18" t="inlineStr">
        <is>
          <t>바이오 / 제약 / 임상헬스케어</t>
        </is>
      </c>
      <c r="G243" s="17" t="inlineStr">
        <is>
          <t>vertical_promotion</t>
        </is>
      </c>
      <c r="H243" s="18" t="inlineStr">
        <is>
          <t>developing, implementing, reviewing</t>
        </is>
      </c>
      <c r="I243" s="18" t="inlineStr">
        <is>
          <t>심화 Environmental and Occupational Health and Hygiene Professionals 실무, 프로젝트 관리 역량</t>
        </is>
      </c>
      <c r="J243" s="18" t="inlineStr">
        <is>
          <t>실무 2년 이상 및 전문 자격</t>
        </is>
      </c>
      <c r="K243" s="17" t="inlineStr">
        <is>
          <t>★★★☆☆</t>
        </is>
      </c>
      <c r="L243" s="21" t="inlineStr">
        <is>
          <t>+25.0%</t>
        </is>
      </c>
    </row>
    <row r="244">
      <c r="A244" s="15" t="inlineStr">
        <is>
          <t>TR-0243</t>
        </is>
      </c>
      <c r="B244" s="15" t="inlineStr">
        <is>
          <t>3211</t>
        </is>
      </c>
      <c r="C244" s="16" t="inlineStr">
        <is>
          <t>Medical Imaging and Therapeutic Equipment Technicians</t>
        </is>
      </c>
      <c r="D244" s="15" t="inlineStr">
        <is>
          <t>5329</t>
        </is>
      </c>
      <c r="E244" s="16" t="inlineStr">
        <is>
          <t>Personal Care Workers in Health Services Not Elsewhere Classified</t>
        </is>
      </c>
      <c r="F244" s="16" t="inlineStr">
        <is>
          <t>바이오 / 제약 / 임상헬스케어</t>
        </is>
      </c>
      <c r="G244" s="15" t="inlineStr">
        <is>
          <t>horizontal_transfer</t>
        </is>
      </c>
      <c r="H244" s="16" t="inlineStr">
        <is>
          <t>such, cases, would</t>
        </is>
      </c>
      <c r="I244" s="16" t="inlineStr">
        <is>
          <t>심화 Personal Care Workers in Health Services Not Elsewhere Classified 실무, 프로젝트 관리 역량</t>
        </is>
      </c>
      <c r="J244" s="16" t="inlineStr">
        <is>
          <t>실무 1년 이상 및 전문 자격</t>
        </is>
      </c>
      <c r="K244" s="15" t="inlineStr">
        <is>
          <t>★☆☆☆☆</t>
        </is>
      </c>
      <c r="L244" s="20" t="inlineStr">
        <is>
          <t>+8.0%</t>
        </is>
      </c>
    </row>
    <row r="245">
      <c r="A245" s="17" t="inlineStr">
        <is>
          <t>TR-0244</t>
        </is>
      </c>
      <c r="B245" s="17" t="inlineStr">
        <is>
          <t>3212</t>
        </is>
      </c>
      <c r="C245" s="18" t="inlineStr">
        <is>
          <t>Medical and Pathology Laboratory Technicians</t>
        </is>
      </c>
      <c r="D245" s="17" t="inlineStr">
        <is>
          <t>2212</t>
        </is>
      </c>
      <c r="E245" s="18" t="inlineStr">
        <is>
          <t>Specialist Medical Practitioners</t>
        </is>
      </c>
      <c r="F245" s="18" t="inlineStr">
        <is>
          <t>바이오 / 제약 / 임상헬스케어</t>
        </is>
      </c>
      <c r="G245" s="17" t="inlineStr">
        <is>
          <t>vertical_promotion</t>
        </is>
      </c>
      <c r="H245" s="18" t="inlineStr">
        <is>
          <t>conducting, physical, examinations</t>
        </is>
      </c>
      <c r="I245" s="18" t="inlineStr">
        <is>
          <t>심화 Specialist Medical Practitioners 실무, 프로젝트 관리 역량</t>
        </is>
      </c>
      <c r="J245" s="18" t="inlineStr">
        <is>
          <t>실무 2년 이상 및 전문 자격</t>
        </is>
      </c>
      <c r="K245" s="17" t="inlineStr">
        <is>
          <t>★★★☆☆</t>
        </is>
      </c>
      <c r="L245" s="21" t="inlineStr">
        <is>
          <t>+25.0%</t>
        </is>
      </c>
    </row>
    <row r="246">
      <c r="A246" s="15" t="inlineStr">
        <is>
          <t>TR-0245</t>
        </is>
      </c>
      <c r="B246" s="15" t="inlineStr">
        <is>
          <t>3212</t>
        </is>
      </c>
      <c r="C246" s="16" t="inlineStr">
        <is>
          <t>Medical and Pathology Laboratory Technicians</t>
        </is>
      </c>
      <c r="D246" s="15" t="inlineStr">
        <is>
          <t>3119</t>
        </is>
      </c>
      <c r="E246" s="16" t="inlineStr">
        <is>
          <t>Physical and Engineering Science Technicians Not Elsewhere Classified</t>
        </is>
      </c>
      <c r="F246" s="16" t="inlineStr">
        <is>
          <t>바이오 / 제약 / 임상헬스케어</t>
        </is>
      </c>
      <c r="G246" s="15" t="inlineStr">
        <is>
          <t>horizontal_transfer</t>
        </is>
      </c>
      <c r="H246" s="16" t="inlineStr">
        <is>
          <t>such, cases, would</t>
        </is>
      </c>
      <c r="I246" s="16" t="inlineStr">
        <is>
          <t>심화 Physical and Engineering Science Technicians Not Elsewhere Classified 실무, 프로젝트 관리 역량</t>
        </is>
      </c>
      <c r="J246" s="16" t="inlineStr">
        <is>
          <t>실무 1년 이상 및 전문 자격</t>
        </is>
      </c>
      <c r="K246" s="15" t="inlineStr">
        <is>
          <t>★★☆☆☆</t>
        </is>
      </c>
      <c r="L246" s="20" t="inlineStr">
        <is>
          <t>+15.0%</t>
        </is>
      </c>
    </row>
    <row r="247">
      <c r="A247" s="17" t="inlineStr">
        <is>
          <t>TR-0246</t>
        </is>
      </c>
      <c r="B247" s="17" t="inlineStr">
        <is>
          <t>3212</t>
        </is>
      </c>
      <c r="C247" s="18" t="inlineStr">
        <is>
          <t>Medical and Pathology Laboratory Technicians</t>
        </is>
      </c>
      <c r="D247" s="17" t="inlineStr">
        <is>
          <t>3240</t>
        </is>
      </c>
      <c r="E247" s="18" t="inlineStr">
        <is>
          <t>Veterinary Technicians and Assistants</t>
        </is>
      </c>
      <c r="F247" s="18" t="inlineStr">
        <is>
          <t>바이오 / 제약 / 임상헬스케어</t>
        </is>
      </c>
      <c r="G247" s="17" t="inlineStr">
        <is>
          <t>horizontal_transfer</t>
        </is>
      </c>
      <c r="H247" s="18" t="inlineStr">
        <is>
          <t>advising, communities, individuals</t>
        </is>
      </c>
      <c r="I247" s="18" t="inlineStr">
        <is>
          <t>심화 Veterinary Technicians and Assistants 실무, 프로젝트 관리 역량</t>
        </is>
      </c>
      <c r="J247" s="18" t="inlineStr">
        <is>
          <t>실무 1년 이상 및 전문 자격</t>
        </is>
      </c>
      <c r="K247" s="17" t="inlineStr">
        <is>
          <t>★★☆☆☆</t>
        </is>
      </c>
      <c r="L247" s="21" t="inlineStr">
        <is>
          <t>+15.0%</t>
        </is>
      </c>
    </row>
    <row r="248">
      <c r="A248" s="15" t="inlineStr">
        <is>
          <t>TR-0247</t>
        </is>
      </c>
      <c r="B248" s="15" t="inlineStr">
        <is>
          <t>3212</t>
        </is>
      </c>
      <c r="C248" s="16" t="inlineStr">
        <is>
          <t>Medical and Pathology Laboratory Technicians</t>
        </is>
      </c>
      <c r="D248" s="15" t="inlineStr">
        <is>
          <t>5329</t>
        </is>
      </c>
      <c r="E248" s="16" t="inlineStr">
        <is>
          <t>Personal Care Workers in Health Services Not Elsewhere Classified</t>
        </is>
      </c>
      <c r="F248" s="16" t="inlineStr">
        <is>
          <t>바이오 / 제약 / 임상헬스케어</t>
        </is>
      </c>
      <c r="G248" s="15" t="inlineStr">
        <is>
          <t>horizontal_transfer</t>
        </is>
      </c>
      <c r="H248" s="16" t="inlineStr">
        <is>
          <t>such, cases, would</t>
        </is>
      </c>
      <c r="I248" s="16" t="inlineStr">
        <is>
          <t>심화 Personal Care Workers in Health Services Not Elsewhere Classified 실무, 프로젝트 관리 역량</t>
        </is>
      </c>
      <c r="J248" s="16" t="inlineStr">
        <is>
          <t>실무 1년 이상 및 전문 자격</t>
        </is>
      </c>
      <c r="K248" s="15" t="inlineStr">
        <is>
          <t>★☆☆☆☆</t>
        </is>
      </c>
      <c r="L248" s="20" t="inlineStr">
        <is>
          <t>+8.0%</t>
        </is>
      </c>
    </row>
    <row r="249">
      <c r="A249" s="17" t="inlineStr">
        <is>
          <t>TR-0248</t>
        </is>
      </c>
      <c r="B249" s="17" t="inlineStr">
        <is>
          <t>3213</t>
        </is>
      </c>
      <c r="C249" s="18" t="inlineStr">
        <is>
          <t>Pharmaceutical Technicians and Assistants</t>
        </is>
      </c>
      <c r="D249" s="17" t="inlineStr">
        <is>
          <t>2262</t>
        </is>
      </c>
      <c r="E249" s="18" t="inlineStr">
        <is>
          <t>Pharmacists</t>
        </is>
      </c>
      <c r="F249" s="18" t="inlineStr">
        <is>
          <t>바이오 / 제약 / 임상헬스케어</t>
        </is>
      </c>
      <c r="G249" s="17" t="inlineStr">
        <is>
          <t>vertical_promotion</t>
        </is>
      </c>
      <c r="H249" s="18" t="inlineStr">
        <is>
          <t>receiving, prescriptions, medicinal</t>
        </is>
      </c>
      <c r="I249" s="18" t="inlineStr">
        <is>
          <t>심화 Pharmacists 실무, 프로젝트 관리 역량</t>
        </is>
      </c>
      <c r="J249" s="18" t="inlineStr">
        <is>
          <t>실무 2년 이상 및 전문 자격</t>
        </is>
      </c>
      <c r="K249" s="17" t="inlineStr">
        <is>
          <t>★★★☆☆</t>
        </is>
      </c>
      <c r="L249" s="21" t="inlineStr">
        <is>
          <t>+25.0%</t>
        </is>
      </c>
    </row>
    <row r="250">
      <c r="A250" s="15" t="inlineStr">
        <is>
          <t>TR-0249</t>
        </is>
      </c>
      <c r="B250" s="15" t="inlineStr">
        <is>
          <t>3213</t>
        </is>
      </c>
      <c r="C250" s="16" t="inlineStr">
        <is>
          <t>Pharmaceutical Technicians and Assistants</t>
        </is>
      </c>
      <c r="D250" s="15" t="inlineStr">
        <is>
          <t>3141</t>
        </is>
      </c>
      <c r="E250" s="16" t="inlineStr">
        <is>
          <t>Life Science Technicians (excluding Medical)</t>
        </is>
      </c>
      <c r="F250" s="16" t="inlineStr">
        <is>
          <t>바이오 / 제약 / 임상헬스케어</t>
        </is>
      </c>
      <c r="G250" s="15" t="inlineStr">
        <is>
          <t>horizontal_transfer</t>
        </is>
      </c>
      <c r="H250" s="16" t="inlineStr">
        <is>
          <t>assisting, designing, setting</t>
        </is>
      </c>
      <c r="I250" s="16" t="inlineStr">
        <is>
          <t>심화 Life Science Technicians (excluding Medical) 실무, 프로젝트 관리 역량</t>
        </is>
      </c>
      <c r="J250" s="16" t="inlineStr">
        <is>
          <t>실무 1년 이상 및 전문 자격</t>
        </is>
      </c>
      <c r="K250" s="15" t="inlineStr">
        <is>
          <t>★★☆☆☆</t>
        </is>
      </c>
      <c r="L250" s="20" t="inlineStr">
        <is>
          <t>+15.0%</t>
        </is>
      </c>
    </row>
    <row r="251">
      <c r="A251" s="17" t="inlineStr">
        <is>
          <t>TR-0250</t>
        </is>
      </c>
      <c r="B251" s="17" t="inlineStr">
        <is>
          <t>3213</t>
        </is>
      </c>
      <c r="C251" s="18" t="inlineStr">
        <is>
          <t>Pharmaceutical Technicians and Assistants</t>
        </is>
      </c>
      <c r="D251" s="17" t="inlineStr">
        <is>
          <t>5329</t>
        </is>
      </c>
      <c r="E251" s="18" t="inlineStr">
        <is>
          <t>Personal Care Workers in Health Services Not Elsewhere Classified</t>
        </is>
      </c>
      <c r="F251" s="18" t="inlineStr">
        <is>
          <t>바이오 / 제약 / 임상헬스케어</t>
        </is>
      </c>
      <c r="G251" s="17" t="inlineStr">
        <is>
          <t>horizontal_transfer</t>
        </is>
      </c>
      <c r="H251" s="18" t="inlineStr">
        <is>
          <t>such, cases, would</t>
        </is>
      </c>
      <c r="I251" s="18" t="inlineStr">
        <is>
          <t>심화 Personal Care Workers in Health Services Not Elsewhere Classified 실무, 프로젝트 관리 역량</t>
        </is>
      </c>
      <c r="J251" s="18" t="inlineStr">
        <is>
          <t>실무 1년 이상 및 전문 자격</t>
        </is>
      </c>
      <c r="K251" s="17" t="inlineStr">
        <is>
          <t>★☆☆☆☆</t>
        </is>
      </c>
      <c r="L251" s="21" t="inlineStr">
        <is>
          <t>+8.0%</t>
        </is>
      </c>
    </row>
    <row r="252">
      <c r="A252" s="15" t="inlineStr">
        <is>
          <t>TR-0251</t>
        </is>
      </c>
      <c r="B252" s="15" t="inlineStr">
        <is>
          <t>3214</t>
        </is>
      </c>
      <c r="C252" s="16" t="inlineStr">
        <is>
          <t>Medical and Dental Prosthetic Technicians</t>
        </is>
      </c>
      <c r="D252" s="15" t="inlineStr">
        <is>
          <t>5329</t>
        </is>
      </c>
      <c r="E252" s="16" t="inlineStr">
        <is>
          <t>Personal Care Workers in Health Services Not Elsewhere Classified</t>
        </is>
      </c>
      <c r="F252" s="16" t="inlineStr">
        <is>
          <t>바이오 / 제약 / 임상헬스케어</t>
        </is>
      </c>
      <c r="G252" s="15" t="inlineStr">
        <is>
          <t>horizontal_transfer</t>
        </is>
      </c>
      <c r="H252" s="16" t="inlineStr">
        <is>
          <t>such, cases, would</t>
        </is>
      </c>
      <c r="I252" s="16" t="inlineStr">
        <is>
          <t>심화 Personal Care Workers in Health Services Not Elsewhere Classified 실무, 프로젝트 관리 역량</t>
        </is>
      </c>
      <c r="J252" s="16" t="inlineStr">
        <is>
          <t>실무 1년 이상 및 전문 자격</t>
        </is>
      </c>
      <c r="K252" s="15" t="inlineStr">
        <is>
          <t>★☆☆☆☆</t>
        </is>
      </c>
      <c r="L252" s="20" t="inlineStr">
        <is>
          <t>+8.0%</t>
        </is>
      </c>
    </row>
    <row r="253">
      <c r="A253" s="17" t="inlineStr">
        <is>
          <t>TR-0252</t>
        </is>
      </c>
      <c r="B253" s="17" t="inlineStr">
        <is>
          <t>3214</t>
        </is>
      </c>
      <c r="C253" s="18" t="inlineStr">
        <is>
          <t>Medical and Dental Prosthetic Technicians</t>
        </is>
      </c>
      <c r="D253" s="17" t="inlineStr">
        <is>
          <t>7311</t>
        </is>
      </c>
      <c r="E253" s="18" t="inlineStr">
        <is>
          <t>Precision-instrument Makers and Repairers</t>
        </is>
      </c>
      <c r="F253" s="18" t="inlineStr">
        <is>
          <t>바이오 / 제약 / 임상헬스케어</t>
        </is>
      </c>
      <c r="G253" s="17" t="inlineStr">
        <is>
          <t>horizontal_transfer</t>
        </is>
      </c>
      <c r="H253" s="18" t="inlineStr">
        <is>
          <t>repairing, cleaning, adjusting</t>
        </is>
      </c>
      <c r="I253" s="18" t="inlineStr">
        <is>
          <t>심화 Precision-instrument Makers and Repairers 실무, 프로젝트 관리 역량</t>
        </is>
      </c>
      <c r="J253" s="18" t="inlineStr">
        <is>
          <t>실무 1년 이상 및 전문 자격</t>
        </is>
      </c>
      <c r="K253" s="17" t="inlineStr">
        <is>
          <t>★☆☆☆☆</t>
        </is>
      </c>
      <c r="L253" s="21" t="inlineStr">
        <is>
          <t>+8.0%</t>
        </is>
      </c>
    </row>
    <row r="254">
      <c r="A254" s="15" t="inlineStr">
        <is>
          <t>TR-0253</t>
        </is>
      </c>
      <c r="B254" s="15" t="inlineStr">
        <is>
          <t>3221</t>
        </is>
      </c>
      <c r="C254" s="16" t="inlineStr">
        <is>
          <t>Nursing Associate Professionals</t>
        </is>
      </c>
      <c r="D254" s="15" t="inlineStr">
        <is>
          <t>2221</t>
        </is>
      </c>
      <c r="E254" s="16" t="inlineStr">
        <is>
          <t>Nursing Professionals</t>
        </is>
      </c>
      <c r="F254" s="16" t="inlineStr">
        <is>
          <t>바이오 / 제약 / 임상헬스케어</t>
        </is>
      </c>
      <c r="G254" s="15" t="inlineStr">
        <is>
          <t>vertical_promotion</t>
        </is>
      </c>
      <c r="H254" s="16" t="inlineStr">
        <is>
          <t>planning, evaluating, nursing</t>
        </is>
      </c>
      <c r="I254" s="16" t="inlineStr">
        <is>
          <t>심화 Nursing Professionals 실무, 프로젝트 관리 역량</t>
        </is>
      </c>
      <c r="J254" s="16" t="inlineStr">
        <is>
          <t>실무 2년 이상 및 전문 자격</t>
        </is>
      </c>
      <c r="K254" s="15" t="inlineStr">
        <is>
          <t>★★★☆☆</t>
        </is>
      </c>
      <c r="L254" s="20" t="inlineStr">
        <is>
          <t>+25.0%</t>
        </is>
      </c>
    </row>
    <row r="255">
      <c r="A255" s="17" t="inlineStr">
        <is>
          <t>TR-0254</t>
        </is>
      </c>
      <c r="B255" s="17" t="inlineStr">
        <is>
          <t>3221</t>
        </is>
      </c>
      <c r="C255" s="18" t="inlineStr">
        <is>
          <t>Nursing Associate Professionals</t>
        </is>
      </c>
      <c r="D255" s="17" t="inlineStr">
        <is>
          <t>2222</t>
        </is>
      </c>
      <c r="E255" s="18" t="inlineStr">
        <is>
          <t>Midwifery Professionals</t>
        </is>
      </c>
      <c r="F255" s="18" t="inlineStr">
        <is>
          <t>바이오 / 제약 / 임상헬스케어</t>
        </is>
      </c>
      <c r="G255" s="17" t="inlineStr">
        <is>
          <t>vertical_promotion</t>
        </is>
      </c>
      <c r="H255" s="18" t="inlineStr">
        <is>
          <t>planning, evaluating, care</t>
        </is>
      </c>
      <c r="I255" s="18" t="inlineStr">
        <is>
          <t>심화 Midwifery Professionals 실무, 프로젝트 관리 역량</t>
        </is>
      </c>
      <c r="J255" s="18" t="inlineStr">
        <is>
          <t>실무 2년 이상 및 전문 자격</t>
        </is>
      </c>
      <c r="K255" s="17" t="inlineStr">
        <is>
          <t>★★★☆☆</t>
        </is>
      </c>
      <c r="L255" s="21" t="inlineStr">
        <is>
          <t>+25.0%</t>
        </is>
      </c>
    </row>
    <row r="256">
      <c r="A256" s="15" t="inlineStr">
        <is>
          <t>TR-0255</t>
        </is>
      </c>
      <c r="B256" s="15" t="inlineStr">
        <is>
          <t>3221</t>
        </is>
      </c>
      <c r="C256" s="16" t="inlineStr">
        <is>
          <t>Nursing Associate Professionals</t>
        </is>
      </c>
      <c r="D256" s="15" t="inlineStr">
        <is>
          <t>3222</t>
        </is>
      </c>
      <c r="E256" s="16" t="inlineStr">
        <is>
          <t>Midwifery Associate Professionals</t>
        </is>
      </c>
      <c r="F256" s="16" t="inlineStr">
        <is>
          <t>바이오 / 제약 / 임상헬스케어</t>
        </is>
      </c>
      <c r="G256" s="15" t="inlineStr">
        <is>
          <t>horizontal_transfer</t>
        </is>
      </c>
      <c r="H256" s="16" t="inlineStr">
        <is>
          <t>advice, women, families</t>
        </is>
      </c>
      <c r="I256" s="16" t="inlineStr">
        <is>
          <t>심화 Midwifery Associate Professionals 실무, 프로젝트 관리 역량</t>
        </is>
      </c>
      <c r="J256" s="16" t="inlineStr">
        <is>
          <t>실무 1년 이상 및 전문 자격</t>
        </is>
      </c>
      <c r="K256" s="15" t="inlineStr">
        <is>
          <t>★★☆☆☆</t>
        </is>
      </c>
      <c r="L256" s="20" t="inlineStr">
        <is>
          <t>+15.0%</t>
        </is>
      </c>
    </row>
    <row r="257">
      <c r="A257" s="17" t="inlineStr">
        <is>
          <t>TR-0256</t>
        </is>
      </c>
      <c r="B257" s="17" t="inlineStr">
        <is>
          <t>3221</t>
        </is>
      </c>
      <c r="C257" s="18" t="inlineStr">
        <is>
          <t>Nursing Associate Professionals</t>
        </is>
      </c>
      <c r="D257" s="17" t="inlineStr">
        <is>
          <t>5321</t>
        </is>
      </c>
      <c r="E257" s="18" t="inlineStr">
        <is>
          <t>Health Care Assistants</t>
        </is>
      </c>
      <c r="F257" s="18" t="inlineStr">
        <is>
          <t>바이오 / 제약 / 임상헬스케어</t>
        </is>
      </c>
      <c r="G257" s="17" t="inlineStr">
        <is>
          <t>horizontal_transfer</t>
        </is>
      </c>
      <c r="H257" s="18" t="inlineStr">
        <is>
          <t>care, support, treatment</t>
        </is>
      </c>
      <c r="I257" s="18" t="inlineStr">
        <is>
          <t>심화 Health Care Assistants 실무, 프로젝트 관리 역량</t>
        </is>
      </c>
      <c r="J257" s="18" t="inlineStr">
        <is>
          <t>실무 1년 이상 및 전문 자격</t>
        </is>
      </c>
      <c r="K257" s="17" t="inlineStr">
        <is>
          <t>★☆☆☆☆</t>
        </is>
      </c>
      <c r="L257" s="21" t="inlineStr">
        <is>
          <t>+8.0%</t>
        </is>
      </c>
    </row>
    <row r="258">
      <c r="A258" s="15" t="inlineStr">
        <is>
          <t>TR-0257</t>
        </is>
      </c>
      <c r="B258" s="15" t="inlineStr">
        <is>
          <t>3221</t>
        </is>
      </c>
      <c r="C258" s="16" t="inlineStr">
        <is>
          <t>Nursing Associate Professionals</t>
        </is>
      </c>
      <c r="D258" s="15" t="inlineStr">
        <is>
          <t>5322</t>
        </is>
      </c>
      <c r="E258" s="16" t="inlineStr">
        <is>
          <t>Home-based Personal Care Workers</t>
        </is>
      </c>
      <c r="F258" s="16" t="inlineStr">
        <is>
          <t>바이오 / 제약 / 임상헬스케어</t>
        </is>
      </c>
      <c r="G258" s="15" t="inlineStr">
        <is>
          <t>horizontal_transfer</t>
        </is>
      </c>
      <c r="H258" s="16" t="inlineStr">
        <is>
          <t>assisting, clients, with</t>
        </is>
      </c>
      <c r="I258" s="16" t="inlineStr">
        <is>
          <t>심화 Home-based Personal Care Workers 실무, 프로젝트 관리 역량</t>
        </is>
      </c>
      <c r="J258" s="16" t="inlineStr">
        <is>
          <t>실무 1년 이상 및 전문 자격</t>
        </is>
      </c>
      <c r="K258" s="15" t="inlineStr">
        <is>
          <t>★☆☆☆☆</t>
        </is>
      </c>
      <c r="L258" s="20" t="inlineStr">
        <is>
          <t>+8.0%</t>
        </is>
      </c>
    </row>
    <row r="259">
      <c r="A259" s="17" t="inlineStr">
        <is>
          <t>TR-0258</t>
        </is>
      </c>
      <c r="B259" s="17" t="inlineStr">
        <is>
          <t>3222</t>
        </is>
      </c>
      <c r="C259" s="18" t="inlineStr">
        <is>
          <t>Midwifery Associate Professionals</t>
        </is>
      </c>
      <c r="D259" s="17" t="inlineStr">
        <is>
          <t>2221</t>
        </is>
      </c>
      <c r="E259" s="18" t="inlineStr">
        <is>
          <t>Nursing Professionals</t>
        </is>
      </c>
      <c r="F259" s="18" t="inlineStr">
        <is>
          <t>바이오 / 제약 / 임상헬스케어</t>
        </is>
      </c>
      <c r="G259" s="17" t="inlineStr">
        <is>
          <t>vertical_promotion</t>
        </is>
      </c>
      <c r="H259" s="18" t="inlineStr">
        <is>
          <t>planning, evaluating, nursing</t>
        </is>
      </c>
      <c r="I259" s="18" t="inlineStr">
        <is>
          <t>심화 Nursing Professionals 실무, 프로젝트 관리 역량</t>
        </is>
      </c>
      <c r="J259" s="18" t="inlineStr">
        <is>
          <t>실무 2년 이상 및 전문 자격</t>
        </is>
      </c>
      <c r="K259" s="17" t="inlineStr">
        <is>
          <t>★★★☆☆</t>
        </is>
      </c>
      <c r="L259" s="21" t="inlineStr">
        <is>
          <t>+25.0%</t>
        </is>
      </c>
    </row>
    <row r="260">
      <c r="A260" s="15" t="inlineStr">
        <is>
          <t>TR-0259</t>
        </is>
      </c>
      <c r="B260" s="15" t="inlineStr">
        <is>
          <t>3222</t>
        </is>
      </c>
      <c r="C260" s="16" t="inlineStr">
        <is>
          <t>Midwifery Associate Professionals</t>
        </is>
      </c>
      <c r="D260" s="15" t="inlineStr">
        <is>
          <t>2222</t>
        </is>
      </c>
      <c r="E260" s="16" t="inlineStr">
        <is>
          <t>Midwifery Professionals</t>
        </is>
      </c>
      <c r="F260" s="16" t="inlineStr">
        <is>
          <t>바이오 / 제약 / 임상헬스케어</t>
        </is>
      </c>
      <c r="G260" s="15" t="inlineStr">
        <is>
          <t>vertical_promotion</t>
        </is>
      </c>
      <c r="H260" s="16" t="inlineStr">
        <is>
          <t>planning, evaluating, care</t>
        </is>
      </c>
      <c r="I260" s="16" t="inlineStr">
        <is>
          <t>심화 Midwifery Professionals 실무, 프로젝트 관리 역량</t>
        </is>
      </c>
      <c r="J260" s="16" t="inlineStr">
        <is>
          <t>실무 2년 이상 및 전문 자격</t>
        </is>
      </c>
      <c r="K260" s="15" t="inlineStr">
        <is>
          <t>★★★☆☆</t>
        </is>
      </c>
      <c r="L260" s="20" t="inlineStr">
        <is>
          <t>+25.0%</t>
        </is>
      </c>
    </row>
    <row r="261">
      <c r="A261" s="17" t="inlineStr">
        <is>
          <t>TR-0260</t>
        </is>
      </c>
      <c r="B261" s="17" t="inlineStr">
        <is>
          <t>3222</t>
        </is>
      </c>
      <c r="C261" s="18" t="inlineStr">
        <is>
          <t>Midwifery Associate Professionals</t>
        </is>
      </c>
      <c r="D261" s="17" t="inlineStr">
        <is>
          <t>5321</t>
        </is>
      </c>
      <c r="E261" s="18" t="inlineStr">
        <is>
          <t>Health Care Assistants</t>
        </is>
      </c>
      <c r="F261" s="18" t="inlineStr">
        <is>
          <t>바이오 / 제약 / 임상헬스케어</t>
        </is>
      </c>
      <c r="G261" s="17" t="inlineStr">
        <is>
          <t>horizontal_transfer</t>
        </is>
      </c>
      <c r="H261" s="18" t="inlineStr">
        <is>
          <t>care, support, treatment</t>
        </is>
      </c>
      <c r="I261" s="18" t="inlineStr">
        <is>
          <t>심화 Health Care Assistants 실무, 프로젝트 관리 역량</t>
        </is>
      </c>
      <c r="J261" s="18" t="inlineStr">
        <is>
          <t>실무 1년 이상 및 전문 자격</t>
        </is>
      </c>
      <c r="K261" s="17" t="inlineStr">
        <is>
          <t>★☆☆☆☆</t>
        </is>
      </c>
      <c r="L261" s="21" t="inlineStr">
        <is>
          <t>+8.0%</t>
        </is>
      </c>
    </row>
    <row r="262">
      <c r="A262" s="15" t="inlineStr">
        <is>
          <t>TR-0261</t>
        </is>
      </c>
      <c r="B262" s="15" t="inlineStr">
        <is>
          <t>3230</t>
        </is>
      </c>
      <c r="C262" s="16" t="inlineStr">
        <is>
          <t>Traditional and Complementary Medicine Associate Professionals</t>
        </is>
      </c>
      <c r="D262" s="15" t="inlineStr">
        <is>
          <t>2230</t>
        </is>
      </c>
      <c r="E262" s="16" t="inlineStr">
        <is>
          <t>Traditional and Complementary Medicine Professionals</t>
        </is>
      </c>
      <c r="F262" s="16" t="inlineStr">
        <is>
          <t>바이오 / 제약 / 임상헬스케어</t>
        </is>
      </c>
      <c r="G262" s="15" t="inlineStr">
        <is>
          <t>vertical_promotion</t>
        </is>
      </c>
      <c r="H262" s="16" t="inlineStr">
        <is>
          <t>conducting, physical, examinations</t>
        </is>
      </c>
      <c r="I262" s="16" t="inlineStr">
        <is>
          <t>심화 Traditional and Complementary Medicine Professionals 실무, 프로젝트 관리 역량</t>
        </is>
      </c>
      <c r="J262" s="16" t="inlineStr">
        <is>
          <t>실무 2년 이상 및 전문 자격</t>
        </is>
      </c>
      <c r="K262" s="15" t="inlineStr">
        <is>
          <t>★★★☆☆</t>
        </is>
      </c>
      <c r="L262" s="20" t="inlineStr">
        <is>
          <t>+25.0%</t>
        </is>
      </c>
    </row>
    <row r="263">
      <c r="A263" s="17" t="inlineStr">
        <is>
          <t>TR-0262</t>
        </is>
      </c>
      <c r="B263" s="17" t="inlineStr">
        <is>
          <t>3230</t>
        </is>
      </c>
      <c r="C263" s="18" t="inlineStr">
        <is>
          <t>Traditional and Complementary Medicine Associate Professionals</t>
        </is>
      </c>
      <c r="D263" s="17" t="inlineStr">
        <is>
          <t>2269</t>
        </is>
      </c>
      <c r="E263" s="18" t="inlineStr">
        <is>
          <t>Health Professionals Not Elsewhere Classified</t>
        </is>
      </c>
      <c r="F263" s="18" t="inlineStr">
        <is>
          <t>바이오 / 제약 / 임상헬스케어</t>
        </is>
      </c>
      <c r="G263" s="17" t="inlineStr">
        <is>
          <t>vertical_promotion</t>
        </is>
      </c>
      <c r="H263" s="18" t="inlineStr">
        <is>
          <t>such, cases, would</t>
        </is>
      </c>
      <c r="I263" s="18" t="inlineStr">
        <is>
          <t>심화 Health Professionals Not Elsewhere Classified 실무, 프로젝트 관리 역량</t>
        </is>
      </c>
      <c r="J263" s="18" t="inlineStr">
        <is>
          <t>실무 2년 이상 및 전문 자격</t>
        </is>
      </c>
      <c r="K263" s="17" t="inlineStr">
        <is>
          <t>★★★☆☆</t>
        </is>
      </c>
      <c r="L263" s="21" t="inlineStr">
        <is>
          <t>+25.0%</t>
        </is>
      </c>
    </row>
    <row r="264">
      <c r="A264" s="15" t="inlineStr">
        <is>
          <t>TR-0263</t>
        </is>
      </c>
      <c r="B264" s="15" t="inlineStr">
        <is>
          <t>3230</t>
        </is>
      </c>
      <c r="C264" s="16" t="inlineStr">
        <is>
          <t>Traditional and Complementary Medicine Associate Professionals</t>
        </is>
      </c>
      <c r="D264" s="15" t="inlineStr">
        <is>
          <t>3222</t>
        </is>
      </c>
      <c r="E264" s="16" t="inlineStr">
        <is>
          <t>Midwifery Associate Professionals</t>
        </is>
      </c>
      <c r="F264" s="16" t="inlineStr">
        <is>
          <t>바이오 / 제약 / 임상헬스케어</t>
        </is>
      </c>
      <c r="G264" s="15" t="inlineStr">
        <is>
          <t>horizontal_transfer</t>
        </is>
      </c>
      <c r="H264" s="16" t="inlineStr">
        <is>
          <t>advice, women, families</t>
        </is>
      </c>
      <c r="I264" s="16" t="inlineStr">
        <is>
          <t>심화 Midwifery Associate Professionals 실무, 프로젝트 관리 역량</t>
        </is>
      </c>
      <c r="J264" s="16" t="inlineStr">
        <is>
          <t>실무 1년 이상 및 전문 자격</t>
        </is>
      </c>
      <c r="K264" s="15" t="inlineStr">
        <is>
          <t>★★☆☆☆</t>
        </is>
      </c>
      <c r="L264" s="20" t="inlineStr">
        <is>
          <t>+15.0%</t>
        </is>
      </c>
    </row>
    <row r="265">
      <c r="A265" s="17" t="inlineStr">
        <is>
          <t>TR-0264</t>
        </is>
      </c>
      <c r="B265" s="17" t="inlineStr">
        <is>
          <t>3230</t>
        </is>
      </c>
      <c r="C265" s="18" t="inlineStr">
        <is>
          <t>Traditional and Complementary Medicine Associate Professionals</t>
        </is>
      </c>
      <c r="D265" s="17" t="inlineStr">
        <is>
          <t>3255</t>
        </is>
      </c>
      <c r="E265" s="18" t="inlineStr">
        <is>
          <t>Physiotherapy Technicians and Assistants</t>
        </is>
      </c>
      <c r="F265" s="18" t="inlineStr">
        <is>
          <t>바이오 / 제약 / 임상헬스케어</t>
        </is>
      </c>
      <c r="G265" s="17" t="inlineStr">
        <is>
          <t>horizontal_transfer</t>
        </is>
      </c>
      <c r="H265" s="18" t="inlineStr">
        <is>
          <t>administering, manual, treatments</t>
        </is>
      </c>
      <c r="I265" s="18" t="inlineStr">
        <is>
          <t>심화 Physiotherapy Technicians and Assistants 실무, 프로젝트 관리 역량</t>
        </is>
      </c>
      <c r="J265" s="18" t="inlineStr">
        <is>
          <t>실무 1년 이상 및 전문 자격</t>
        </is>
      </c>
      <c r="K265" s="17" t="inlineStr">
        <is>
          <t>★★☆☆☆</t>
        </is>
      </c>
      <c r="L265" s="21" t="inlineStr">
        <is>
          <t>+15.0%</t>
        </is>
      </c>
    </row>
    <row r="266">
      <c r="A266" s="15" t="inlineStr">
        <is>
          <t>TR-0265</t>
        </is>
      </c>
      <c r="B266" s="15" t="inlineStr">
        <is>
          <t>3230</t>
        </is>
      </c>
      <c r="C266" s="16" t="inlineStr">
        <is>
          <t>Traditional and Complementary Medicine Associate Professionals</t>
        </is>
      </c>
      <c r="D266" s="15" t="inlineStr">
        <is>
          <t>3413</t>
        </is>
      </c>
      <c r="E266" s="16" t="inlineStr">
        <is>
          <t>Religious Associate Professionals</t>
        </is>
      </c>
      <c r="F266" s="16" t="inlineStr">
        <is>
          <t>바이오 / 제약 / 임상헬스케어</t>
        </is>
      </c>
      <c r="G266" s="15" t="inlineStr">
        <is>
          <t>horizontal_transfer</t>
        </is>
      </c>
      <c r="H266" s="16" t="inlineStr">
        <is>
          <t>undertaking, religious, works</t>
        </is>
      </c>
      <c r="I266" s="16" t="inlineStr">
        <is>
          <t>심화 Religious Associate Professionals 실무, 프로젝트 관리 역량</t>
        </is>
      </c>
      <c r="J266" s="16" t="inlineStr">
        <is>
          <t>실무 1년 이상 및 전문 자격</t>
        </is>
      </c>
      <c r="K266" s="15" t="inlineStr">
        <is>
          <t>★★☆☆☆</t>
        </is>
      </c>
      <c r="L266" s="20" t="inlineStr">
        <is>
          <t>+15.0%</t>
        </is>
      </c>
    </row>
    <row r="267">
      <c r="A267" s="17" t="inlineStr">
        <is>
          <t>TR-0266</t>
        </is>
      </c>
      <c r="B267" s="17" t="inlineStr">
        <is>
          <t>3240</t>
        </is>
      </c>
      <c r="C267" s="18" t="inlineStr">
        <is>
          <t>Veterinary Technicians and Assistants</t>
        </is>
      </c>
      <c r="D267" s="17" t="inlineStr">
        <is>
          <t>2250</t>
        </is>
      </c>
      <c r="E267" s="18" t="inlineStr">
        <is>
          <t>Veterinarians</t>
        </is>
      </c>
      <c r="F267" s="18" t="inlineStr">
        <is>
          <t>바이오 / 제약 / 임상헬스케어</t>
        </is>
      </c>
      <c r="G267" s="17" t="inlineStr">
        <is>
          <t>vertical_promotion</t>
        </is>
      </c>
      <c r="H267" s="18" t="inlineStr">
        <is>
          <t>determining, presence, nature</t>
        </is>
      </c>
      <c r="I267" s="18" t="inlineStr">
        <is>
          <t>심화 Veterinarians 실무, 프로젝트 관리 역량</t>
        </is>
      </c>
      <c r="J267" s="18" t="inlineStr">
        <is>
          <t>실무 2년 이상 및 전문 자격</t>
        </is>
      </c>
      <c r="K267" s="17" t="inlineStr">
        <is>
          <t>★★★☆☆</t>
        </is>
      </c>
      <c r="L267" s="21" t="inlineStr">
        <is>
          <t>+25.0%</t>
        </is>
      </c>
    </row>
    <row r="268">
      <c r="A268" s="15" t="inlineStr">
        <is>
          <t>TR-0267</t>
        </is>
      </c>
      <c r="B268" s="15" t="inlineStr">
        <is>
          <t>3240</t>
        </is>
      </c>
      <c r="C268" s="16" t="inlineStr">
        <is>
          <t>Veterinary Technicians and Assistants</t>
        </is>
      </c>
      <c r="D268" s="15" t="inlineStr">
        <is>
          <t>5164</t>
        </is>
      </c>
      <c r="E268" s="16" t="inlineStr">
        <is>
          <t>Pet Groomers and Animal Care Workers</t>
        </is>
      </c>
      <c r="F268" s="16" t="inlineStr">
        <is>
          <t>바이오 / 제약 / 임상헬스케어</t>
        </is>
      </c>
      <c r="G268" s="15" t="inlineStr">
        <is>
          <t>horizontal_transfer</t>
        </is>
      </c>
      <c r="H268" s="16" t="inlineStr">
        <is>
          <t>bathing, feeding, animals</t>
        </is>
      </c>
      <c r="I268" s="16" t="inlineStr">
        <is>
          <t>심화 Pet Groomers and Animal Care Workers 실무, 프로젝트 관리 역량</t>
        </is>
      </c>
      <c r="J268" s="16" t="inlineStr">
        <is>
          <t>실무 1년 이상 및 전문 자격</t>
        </is>
      </c>
      <c r="K268" s="15" t="inlineStr">
        <is>
          <t>★☆☆☆☆</t>
        </is>
      </c>
      <c r="L268" s="20" t="inlineStr">
        <is>
          <t>+8.0%</t>
        </is>
      </c>
    </row>
    <row r="269">
      <c r="A269" s="17" t="inlineStr">
        <is>
          <t>TR-0268</t>
        </is>
      </c>
      <c r="B269" s="17" t="inlineStr">
        <is>
          <t>3251</t>
        </is>
      </c>
      <c r="C269" s="18" t="inlineStr">
        <is>
          <t>Dental Assistants and Therapists</t>
        </is>
      </c>
      <c r="D269" s="17" t="inlineStr">
        <is>
          <t>2261</t>
        </is>
      </c>
      <c r="E269" s="18" t="inlineStr">
        <is>
          <t>Dentists</t>
        </is>
      </c>
      <c r="F269" s="18" t="inlineStr">
        <is>
          <t>바이오 / 제약 / 임상헬스케어</t>
        </is>
      </c>
      <c r="G269" s="17" t="inlineStr">
        <is>
          <t>vertical_promotion</t>
        </is>
      </c>
      <c r="H269" s="18" t="inlineStr">
        <is>
          <t>diagnosing, diseases, injuries</t>
        </is>
      </c>
      <c r="I269" s="18" t="inlineStr">
        <is>
          <t>심화 Dentists 실무, 프로젝트 관리 역량</t>
        </is>
      </c>
      <c r="J269" s="18" t="inlineStr">
        <is>
          <t>실무 2년 이상 및 전문 자격</t>
        </is>
      </c>
      <c r="K269" s="17" t="inlineStr">
        <is>
          <t>★★★☆☆</t>
        </is>
      </c>
      <c r="L269" s="21" t="inlineStr">
        <is>
          <t>+25.0%</t>
        </is>
      </c>
    </row>
    <row r="270">
      <c r="A270" s="15" t="inlineStr">
        <is>
          <t>TR-0269</t>
        </is>
      </c>
      <c r="B270" s="15" t="inlineStr">
        <is>
          <t>3251</t>
        </is>
      </c>
      <c r="C270" s="16" t="inlineStr">
        <is>
          <t>Dental Assistants and Therapists</t>
        </is>
      </c>
      <c r="D270" s="15" t="inlineStr">
        <is>
          <t>3214</t>
        </is>
      </c>
      <c r="E270" s="16" t="inlineStr">
        <is>
          <t>Medical and Dental Prosthetic Technicians</t>
        </is>
      </c>
      <c r="F270" s="16" t="inlineStr">
        <is>
          <t>바이오 / 제약 / 임상헬스케어</t>
        </is>
      </c>
      <c r="G270" s="15" t="inlineStr">
        <is>
          <t>horizontal_transfer</t>
        </is>
      </c>
      <c r="H270" s="16" t="inlineStr">
        <is>
          <t>examining, interviewing, measuring</t>
        </is>
      </c>
      <c r="I270" s="16" t="inlineStr">
        <is>
          <t>심화 Medical and Dental Prosthetic Technicians 실무, 프로젝트 관리 역량</t>
        </is>
      </c>
      <c r="J270" s="16" t="inlineStr">
        <is>
          <t>실무 1년 이상 및 전문 자격</t>
        </is>
      </c>
      <c r="K270" s="15" t="inlineStr">
        <is>
          <t>★★☆☆☆</t>
        </is>
      </c>
      <c r="L270" s="20" t="inlineStr">
        <is>
          <t>+15.0%</t>
        </is>
      </c>
    </row>
    <row r="271">
      <c r="A271" s="17" t="inlineStr">
        <is>
          <t>TR-0270</t>
        </is>
      </c>
      <c r="B271" s="17" t="inlineStr">
        <is>
          <t>3251</t>
        </is>
      </c>
      <c r="C271" s="18" t="inlineStr">
        <is>
          <t>Dental Assistants and Therapists</t>
        </is>
      </c>
      <c r="D271" s="17" t="inlineStr">
        <is>
          <t>5329</t>
        </is>
      </c>
      <c r="E271" s="18" t="inlineStr">
        <is>
          <t>Personal Care Workers in Health Services Not Elsewhere Classified</t>
        </is>
      </c>
      <c r="F271" s="18" t="inlineStr">
        <is>
          <t>바이오 / 제약 / 임상헬스케어</t>
        </is>
      </c>
      <c r="G271" s="17" t="inlineStr">
        <is>
          <t>horizontal_transfer</t>
        </is>
      </c>
      <c r="H271" s="18" t="inlineStr">
        <is>
          <t>such, cases, would</t>
        </is>
      </c>
      <c r="I271" s="18" t="inlineStr">
        <is>
          <t>심화 Personal Care Workers in Health Services Not Elsewhere Classified 실무, 프로젝트 관리 역량</t>
        </is>
      </c>
      <c r="J271" s="18" t="inlineStr">
        <is>
          <t>실무 1년 이상 및 전문 자격</t>
        </is>
      </c>
      <c r="K271" s="17" t="inlineStr">
        <is>
          <t>★☆☆☆☆</t>
        </is>
      </c>
      <c r="L271" s="21" t="inlineStr">
        <is>
          <t>+8.0%</t>
        </is>
      </c>
    </row>
    <row r="272">
      <c r="A272" s="15" t="inlineStr">
        <is>
          <t>TR-0271</t>
        </is>
      </c>
      <c r="B272" s="15" t="inlineStr">
        <is>
          <t>3252</t>
        </is>
      </c>
      <c r="C272" s="16" t="inlineStr">
        <is>
          <t>Medical Records and Health Information Technicians</t>
        </is>
      </c>
      <c r="D272" s="15" t="inlineStr">
        <is>
          <t>3344</t>
        </is>
      </c>
      <c r="E272" s="16" t="inlineStr">
        <is>
          <t>Medical Secretaries</t>
        </is>
      </c>
      <c r="F272" s="16" t="inlineStr">
        <is>
          <t>바이오 / 제약 / 임상헬스케어</t>
        </is>
      </c>
      <c r="G272" s="15" t="inlineStr">
        <is>
          <t>horizontal_transfer</t>
        </is>
      </c>
      <c r="H272" s="16" t="inlineStr">
        <is>
          <t>scheduling, confirming, medical</t>
        </is>
      </c>
      <c r="I272" s="16" t="inlineStr">
        <is>
          <t>심화 Medical Secretaries 실무, 프로젝트 관리 역량</t>
        </is>
      </c>
      <c r="J272" s="16" t="inlineStr">
        <is>
          <t>실무 1년 이상 및 전문 자격</t>
        </is>
      </c>
      <c r="K272" s="15" t="inlineStr">
        <is>
          <t>★★☆☆☆</t>
        </is>
      </c>
      <c r="L272" s="20" t="inlineStr">
        <is>
          <t>+15.0%</t>
        </is>
      </c>
    </row>
    <row r="273">
      <c r="A273" s="17" t="inlineStr">
        <is>
          <t>TR-0272</t>
        </is>
      </c>
      <c r="B273" s="17" t="inlineStr">
        <is>
          <t>3252</t>
        </is>
      </c>
      <c r="C273" s="18" t="inlineStr">
        <is>
          <t>Medical Records and Health Information Technicians</t>
        </is>
      </c>
      <c r="D273" s="17" t="inlineStr">
        <is>
          <t>4132</t>
        </is>
      </c>
      <c r="E273" s="18" t="inlineStr">
        <is>
          <t>Data Entry Clerks</t>
        </is>
      </c>
      <c r="F273" s="18" t="inlineStr">
        <is>
          <t>바이오 / 제약 / 임상헬스케어</t>
        </is>
      </c>
      <c r="G273" s="17" t="inlineStr">
        <is>
          <t>horizontal_transfer</t>
        </is>
      </c>
      <c r="H273" s="18" t="inlineStr">
        <is>
          <t>receiving, registering, invoices</t>
        </is>
      </c>
      <c r="I273" s="18" t="inlineStr">
        <is>
          <t>심화 Data Entry Clerks 실무, 프로젝트 관리 역량</t>
        </is>
      </c>
      <c r="J273" s="18" t="inlineStr">
        <is>
          <t>실무 1년 이상 및 전문 자격</t>
        </is>
      </c>
      <c r="K273" s="17" t="inlineStr">
        <is>
          <t>★☆☆☆☆</t>
        </is>
      </c>
      <c r="L273" s="21" t="inlineStr">
        <is>
          <t>+8.0%</t>
        </is>
      </c>
    </row>
    <row r="274">
      <c r="A274" s="15" t="inlineStr">
        <is>
          <t>TR-0273</t>
        </is>
      </c>
      <c r="B274" s="15" t="inlineStr">
        <is>
          <t>3252</t>
        </is>
      </c>
      <c r="C274" s="16" t="inlineStr">
        <is>
          <t>Medical Records and Health Information Technicians</t>
        </is>
      </c>
      <c r="D274" s="15" t="inlineStr">
        <is>
          <t>4415</t>
        </is>
      </c>
      <c r="E274" s="16" t="inlineStr">
        <is>
          <t>Filing and Copying Clerks</t>
        </is>
      </c>
      <c r="F274" s="16" t="inlineStr">
        <is>
          <t>바이오 / 제약 / 임상헬스케어</t>
        </is>
      </c>
      <c r="G274" s="15" t="inlineStr">
        <is>
          <t>horizontal_transfer</t>
        </is>
      </c>
      <c r="H274" s="16" t="inlineStr">
        <is>
          <t>sorting, classifying, materials</t>
        </is>
      </c>
      <c r="I274" s="16" t="inlineStr">
        <is>
          <t>심화 Filing and Copying Clerks 실무, 프로젝트 관리 역량</t>
        </is>
      </c>
      <c r="J274" s="16" t="inlineStr">
        <is>
          <t>실무 1년 이상 및 전문 자격</t>
        </is>
      </c>
      <c r="K274" s="15" t="inlineStr">
        <is>
          <t>★☆☆☆☆</t>
        </is>
      </c>
      <c r="L274" s="20" t="inlineStr">
        <is>
          <t>+8.0%</t>
        </is>
      </c>
    </row>
    <row r="275">
      <c r="A275" s="17" t="inlineStr">
        <is>
          <t>TR-0274</t>
        </is>
      </c>
      <c r="B275" s="17" t="inlineStr">
        <is>
          <t>3253</t>
        </is>
      </c>
      <c r="C275" s="18" t="inlineStr">
        <is>
          <t>Community Health Workers</t>
        </is>
      </c>
      <c r="D275" s="17" t="inlineStr">
        <is>
          <t>3222</t>
        </is>
      </c>
      <c r="E275" s="18" t="inlineStr">
        <is>
          <t>Midwifery Associate Professionals</t>
        </is>
      </c>
      <c r="F275" s="18" t="inlineStr">
        <is>
          <t>바이오 / 제약 / 임상헬스케어</t>
        </is>
      </c>
      <c r="G275" s="17" t="inlineStr">
        <is>
          <t>horizontal_transfer</t>
        </is>
      </c>
      <c r="H275" s="18" t="inlineStr">
        <is>
          <t>advice, women, families</t>
        </is>
      </c>
      <c r="I275" s="18" t="inlineStr">
        <is>
          <t>심화 Midwifery Associate Professionals 실무, 프로젝트 관리 역량</t>
        </is>
      </c>
      <c r="J275" s="18" t="inlineStr">
        <is>
          <t>실무 1년 이상 및 전문 자격</t>
        </is>
      </c>
      <c r="K275" s="17" t="inlineStr">
        <is>
          <t>★★☆☆☆</t>
        </is>
      </c>
      <c r="L275" s="21" t="inlineStr">
        <is>
          <t>+15.0%</t>
        </is>
      </c>
    </row>
    <row r="276">
      <c r="A276" s="15" t="inlineStr">
        <is>
          <t>TR-0275</t>
        </is>
      </c>
      <c r="B276" s="15" t="inlineStr">
        <is>
          <t>3253</t>
        </is>
      </c>
      <c r="C276" s="16" t="inlineStr">
        <is>
          <t>Community Health Workers</t>
        </is>
      </c>
      <c r="D276" s="15" t="inlineStr">
        <is>
          <t>3230</t>
        </is>
      </c>
      <c r="E276" s="16" t="inlineStr">
        <is>
          <t>Traditional and Complementary Medicine Associate Professionals</t>
        </is>
      </c>
      <c r="F276" s="16" t="inlineStr">
        <is>
          <t>바이오 / 제약 / 임상헬스케어</t>
        </is>
      </c>
      <c r="G276" s="15" t="inlineStr">
        <is>
          <t>horizontal_transfer</t>
        </is>
      </c>
      <c r="H276" s="16" t="inlineStr">
        <is>
          <t>examining, patients, interviewing</t>
        </is>
      </c>
      <c r="I276" s="16" t="inlineStr">
        <is>
          <t>심화 Traditional and Complementary Medicine Associate Professionals 실무, 프로젝트 관리 역량</t>
        </is>
      </c>
      <c r="J276" s="16" t="inlineStr">
        <is>
          <t>실무 1년 이상 및 전문 자격</t>
        </is>
      </c>
      <c r="K276" s="15" t="inlineStr">
        <is>
          <t>★★☆☆☆</t>
        </is>
      </c>
      <c r="L276" s="20" t="inlineStr">
        <is>
          <t>+15.0%</t>
        </is>
      </c>
    </row>
    <row r="277">
      <c r="A277" s="17" t="inlineStr">
        <is>
          <t>TR-0276</t>
        </is>
      </c>
      <c r="B277" s="17" t="inlineStr">
        <is>
          <t>3253</t>
        </is>
      </c>
      <c r="C277" s="18" t="inlineStr">
        <is>
          <t>Community Health Workers</t>
        </is>
      </c>
      <c r="D277" s="17" t="inlineStr">
        <is>
          <t>5322</t>
        </is>
      </c>
      <c r="E277" s="18" t="inlineStr">
        <is>
          <t>Home-based Personal Care Workers</t>
        </is>
      </c>
      <c r="F277" s="18" t="inlineStr">
        <is>
          <t>바이오 / 제약 / 임상헬스케어</t>
        </is>
      </c>
      <c r="G277" s="17" t="inlineStr">
        <is>
          <t>horizontal_transfer</t>
        </is>
      </c>
      <c r="H277" s="18" t="inlineStr">
        <is>
          <t>assisting, clients, with</t>
        </is>
      </c>
      <c r="I277" s="18" t="inlineStr">
        <is>
          <t>심화 Home-based Personal Care Workers 실무, 프로젝트 관리 역량</t>
        </is>
      </c>
      <c r="J277" s="18" t="inlineStr">
        <is>
          <t>실무 1년 이상 및 전문 자격</t>
        </is>
      </c>
      <c r="K277" s="17" t="inlineStr">
        <is>
          <t>★☆☆☆☆</t>
        </is>
      </c>
      <c r="L277" s="21" t="inlineStr">
        <is>
          <t>+8.0%</t>
        </is>
      </c>
    </row>
    <row r="278">
      <c r="A278" s="15" t="inlineStr">
        <is>
          <t>TR-0277</t>
        </is>
      </c>
      <c r="B278" s="15" t="inlineStr">
        <is>
          <t>3254</t>
        </is>
      </c>
      <c r="C278" s="16" t="inlineStr">
        <is>
          <t>Dispensing Opticians</t>
        </is>
      </c>
      <c r="D278" s="15" t="inlineStr">
        <is>
          <t>2212</t>
        </is>
      </c>
      <c r="E278" s="16" t="inlineStr">
        <is>
          <t>Specialist Medical Practitioners</t>
        </is>
      </c>
      <c r="F278" s="16" t="inlineStr">
        <is>
          <t>바이오 / 제약 / 임상헬스케어</t>
        </is>
      </c>
      <c r="G278" s="15" t="inlineStr">
        <is>
          <t>vertical_promotion</t>
        </is>
      </c>
      <c r="H278" s="16" t="inlineStr">
        <is>
          <t>conducting, physical, examinations</t>
        </is>
      </c>
      <c r="I278" s="16" t="inlineStr">
        <is>
          <t>심화 Specialist Medical Practitioners 실무, 프로젝트 관리 역량</t>
        </is>
      </c>
      <c r="J278" s="16" t="inlineStr">
        <is>
          <t>실무 2년 이상 및 전문 자격</t>
        </is>
      </c>
      <c r="K278" s="15" t="inlineStr">
        <is>
          <t>★★★☆☆</t>
        </is>
      </c>
      <c r="L278" s="20" t="inlineStr">
        <is>
          <t>+25.0%</t>
        </is>
      </c>
    </row>
    <row r="279">
      <c r="A279" s="17" t="inlineStr">
        <is>
          <t>TR-0278</t>
        </is>
      </c>
      <c r="B279" s="17" t="inlineStr">
        <is>
          <t>3254</t>
        </is>
      </c>
      <c r="C279" s="18" t="inlineStr">
        <is>
          <t>Dispensing Opticians</t>
        </is>
      </c>
      <c r="D279" s="17" t="inlineStr">
        <is>
          <t>2267</t>
        </is>
      </c>
      <c r="E279" s="18" t="inlineStr">
        <is>
          <t>Optometrists and Ophthalmic Opticians</t>
        </is>
      </c>
      <c r="F279" s="18" t="inlineStr">
        <is>
          <t>바이오 / 제약 / 임상헬스케어</t>
        </is>
      </c>
      <c r="G279" s="17" t="inlineStr">
        <is>
          <t>vertical_promotion</t>
        </is>
      </c>
      <c r="H279" s="18" t="inlineStr">
        <is>
          <t>examining, patients, eyes</t>
        </is>
      </c>
      <c r="I279" s="18" t="inlineStr">
        <is>
          <t>심화 Optometrists and Ophthalmic Opticians 실무, 프로젝트 관리 역량</t>
        </is>
      </c>
      <c r="J279" s="18" t="inlineStr">
        <is>
          <t>실무 2년 이상 및 전문 자격</t>
        </is>
      </c>
      <c r="K279" s="17" t="inlineStr">
        <is>
          <t>★★★☆☆</t>
        </is>
      </c>
      <c r="L279" s="21" t="inlineStr">
        <is>
          <t>+25.0%</t>
        </is>
      </c>
    </row>
    <row r="280">
      <c r="A280" s="15" t="inlineStr">
        <is>
          <t>TR-0279</t>
        </is>
      </c>
      <c r="B280" s="15" t="inlineStr">
        <is>
          <t>3255</t>
        </is>
      </c>
      <c r="C280" s="16" t="inlineStr">
        <is>
          <t>Physiotherapy Technicians and Assistants</t>
        </is>
      </c>
      <c r="D280" s="15" t="inlineStr">
        <is>
          <t>2264</t>
        </is>
      </c>
      <c r="E280" s="16" t="inlineStr">
        <is>
          <t>Physiotherapists</t>
        </is>
      </c>
      <c r="F280" s="16" t="inlineStr">
        <is>
          <t>바이오 / 제약 / 임상헬스케어</t>
        </is>
      </c>
      <c r="G280" s="15" t="inlineStr">
        <is>
          <t>vertical_promotion</t>
        </is>
      </c>
      <c r="H280" s="16" t="inlineStr">
        <is>
          <t>administering, muscle, nerve</t>
        </is>
      </c>
      <c r="I280" s="16" t="inlineStr">
        <is>
          <t>심화 Physiotherapists 실무, 프로젝트 관리 역량</t>
        </is>
      </c>
      <c r="J280" s="16" t="inlineStr">
        <is>
          <t>실무 2년 이상 및 전문 자격</t>
        </is>
      </c>
      <c r="K280" s="15" t="inlineStr">
        <is>
          <t>★★★☆☆</t>
        </is>
      </c>
      <c r="L280" s="20" t="inlineStr">
        <is>
          <t>+25.0%</t>
        </is>
      </c>
    </row>
    <row r="281">
      <c r="A281" s="17" t="inlineStr">
        <is>
          <t>TR-0280</t>
        </is>
      </c>
      <c r="B281" s="17" t="inlineStr">
        <is>
          <t>3255</t>
        </is>
      </c>
      <c r="C281" s="18" t="inlineStr">
        <is>
          <t>Physiotherapy Technicians and Assistants</t>
        </is>
      </c>
      <c r="D281" s="17" t="inlineStr">
        <is>
          <t>2269</t>
        </is>
      </c>
      <c r="E281" s="18" t="inlineStr">
        <is>
          <t>Health Professionals Not Elsewhere Classified</t>
        </is>
      </c>
      <c r="F281" s="18" t="inlineStr">
        <is>
          <t>바이오 / 제약 / 임상헬스케어</t>
        </is>
      </c>
      <c r="G281" s="17" t="inlineStr">
        <is>
          <t>vertical_promotion</t>
        </is>
      </c>
      <c r="H281" s="18" t="inlineStr">
        <is>
          <t>such, cases, would</t>
        </is>
      </c>
      <c r="I281" s="18" t="inlineStr">
        <is>
          <t>심화 Health Professionals Not Elsewhere Classified 실무, 프로젝트 관리 역량</t>
        </is>
      </c>
      <c r="J281" s="18" t="inlineStr">
        <is>
          <t>실무 2년 이상 및 전문 자격</t>
        </is>
      </c>
      <c r="K281" s="17" t="inlineStr">
        <is>
          <t>★★★☆☆</t>
        </is>
      </c>
      <c r="L281" s="21" t="inlineStr">
        <is>
          <t>+25.0%</t>
        </is>
      </c>
    </row>
    <row r="282">
      <c r="A282" s="15" t="inlineStr">
        <is>
          <t>TR-0281</t>
        </is>
      </c>
      <c r="B282" s="15" t="inlineStr">
        <is>
          <t>3256</t>
        </is>
      </c>
      <c r="C282" s="16" t="inlineStr">
        <is>
          <t>Medical Assistants</t>
        </is>
      </c>
      <c r="D282" s="15" t="inlineStr">
        <is>
          <t>2240</t>
        </is>
      </c>
      <c r="E282" s="16" t="inlineStr">
        <is>
          <t>Paramedical Practitioners</t>
        </is>
      </c>
      <c r="F282" s="16" t="inlineStr">
        <is>
          <t>바이오 / 제약 / 임상헬스케어</t>
        </is>
      </c>
      <c r="G282" s="15" t="inlineStr">
        <is>
          <t>vertical_promotion</t>
        </is>
      </c>
      <c r="H282" s="16" t="inlineStr">
        <is>
          <t>conducting, physical, examinations</t>
        </is>
      </c>
      <c r="I282" s="16" t="inlineStr">
        <is>
          <t>심화 Paramedical Practitioners 실무, 프로젝트 관리 역량</t>
        </is>
      </c>
      <c r="J282" s="16" t="inlineStr">
        <is>
          <t>실무 2년 이상 및 전문 자격</t>
        </is>
      </c>
      <c r="K282" s="15" t="inlineStr">
        <is>
          <t>★★★☆☆</t>
        </is>
      </c>
      <c r="L282" s="20" t="inlineStr">
        <is>
          <t>+25.0%</t>
        </is>
      </c>
    </row>
    <row r="283">
      <c r="A283" s="17" t="inlineStr">
        <is>
          <t>TR-0282</t>
        </is>
      </c>
      <c r="B283" s="17" t="inlineStr">
        <is>
          <t>3256</t>
        </is>
      </c>
      <c r="C283" s="18" t="inlineStr">
        <is>
          <t>Medical Assistants</t>
        </is>
      </c>
      <c r="D283" s="17" t="inlineStr">
        <is>
          <t>3214</t>
        </is>
      </c>
      <c r="E283" s="18" t="inlineStr">
        <is>
          <t>Medical and Dental Prosthetic Technicians</t>
        </is>
      </c>
      <c r="F283" s="18" t="inlineStr">
        <is>
          <t>바이오 / 제약 / 임상헬스케어</t>
        </is>
      </c>
      <c r="G283" s="17" t="inlineStr">
        <is>
          <t>horizontal_transfer</t>
        </is>
      </c>
      <c r="H283" s="18" t="inlineStr">
        <is>
          <t>examining, interviewing, measuring</t>
        </is>
      </c>
      <c r="I283" s="18" t="inlineStr">
        <is>
          <t>심화 Medical and Dental Prosthetic Technicians 실무, 프로젝트 관리 역량</t>
        </is>
      </c>
      <c r="J283" s="18" t="inlineStr">
        <is>
          <t>실무 1년 이상 및 전문 자격</t>
        </is>
      </c>
      <c r="K283" s="17" t="inlineStr">
        <is>
          <t>★★☆☆☆</t>
        </is>
      </c>
      <c r="L283" s="21" t="inlineStr">
        <is>
          <t>+15.0%</t>
        </is>
      </c>
    </row>
    <row r="284">
      <c r="A284" s="15" t="inlineStr">
        <is>
          <t>TR-0283</t>
        </is>
      </c>
      <c r="B284" s="15" t="inlineStr">
        <is>
          <t>3256</t>
        </is>
      </c>
      <c r="C284" s="16" t="inlineStr">
        <is>
          <t>Medical Assistants</t>
        </is>
      </c>
      <c r="D284" s="15" t="inlineStr">
        <is>
          <t>3251</t>
        </is>
      </c>
      <c r="E284" s="16" t="inlineStr">
        <is>
          <t>Dental Assistants and Therapists</t>
        </is>
      </c>
      <c r="F284" s="16" t="inlineStr">
        <is>
          <t>바이오 / 제약 / 임상헬스케어</t>
        </is>
      </c>
      <c r="G284" s="15" t="inlineStr">
        <is>
          <t>horizontal_transfer</t>
        </is>
      </c>
      <c r="H284" s="16" t="inlineStr">
        <is>
          <t>advising, communities, individuals</t>
        </is>
      </c>
      <c r="I284" s="16" t="inlineStr">
        <is>
          <t>심화 Dental Assistants and Therapists 실무, 프로젝트 관리 역량</t>
        </is>
      </c>
      <c r="J284" s="16" t="inlineStr">
        <is>
          <t>실무 1년 이상 및 전문 자격</t>
        </is>
      </c>
      <c r="K284" s="15" t="inlineStr">
        <is>
          <t>★★☆☆☆</t>
        </is>
      </c>
      <c r="L284" s="20" t="inlineStr">
        <is>
          <t>+15.0%</t>
        </is>
      </c>
    </row>
    <row r="285">
      <c r="A285" s="17" t="inlineStr">
        <is>
          <t>TR-0284</t>
        </is>
      </c>
      <c r="B285" s="17" t="inlineStr">
        <is>
          <t>3256</t>
        </is>
      </c>
      <c r="C285" s="18" t="inlineStr">
        <is>
          <t>Medical Assistants</t>
        </is>
      </c>
      <c r="D285" s="17" t="inlineStr">
        <is>
          <t>3255</t>
        </is>
      </c>
      <c r="E285" s="18" t="inlineStr">
        <is>
          <t>Physiotherapy Technicians and Assistants</t>
        </is>
      </c>
      <c r="F285" s="18" t="inlineStr">
        <is>
          <t>바이오 / 제약 / 임상헬스케어</t>
        </is>
      </c>
      <c r="G285" s="17" t="inlineStr">
        <is>
          <t>horizontal_transfer</t>
        </is>
      </c>
      <c r="H285" s="18" t="inlineStr">
        <is>
          <t>administering, manual, treatments</t>
        </is>
      </c>
      <c r="I285" s="18" t="inlineStr">
        <is>
          <t>심화 Physiotherapy Technicians and Assistants 실무, 프로젝트 관리 역량</t>
        </is>
      </c>
      <c r="J285" s="18" t="inlineStr">
        <is>
          <t>실무 1년 이상 및 전문 자격</t>
        </is>
      </c>
      <c r="K285" s="17" t="inlineStr">
        <is>
          <t>★★☆☆☆</t>
        </is>
      </c>
      <c r="L285" s="21" t="inlineStr">
        <is>
          <t>+15.0%</t>
        </is>
      </c>
    </row>
    <row r="286">
      <c r="A286" s="15" t="inlineStr">
        <is>
          <t>TR-0285</t>
        </is>
      </c>
      <c r="B286" s="15" t="inlineStr">
        <is>
          <t>3256</t>
        </is>
      </c>
      <c r="C286" s="16" t="inlineStr">
        <is>
          <t>Medical Assistants</t>
        </is>
      </c>
      <c r="D286" s="15" t="inlineStr">
        <is>
          <t>3344</t>
        </is>
      </c>
      <c r="E286" s="16" t="inlineStr">
        <is>
          <t>Medical Secretaries</t>
        </is>
      </c>
      <c r="F286" s="16" t="inlineStr">
        <is>
          <t>바이오 / 제약 / 임상헬스케어</t>
        </is>
      </c>
      <c r="G286" s="15" t="inlineStr">
        <is>
          <t>horizontal_transfer</t>
        </is>
      </c>
      <c r="H286" s="16" t="inlineStr">
        <is>
          <t>scheduling, confirming, medical</t>
        </is>
      </c>
      <c r="I286" s="16" t="inlineStr">
        <is>
          <t>심화 Medical Secretaries 실무, 프로젝트 관리 역량</t>
        </is>
      </c>
      <c r="J286" s="16" t="inlineStr">
        <is>
          <t>실무 1년 이상 및 전문 자격</t>
        </is>
      </c>
      <c r="K286" s="15" t="inlineStr">
        <is>
          <t>★★☆☆☆</t>
        </is>
      </c>
      <c r="L286" s="20" t="inlineStr">
        <is>
          <t>+15.0%</t>
        </is>
      </c>
    </row>
    <row r="287">
      <c r="A287" s="17" t="inlineStr">
        <is>
          <t>TR-0286</t>
        </is>
      </c>
      <c r="B287" s="17" t="inlineStr">
        <is>
          <t>3256</t>
        </is>
      </c>
      <c r="C287" s="18" t="inlineStr">
        <is>
          <t>Medical Assistants</t>
        </is>
      </c>
      <c r="D287" s="17" t="inlineStr">
        <is>
          <t>5329</t>
        </is>
      </c>
      <c r="E287" s="18" t="inlineStr">
        <is>
          <t>Personal Care Workers in Health Services Not Elsewhere Classified</t>
        </is>
      </c>
      <c r="F287" s="18" t="inlineStr">
        <is>
          <t>바이오 / 제약 / 임상헬스케어</t>
        </is>
      </c>
      <c r="G287" s="17" t="inlineStr">
        <is>
          <t>horizontal_transfer</t>
        </is>
      </c>
      <c r="H287" s="18" t="inlineStr">
        <is>
          <t>such, cases, would</t>
        </is>
      </c>
      <c r="I287" s="18" t="inlineStr">
        <is>
          <t>심화 Personal Care Workers in Health Services Not Elsewhere Classified 실무, 프로젝트 관리 역량</t>
        </is>
      </c>
      <c r="J287" s="18" t="inlineStr">
        <is>
          <t>실무 1년 이상 및 전문 자격</t>
        </is>
      </c>
      <c r="K287" s="17" t="inlineStr">
        <is>
          <t>★☆☆☆☆</t>
        </is>
      </c>
      <c r="L287" s="21" t="inlineStr">
        <is>
          <t>+8.0%</t>
        </is>
      </c>
    </row>
    <row r="288">
      <c r="A288" s="15" t="inlineStr">
        <is>
          <t>TR-0287</t>
        </is>
      </c>
      <c r="B288" s="15" t="inlineStr">
        <is>
          <t>3257</t>
        </is>
      </c>
      <c r="C288" s="16" t="inlineStr">
        <is>
          <t>Environmental and Occupational Health Inspectors and Associates</t>
        </is>
      </c>
      <c r="D288" s="15" t="inlineStr">
        <is>
          <t>2263</t>
        </is>
      </c>
      <c r="E288" s="16" t="inlineStr">
        <is>
          <t>Environmental and Occupational Health and Hygiene Professionals</t>
        </is>
      </c>
      <c r="F288" s="16" t="inlineStr">
        <is>
          <t>바이오 / 제약 / 임상헬스케어</t>
        </is>
      </c>
      <c r="G288" s="15" t="inlineStr">
        <is>
          <t>vertical_promotion</t>
        </is>
      </c>
      <c r="H288" s="16" t="inlineStr">
        <is>
          <t>developing, implementing, reviewing</t>
        </is>
      </c>
      <c r="I288" s="16" t="inlineStr">
        <is>
          <t>심화 Environmental and Occupational Health and Hygiene Professionals 실무, 프로젝트 관리 역량</t>
        </is>
      </c>
      <c r="J288" s="16" t="inlineStr">
        <is>
          <t>실무 2년 이상 및 전문 자격</t>
        </is>
      </c>
      <c r="K288" s="15" t="inlineStr">
        <is>
          <t>★★★☆☆</t>
        </is>
      </c>
      <c r="L288" s="20" t="inlineStr">
        <is>
          <t>+25.0%</t>
        </is>
      </c>
    </row>
    <row r="289">
      <c r="A289" s="17" t="inlineStr">
        <is>
          <t>TR-0288</t>
        </is>
      </c>
      <c r="B289" s="17" t="inlineStr">
        <is>
          <t>3258</t>
        </is>
      </c>
      <c r="C289" s="18" t="inlineStr">
        <is>
          <t>Ambulance Workers</t>
        </is>
      </c>
      <c r="D289" s="17" t="inlineStr">
        <is>
          <t>2240</t>
        </is>
      </c>
      <c r="E289" s="18" t="inlineStr">
        <is>
          <t>Paramedical Practitioners</t>
        </is>
      </c>
      <c r="F289" s="18" t="inlineStr">
        <is>
          <t>바이오 / 제약 / 임상헬스케어</t>
        </is>
      </c>
      <c r="G289" s="17" t="inlineStr">
        <is>
          <t>vertical_promotion</t>
        </is>
      </c>
      <c r="H289" s="18" t="inlineStr">
        <is>
          <t>conducting, physical, examinations</t>
        </is>
      </c>
      <c r="I289" s="18" t="inlineStr">
        <is>
          <t>심화 Paramedical Practitioners 실무, 프로젝트 관리 역량</t>
        </is>
      </c>
      <c r="J289" s="18" t="inlineStr">
        <is>
          <t>실무 2년 이상 및 전문 자격</t>
        </is>
      </c>
      <c r="K289" s="17" t="inlineStr">
        <is>
          <t>★★★☆☆</t>
        </is>
      </c>
      <c r="L289" s="21" t="inlineStr">
        <is>
          <t>+25.0%</t>
        </is>
      </c>
    </row>
    <row r="290">
      <c r="A290" s="15" t="inlineStr">
        <is>
          <t>TR-0289</t>
        </is>
      </c>
      <c r="B290" s="15" t="inlineStr">
        <is>
          <t>3258</t>
        </is>
      </c>
      <c r="C290" s="16" t="inlineStr">
        <is>
          <t>Ambulance Workers</t>
        </is>
      </c>
      <c r="D290" s="15" t="inlineStr">
        <is>
          <t>8322</t>
        </is>
      </c>
      <c r="E290" s="16" t="inlineStr">
        <is>
          <t>Car, Taxi and Van Drivers</t>
        </is>
      </c>
      <c r="F290" s="16" t="inlineStr">
        <is>
          <t>바이오 / 제약 / 임상헬스케어</t>
        </is>
      </c>
      <c r="G290" s="15" t="inlineStr">
        <is>
          <t>horizontal_transfer</t>
        </is>
      </c>
      <c r="H290" s="16" t="inlineStr">
        <is>
          <t>driving, tending, passenger</t>
        </is>
      </c>
      <c r="I290" s="16" t="inlineStr">
        <is>
          <t>심화 Car, Taxi and Van Drivers 실무, 프로젝트 관리 역량</t>
        </is>
      </c>
      <c r="J290" s="16" t="inlineStr">
        <is>
          <t>실무 1년 이상 및 전문 자격</t>
        </is>
      </c>
      <c r="K290" s="15" t="inlineStr">
        <is>
          <t>★☆☆☆☆</t>
        </is>
      </c>
      <c r="L290" s="20" t="inlineStr">
        <is>
          <t>+8.0%</t>
        </is>
      </c>
    </row>
    <row r="291">
      <c r="A291" s="17" t="inlineStr">
        <is>
          <t>TR-0290</t>
        </is>
      </c>
      <c r="B291" s="17" t="inlineStr">
        <is>
          <t>3311</t>
        </is>
      </c>
      <c r="C291" s="18" t="inlineStr">
        <is>
          <t>Securities and Finance Dealers and Brokers</t>
        </is>
      </c>
      <c r="D291" s="17" t="inlineStr">
        <is>
          <t>2413</t>
        </is>
      </c>
      <c r="E291" s="18" t="inlineStr">
        <is>
          <t>Financial Analysts</t>
        </is>
      </c>
      <c r="F291" s="18" t="inlineStr">
        <is>
          <t>금융투자 / 핀테크 / 리스크</t>
        </is>
      </c>
      <c r="G291" s="17" t="inlineStr">
        <is>
          <t>vertical_promotion</t>
        </is>
      </c>
      <c r="H291" s="18" t="inlineStr">
        <is>
          <t>analysing, financial, information</t>
        </is>
      </c>
      <c r="I291" s="18" t="inlineStr">
        <is>
          <t>심화 Financial Analysts 실무, 프로젝트 관리 역량</t>
        </is>
      </c>
      <c r="J291" s="18" t="inlineStr">
        <is>
          <t>실무 2년 이상 및 전문 자격</t>
        </is>
      </c>
      <c r="K291" s="17" t="inlineStr">
        <is>
          <t>★★★☆☆</t>
        </is>
      </c>
      <c r="L291" s="21" t="inlineStr">
        <is>
          <t>+25.0%</t>
        </is>
      </c>
    </row>
    <row r="292">
      <c r="A292" s="15" t="inlineStr">
        <is>
          <t>TR-0291</t>
        </is>
      </c>
      <c r="B292" s="15" t="inlineStr">
        <is>
          <t>3311</t>
        </is>
      </c>
      <c r="C292" s="16" t="inlineStr">
        <is>
          <t>Securities and Finance Dealers and Brokers</t>
        </is>
      </c>
      <c r="D292" s="15" t="inlineStr">
        <is>
          <t>3324</t>
        </is>
      </c>
      <c r="E292" s="16" t="inlineStr">
        <is>
          <t>Trade Brokers</t>
        </is>
      </c>
      <c r="F292" s="16" t="inlineStr">
        <is>
          <t>금융투자 / 핀테크 / 리스크</t>
        </is>
      </c>
      <c r="G292" s="15" t="inlineStr">
        <is>
          <t>horizontal_transfer</t>
        </is>
      </c>
      <c r="H292" s="16" t="inlineStr">
        <is>
          <t>establishing, contact, between</t>
        </is>
      </c>
      <c r="I292" s="16" t="inlineStr">
        <is>
          <t>심화 Trade Brokers 실무, 프로젝트 관리 역량</t>
        </is>
      </c>
      <c r="J292" s="16" t="inlineStr">
        <is>
          <t>실무 1년 이상 및 전문 자격</t>
        </is>
      </c>
      <c r="K292" s="15" t="inlineStr">
        <is>
          <t>★★☆☆☆</t>
        </is>
      </c>
      <c r="L292" s="20" t="inlineStr">
        <is>
          <t>+15.0%</t>
        </is>
      </c>
    </row>
    <row r="293">
      <c r="A293" s="17" t="inlineStr">
        <is>
          <t>TR-0292</t>
        </is>
      </c>
      <c r="B293" s="17" t="inlineStr">
        <is>
          <t>3311</t>
        </is>
      </c>
      <c r="C293" s="18" t="inlineStr">
        <is>
          <t>Securities and Finance Dealers and Brokers</t>
        </is>
      </c>
      <c r="D293" s="17" t="inlineStr">
        <is>
          <t>4312</t>
        </is>
      </c>
      <c r="E293" s="18" t="inlineStr">
        <is>
          <t>Statistical, Finance and Insurance Clerks</t>
        </is>
      </c>
      <c r="F293" s="18" t="inlineStr">
        <is>
          <t>금융투자 / 핀테크 / 리스크</t>
        </is>
      </c>
      <c r="G293" s="17" t="inlineStr">
        <is>
          <t>horizontal_transfer</t>
        </is>
      </c>
      <c r="H293" s="18" t="inlineStr">
        <is>
          <t>processing, insurance, enrolments</t>
        </is>
      </c>
      <c r="I293" s="18" t="inlineStr">
        <is>
          <t>심화 Statistical, Finance and Insurance Clerks 실무, 프로젝트 관리 역량</t>
        </is>
      </c>
      <c r="J293" s="18" t="inlineStr">
        <is>
          <t>실무 1년 이상 및 전문 자격</t>
        </is>
      </c>
      <c r="K293" s="17" t="inlineStr">
        <is>
          <t>★☆☆☆☆</t>
        </is>
      </c>
      <c r="L293" s="21" t="inlineStr">
        <is>
          <t>+8.0%</t>
        </is>
      </c>
    </row>
    <row r="294">
      <c r="A294" s="15" t="inlineStr">
        <is>
          <t>TR-0293</t>
        </is>
      </c>
      <c r="B294" s="15" t="inlineStr">
        <is>
          <t>3312</t>
        </is>
      </c>
      <c r="C294" s="16" t="inlineStr">
        <is>
          <t>Credit and Loans Officers</t>
        </is>
      </c>
      <c r="D294" s="15" t="inlineStr">
        <is>
          <t>1346</t>
        </is>
      </c>
      <c r="E294" s="16" t="inlineStr">
        <is>
          <t>Financial and Insurance Services Branch managers</t>
        </is>
      </c>
      <c r="F294" s="16" t="inlineStr">
        <is>
          <t>금융투자 / 핀테크 / 리스크</t>
        </is>
      </c>
      <c r="G294" s="15" t="inlineStr">
        <is>
          <t>vertical_promotion</t>
        </is>
      </c>
      <c r="H294" s="16" t="inlineStr">
        <is>
          <t>planning, coordinating, activities</t>
        </is>
      </c>
      <c r="I294" s="16" t="inlineStr">
        <is>
          <t>심화 Financial and Insurance Services Branch managers 실무, 프로젝트 관리 역량</t>
        </is>
      </c>
      <c r="J294" s="16" t="inlineStr">
        <is>
          <t>실무 4년 이상 및 전문 자격</t>
        </is>
      </c>
      <c r="K294" s="15" t="inlineStr">
        <is>
          <t>★★★★☆</t>
        </is>
      </c>
      <c r="L294" s="20" t="inlineStr">
        <is>
          <t>+35.0%</t>
        </is>
      </c>
    </row>
    <row r="295">
      <c r="A295" s="17" t="inlineStr">
        <is>
          <t>TR-0294</t>
        </is>
      </c>
      <c r="B295" s="17" t="inlineStr">
        <is>
          <t>3313</t>
        </is>
      </c>
      <c r="C295" s="18" t="inlineStr">
        <is>
          <t>Accounting Associate Professionals</t>
        </is>
      </c>
      <c r="D295" s="17" t="inlineStr">
        <is>
          <t>2411</t>
        </is>
      </c>
      <c r="E295" s="18" t="inlineStr">
        <is>
          <t>Accountants</t>
        </is>
      </c>
      <c r="F295" s="18" t="inlineStr">
        <is>
          <t>금융투자 / 핀테크 / 리스크</t>
        </is>
      </c>
      <c r="G295" s="17" t="inlineStr">
        <is>
          <t>vertical_promotion</t>
        </is>
      </c>
      <c r="H295" s="18" t="inlineStr">
        <is>
          <t>advising, planning, installing</t>
        </is>
      </c>
      <c r="I295" s="18" t="inlineStr">
        <is>
          <t>심화 Accountants 실무, 프로젝트 관리 역량</t>
        </is>
      </c>
      <c r="J295" s="18" t="inlineStr">
        <is>
          <t>실무 2년 이상 및 전문 자격</t>
        </is>
      </c>
      <c r="K295" s="17" t="inlineStr">
        <is>
          <t>★★★☆☆</t>
        </is>
      </c>
      <c r="L295" s="21" t="inlineStr">
        <is>
          <t>+25.0%</t>
        </is>
      </c>
    </row>
    <row r="296">
      <c r="A296" s="15" t="inlineStr">
        <is>
          <t>TR-0295</t>
        </is>
      </c>
      <c r="B296" s="15" t="inlineStr">
        <is>
          <t>3313</t>
        </is>
      </c>
      <c r="C296" s="16" t="inlineStr">
        <is>
          <t>Accounting Associate Professionals</t>
        </is>
      </c>
      <c r="D296" s="15" t="inlineStr">
        <is>
          <t>3314</t>
        </is>
      </c>
      <c r="E296" s="16" t="inlineStr">
        <is>
          <t>Statistical, Mathematical and Related Associate Professionals</t>
        </is>
      </c>
      <c r="F296" s="16" t="inlineStr">
        <is>
          <t>금융투자 / 핀테크 / 리스크</t>
        </is>
      </c>
      <c r="G296" s="15" t="inlineStr">
        <is>
          <t>horizontal_transfer</t>
        </is>
      </c>
      <c r="H296" s="16" t="inlineStr">
        <is>
          <t>assisting, planning, statistical</t>
        </is>
      </c>
      <c r="I296" s="16" t="inlineStr">
        <is>
          <t>심화 Statistical, Mathematical and Related Associate Professionals 실무, 프로젝트 관리 역량</t>
        </is>
      </c>
      <c r="J296" s="16" t="inlineStr">
        <is>
          <t>실무 1년 이상 및 전문 자격</t>
        </is>
      </c>
      <c r="K296" s="15" t="inlineStr">
        <is>
          <t>★★☆☆☆</t>
        </is>
      </c>
      <c r="L296" s="20" t="inlineStr">
        <is>
          <t>+15.0%</t>
        </is>
      </c>
    </row>
    <row r="297">
      <c r="A297" s="17" t="inlineStr">
        <is>
          <t>TR-0296</t>
        </is>
      </c>
      <c r="B297" s="17" t="inlineStr">
        <is>
          <t>3313</t>
        </is>
      </c>
      <c r="C297" s="18" t="inlineStr">
        <is>
          <t>Accounting Associate Professionals</t>
        </is>
      </c>
      <c r="D297" s="17" t="inlineStr">
        <is>
          <t>4311</t>
        </is>
      </c>
      <c r="E297" s="18" t="inlineStr">
        <is>
          <t>Accounting and Bookkeeping Clerks</t>
        </is>
      </c>
      <c r="F297" s="18" t="inlineStr">
        <is>
          <t>금융투자 / 핀테크 / 리스크</t>
        </is>
      </c>
      <c r="G297" s="17" t="inlineStr">
        <is>
          <t>horizontal_transfer</t>
        </is>
      </c>
      <c r="H297" s="18" t="inlineStr">
        <is>
          <t>checking, figures, postings</t>
        </is>
      </c>
      <c r="I297" s="18" t="inlineStr">
        <is>
          <t>심화 Accounting and Bookkeeping Clerks 실무, 프로젝트 관리 역량</t>
        </is>
      </c>
      <c r="J297" s="18" t="inlineStr">
        <is>
          <t>실무 1년 이상 및 전문 자격</t>
        </is>
      </c>
      <c r="K297" s="17" t="inlineStr">
        <is>
          <t>★☆☆☆☆</t>
        </is>
      </c>
      <c r="L297" s="21" t="inlineStr">
        <is>
          <t>+8.0%</t>
        </is>
      </c>
    </row>
    <row r="298">
      <c r="A298" s="15" t="inlineStr">
        <is>
          <t>TR-0297</t>
        </is>
      </c>
      <c r="B298" s="15" t="inlineStr">
        <is>
          <t>3314</t>
        </is>
      </c>
      <c r="C298" s="16" t="inlineStr">
        <is>
          <t>Statistical, Mathematical and Related Associate Professionals</t>
        </is>
      </c>
      <c r="D298" s="15" t="inlineStr">
        <is>
          <t>2120</t>
        </is>
      </c>
      <c r="E298" s="16" t="inlineStr">
        <is>
          <t>Mathematicians, Actuaries and Statisticians</t>
        </is>
      </c>
      <c r="F298" s="16" t="inlineStr">
        <is>
          <t>금융투자 / 핀테크 / 리스크</t>
        </is>
      </c>
      <c r="G298" s="15" t="inlineStr">
        <is>
          <t>vertical_promotion</t>
        </is>
      </c>
      <c r="H298" s="16" t="inlineStr">
        <is>
          <t>studying, improving, developing</t>
        </is>
      </c>
      <c r="I298" s="16" t="inlineStr">
        <is>
          <t>심화 Mathematicians, Actuaries and Statisticians 실무, 프로젝트 관리 역량</t>
        </is>
      </c>
      <c r="J298" s="16" t="inlineStr">
        <is>
          <t>실무 2년 이상 및 전문 자격</t>
        </is>
      </c>
      <c r="K298" s="15" t="inlineStr">
        <is>
          <t>★★★☆☆</t>
        </is>
      </c>
      <c r="L298" s="20" t="inlineStr">
        <is>
          <t>+25.0%</t>
        </is>
      </c>
    </row>
    <row r="299">
      <c r="A299" s="17" t="inlineStr">
        <is>
          <t>TR-0298</t>
        </is>
      </c>
      <c r="B299" s="17" t="inlineStr">
        <is>
          <t>3314</t>
        </is>
      </c>
      <c r="C299" s="18" t="inlineStr">
        <is>
          <t>Statistical, Mathematical and Related Associate Professionals</t>
        </is>
      </c>
      <c r="D299" s="17" t="inlineStr">
        <is>
          <t>3313</t>
        </is>
      </c>
      <c r="E299" s="18" t="inlineStr">
        <is>
          <t>Accounting Associate Professionals</t>
        </is>
      </c>
      <c r="F299" s="18" t="inlineStr">
        <is>
          <t>금융투자 / 핀테크 / 리스크</t>
        </is>
      </c>
      <c r="G299" s="17" t="inlineStr">
        <is>
          <t>horizontal_transfer</t>
        </is>
      </c>
      <c r="H299" s="18" t="inlineStr">
        <is>
          <t>maintaining, complete, records</t>
        </is>
      </c>
      <c r="I299" s="18" t="inlineStr">
        <is>
          <t>심화 Accounting Associate Professionals 실무, 프로젝트 관리 역량</t>
        </is>
      </c>
      <c r="J299" s="18" t="inlineStr">
        <is>
          <t>실무 1년 이상 및 전문 자격</t>
        </is>
      </c>
      <c r="K299" s="17" t="inlineStr">
        <is>
          <t>★★☆☆☆</t>
        </is>
      </c>
      <c r="L299" s="21" t="inlineStr">
        <is>
          <t>+15.0%</t>
        </is>
      </c>
    </row>
    <row r="300">
      <c r="A300" s="15" t="inlineStr">
        <is>
          <t>TR-0299</t>
        </is>
      </c>
      <c r="B300" s="15" t="inlineStr">
        <is>
          <t>3314</t>
        </is>
      </c>
      <c r="C300" s="16" t="inlineStr">
        <is>
          <t>Statistical, Mathematical and Related Associate Professionals</t>
        </is>
      </c>
      <c r="D300" s="15" t="inlineStr">
        <is>
          <t>4312</t>
        </is>
      </c>
      <c r="E300" s="16" t="inlineStr">
        <is>
          <t>Statistical, Finance and Insurance Clerks</t>
        </is>
      </c>
      <c r="F300" s="16" t="inlineStr">
        <is>
          <t>금융투자 / 핀테크 / 리스크</t>
        </is>
      </c>
      <c r="G300" s="15" t="inlineStr">
        <is>
          <t>horizontal_transfer</t>
        </is>
      </c>
      <c r="H300" s="16" t="inlineStr">
        <is>
          <t>processing, insurance, enrolments</t>
        </is>
      </c>
      <c r="I300" s="16" t="inlineStr">
        <is>
          <t>심화 Statistical, Finance and Insurance Clerks 실무, 프로젝트 관리 역량</t>
        </is>
      </c>
      <c r="J300" s="16" t="inlineStr">
        <is>
          <t>실무 1년 이상 및 전문 자격</t>
        </is>
      </c>
      <c r="K300" s="15" t="inlineStr">
        <is>
          <t>★☆☆☆☆</t>
        </is>
      </c>
      <c r="L300" s="20" t="inlineStr">
        <is>
          <t>+8.0%</t>
        </is>
      </c>
    </row>
    <row r="301">
      <c r="A301" s="17" t="inlineStr">
        <is>
          <t>TR-0300</t>
        </is>
      </c>
      <c r="B301" s="17" t="inlineStr">
        <is>
          <t>3315</t>
        </is>
      </c>
      <c r="C301" s="18" t="inlineStr">
        <is>
          <t>Valuers and Loss Assessors</t>
        </is>
      </c>
      <c r="D301" s="17" t="inlineStr">
        <is>
          <t>3339</t>
        </is>
      </c>
      <c r="E301" s="18" t="inlineStr">
        <is>
          <t>Business Services Agents Not Elsewhere Classified</t>
        </is>
      </c>
      <c r="F301" s="18" t="inlineStr">
        <is>
          <t>금융투자 / 핀테크 / 리스크</t>
        </is>
      </c>
      <c r="G301" s="17" t="inlineStr">
        <is>
          <t>horizontal_transfer</t>
        </is>
      </c>
      <c r="H301" s="18" t="inlineStr">
        <is>
          <t>such, cases, would</t>
        </is>
      </c>
      <c r="I301" s="18" t="inlineStr">
        <is>
          <t>심화 Business Services Agents Not Elsewhere Classified 실무, 프로젝트 관리 역량</t>
        </is>
      </c>
      <c r="J301" s="18" t="inlineStr">
        <is>
          <t>실무 1년 이상 및 전문 자격</t>
        </is>
      </c>
      <c r="K301" s="17" t="inlineStr">
        <is>
          <t>★★☆☆☆</t>
        </is>
      </c>
      <c r="L301" s="21" t="inlineStr">
        <is>
          <t>+15.0%</t>
        </is>
      </c>
    </row>
    <row r="302">
      <c r="A302" s="15" t="inlineStr">
        <is>
          <t>TR-0301</t>
        </is>
      </c>
      <c r="B302" s="15" t="inlineStr">
        <is>
          <t>3321</t>
        </is>
      </c>
      <c r="C302" s="16" t="inlineStr">
        <is>
          <t>Insurance Representatives</t>
        </is>
      </c>
      <c r="D302" s="15" t="inlineStr">
        <is>
          <t>1346</t>
        </is>
      </c>
      <c r="E302" s="16" t="inlineStr">
        <is>
          <t>Financial and Insurance Services Branch managers</t>
        </is>
      </c>
      <c r="F302" s="16" t="inlineStr">
        <is>
          <t>금융투자 / 핀테크 / 리스크</t>
        </is>
      </c>
      <c r="G302" s="15" t="inlineStr">
        <is>
          <t>vertical_promotion</t>
        </is>
      </c>
      <c r="H302" s="16" t="inlineStr">
        <is>
          <t>planning, coordinating, activities</t>
        </is>
      </c>
      <c r="I302" s="16" t="inlineStr">
        <is>
          <t>심화 Financial and Insurance Services Branch managers 실무, 프로젝트 관리 역량</t>
        </is>
      </c>
      <c r="J302" s="16" t="inlineStr">
        <is>
          <t>실무 4년 이상 및 전문 자격</t>
        </is>
      </c>
      <c r="K302" s="15" t="inlineStr">
        <is>
          <t>★★★★☆</t>
        </is>
      </c>
      <c r="L302" s="20" t="inlineStr">
        <is>
          <t>+35.0%</t>
        </is>
      </c>
    </row>
    <row r="303">
      <c r="A303" s="17" t="inlineStr">
        <is>
          <t>TR-0302</t>
        </is>
      </c>
      <c r="B303" s="17" t="inlineStr">
        <is>
          <t>3321</t>
        </is>
      </c>
      <c r="C303" s="18" t="inlineStr">
        <is>
          <t>Insurance Representatives</t>
        </is>
      </c>
      <c r="D303" s="17" t="inlineStr">
        <is>
          <t>3311</t>
        </is>
      </c>
      <c r="E303" s="18" t="inlineStr">
        <is>
          <t>Securities and Finance Dealers and Brokers</t>
        </is>
      </c>
      <c r="F303" s="18" t="inlineStr">
        <is>
          <t>금융투자 / 핀테크 / 리스크</t>
        </is>
      </c>
      <c r="G303" s="17" t="inlineStr">
        <is>
          <t>horizontal_transfer</t>
        </is>
      </c>
      <c r="H303" s="18" t="inlineStr">
        <is>
          <t>obtaining, information, about</t>
        </is>
      </c>
      <c r="I303" s="18" t="inlineStr">
        <is>
          <t>심화 Securities and Finance Dealers and Brokers 실무, 프로젝트 관리 역량</t>
        </is>
      </c>
      <c r="J303" s="18" t="inlineStr">
        <is>
          <t>실무 1년 이상 및 전문 자격</t>
        </is>
      </c>
      <c r="K303" s="17" t="inlineStr">
        <is>
          <t>★★☆☆☆</t>
        </is>
      </c>
      <c r="L303" s="21" t="inlineStr">
        <is>
          <t>+15.0%</t>
        </is>
      </c>
    </row>
    <row r="304">
      <c r="A304" s="15" t="inlineStr">
        <is>
          <t>TR-0303</t>
        </is>
      </c>
      <c r="B304" s="15" t="inlineStr">
        <is>
          <t>3321</t>
        </is>
      </c>
      <c r="C304" s="16" t="inlineStr">
        <is>
          <t>Insurance Representatives</t>
        </is>
      </c>
      <c r="D304" s="15" t="inlineStr">
        <is>
          <t>3315</t>
        </is>
      </c>
      <c r="E304" s="16" t="inlineStr">
        <is>
          <t>Valuers and Loss Assessors</t>
        </is>
      </c>
      <c r="F304" s="16" t="inlineStr">
        <is>
          <t>금융투자 / 핀테크 / 리스크</t>
        </is>
      </c>
      <c r="G304" s="15" t="inlineStr">
        <is>
          <t>horizontal_transfer</t>
        </is>
      </c>
      <c r="H304" s="16" t="inlineStr">
        <is>
          <t>determining, quality, value</t>
        </is>
      </c>
      <c r="I304" s="16" t="inlineStr">
        <is>
          <t>심화 Valuers and Loss Assessors 실무, 프로젝트 관리 역량</t>
        </is>
      </c>
      <c r="J304" s="16" t="inlineStr">
        <is>
          <t>실무 1년 이상 및 전문 자격</t>
        </is>
      </c>
      <c r="K304" s="15" t="inlineStr">
        <is>
          <t>★★☆☆☆</t>
        </is>
      </c>
      <c r="L304" s="20" t="inlineStr">
        <is>
          <t>+15.0%</t>
        </is>
      </c>
    </row>
    <row r="305">
      <c r="A305" s="17" t="inlineStr">
        <is>
          <t>TR-0304</t>
        </is>
      </c>
      <c r="B305" s="17" t="inlineStr">
        <is>
          <t>3321</t>
        </is>
      </c>
      <c r="C305" s="18" t="inlineStr">
        <is>
          <t>Insurance Representatives</t>
        </is>
      </c>
      <c r="D305" s="17" t="inlineStr">
        <is>
          <t>4312</t>
        </is>
      </c>
      <c r="E305" s="18" t="inlineStr">
        <is>
          <t>Statistical, Finance and Insurance Clerks</t>
        </is>
      </c>
      <c r="F305" s="18" t="inlineStr">
        <is>
          <t>금융투자 / 핀테크 / 리스크</t>
        </is>
      </c>
      <c r="G305" s="17" t="inlineStr">
        <is>
          <t>horizontal_transfer</t>
        </is>
      </c>
      <c r="H305" s="18" t="inlineStr">
        <is>
          <t>processing, insurance, enrolments</t>
        </is>
      </c>
      <c r="I305" s="18" t="inlineStr">
        <is>
          <t>심화 Statistical, Finance and Insurance Clerks 실무, 프로젝트 관리 역량</t>
        </is>
      </c>
      <c r="J305" s="18" t="inlineStr">
        <is>
          <t>실무 1년 이상 및 전문 자격</t>
        </is>
      </c>
      <c r="K305" s="17" t="inlineStr">
        <is>
          <t>★☆☆☆☆</t>
        </is>
      </c>
      <c r="L305" s="21" t="inlineStr">
        <is>
          <t>+8.0%</t>
        </is>
      </c>
    </row>
    <row r="306">
      <c r="A306" s="15" t="inlineStr">
        <is>
          <t>TR-0305</t>
        </is>
      </c>
      <c r="B306" s="15" t="inlineStr">
        <is>
          <t>3322</t>
        </is>
      </c>
      <c r="C306" s="16" t="inlineStr">
        <is>
          <t>Commercial Sales Representatives</t>
        </is>
      </c>
      <c r="D306" s="15" t="inlineStr">
        <is>
          <t>1221</t>
        </is>
      </c>
      <c r="E306" s="16" t="inlineStr">
        <is>
          <t>Sales and Marketing Managers</t>
        </is>
      </c>
      <c r="F306" s="16" t="inlineStr">
        <is>
          <t>금융투자 / 핀테크 / 리스크</t>
        </is>
      </c>
      <c r="G306" s="15" t="inlineStr">
        <is>
          <t>vertical_promotion</t>
        </is>
      </c>
      <c r="H306" s="16" t="inlineStr">
        <is>
          <t>planning, organizing, special</t>
        </is>
      </c>
      <c r="I306" s="16" t="inlineStr">
        <is>
          <t>심화 Sales and Marketing Managers 실무, 프로젝트 관리 역량</t>
        </is>
      </c>
      <c r="J306" s="16" t="inlineStr">
        <is>
          <t>실무 4년 이상 및 전문 자격</t>
        </is>
      </c>
      <c r="K306" s="15" t="inlineStr">
        <is>
          <t>★★★★☆</t>
        </is>
      </c>
      <c r="L306" s="20" t="inlineStr">
        <is>
          <t>+35.0%</t>
        </is>
      </c>
    </row>
    <row r="307">
      <c r="A307" s="17" t="inlineStr">
        <is>
          <t>TR-0306</t>
        </is>
      </c>
      <c r="B307" s="17" t="inlineStr">
        <is>
          <t>3322</t>
        </is>
      </c>
      <c r="C307" s="18" t="inlineStr">
        <is>
          <t>Commercial Sales Representatives</t>
        </is>
      </c>
      <c r="D307" s="17" t="inlineStr">
        <is>
          <t>2433</t>
        </is>
      </c>
      <c r="E307" s="18" t="inlineStr">
        <is>
          <t>Technical and Medical Sales Professionals (excluding ICT)</t>
        </is>
      </c>
      <c r="F307" s="18" t="inlineStr">
        <is>
          <t>금융투자 / 핀테크 / 리스크</t>
        </is>
      </c>
      <c r="G307" s="17" t="inlineStr">
        <is>
          <t>vertical_promotion</t>
        </is>
      </c>
      <c r="H307" s="18" t="inlineStr">
        <is>
          <t>compiling, lists, prospective</t>
        </is>
      </c>
      <c r="I307" s="18" t="inlineStr">
        <is>
          <t>심화 Technical and Medical Sales Professionals (excluding ICT) 실무, 프로젝트 관리 역량</t>
        </is>
      </c>
      <c r="J307" s="18" t="inlineStr">
        <is>
          <t>실무 2년 이상 및 전문 자격</t>
        </is>
      </c>
      <c r="K307" s="17" t="inlineStr">
        <is>
          <t>★★★☆☆</t>
        </is>
      </c>
      <c r="L307" s="21" t="inlineStr">
        <is>
          <t>+25.0%</t>
        </is>
      </c>
    </row>
    <row r="308">
      <c r="A308" s="15" t="inlineStr">
        <is>
          <t>TR-0307</t>
        </is>
      </c>
      <c r="B308" s="15" t="inlineStr">
        <is>
          <t>3322</t>
        </is>
      </c>
      <c r="C308" s="16" t="inlineStr">
        <is>
          <t>Commercial Sales Representatives</t>
        </is>
      </c>
      <c r="D308" s="15" t="inlineStr">
        <is>
          <t>2434</t>
        </is>
      </c>
      <c r="E308" s="16" t="inlineStr">
        <is>
          <t>Information and Communications Technology Sales Professionals</t>
        </is>
      </c>
      <c r="F308" s="16" t="inlineStr">
        <is>
          <t>금융투자 / 핀테크 / 리스크</t>
        </is>
      </c>
      <c r="G308" s="15" t="inlineStr">
        <is>
          <t>vertical_promotion</t>
        </is>
      </c>
      <c r="H308" s="16" t="inlineStr">
        <is>
          <t>soliciting, orders, selling</t>
        </is>
      </c>
      <c r="I308" s="16" t="inlineStr">
        <is>
          <t>심화 Information and Communications Technology Sales Professionals 실무, 프로젝트 관리 역량</t>
        </is>
      </c>
      <c r="J308" s="16" t="inlineStr">
        <is>
          <t>실무 2년 이상 및 전문 자격</t>
        </is>
      </c>
      <c r="K308" s="15" t="inlineStr">
        <is>
          <t>★★★☆☆</t>
        </is>
      </c>
      <c r="L308" s="20" t="inlineStr">
        <is>
          <t>+25.0%</t>
        </is>
      </c>
    </row>
    <row r="309">
      <c r="A309" s="17" t="inlineStr">
        <is>
          <t>TR-0308</t>
        </is>
      </c>
      <c r="B309" s="17" t="inlineStr">
        <is>
          <t>3322</t>
        </is>
      </c>
      <c r="C309" s="18" t="inlineStr">
        <is>
          <t>Commercial Sales Representatives</t>
        </is>
      </c>
      <c r="D309" s="17" t="inlineStr">
        <is>
          <t>5223</t>
        </is>
      </c>
      <c r="E309" s="18" t="inlineStr">
        <is>
          <t>Shop Sales Assistants</t>
        </is>
      </c>
      <c r="F309" s="18" t="inlineStr">
        <is>
          <t>금융투자 / 핀테크 / 리스크</t>
        </is>
      </c>
      <c r="G309" s="17" t="inlineStr">
        <is>
          <t>horizontal_transfer</t>
        </is>
      </c>
      <c r="H309" s="18" t="inlineStr">
        <is>
          <t>determining, customer, requirements</t>
        </is>
      </c>
      <c r="I309" s="18" t="inlineStr">
        <is>
          <t>심화 Shop Sales Assistants 실무, 프로젝트 관리 역량</t>
        </is>
      </c>
      <c r="J309" s="18" t="inlineStr">
        <is>
          <t>실무 1년 이상 및 전문 자격</t>
        </is>
      </c>
      <c r="K309" s="17" t="inlineStr">
        <is>
          <t>★☆☆☆☆</t>
        </is>
      </c>
      <c r="L309" s="21" t="inlineStr">
        <is>
          <t>+8.0%</t>
        </is>
      </c>
    </row>
    <row r="310">
      <c r="A310" s="15" t="inlineStr">
        <is>
          <t>TR-0309</t>
        </is>
      </c>
      <c r="B310" s="15" t="inlineStr">
        <is>
          <t>3322</t>
        </is>
      </c>
      <c r="C310" s="16" t="inlineStr">
        <is>
          <t>Commercial Sales Representatives</t>
        </is>
      </c>
      <c r="D310" s="15" t="inlineStr">
        <is>
          <t>5243</t>
        </is>
      </c>
      <c r="E310" s="16" t="inlineStr">
        <is>
          <t>Door-to-door Salespersons</t>
        </is>
      </c>
      <c r="F310" s="16" t="inlineStr">
        <is>
          <t>금융투자 / 핀테크 / 리스크</t>
        </is>
      </c>
      <c r="G310" s="15" t="inlineStr">
        <is>
          <t>horizontal_transfer</t>
        </is>
      </c>
      <c r="H310" s="16" t="inlineStr">
        <is>
          <t>giving, details, various</t>
        </is>
      </c>
      <c r="I310" s="16" t="inlineStr">
        <is>
          <t>심화 Door-to-door Salespersons 실무, 프로젝트 관리 역량</t>
        </is>
      </c>
      <c r="J310" s="16" t="inlineStr">
        <is>
          <t>실무 1년 이상 및 전문 자격</t>
        </is>
      </c>
      <c r="K310" s="15" t="inlineStr">
        <is>
          <t>★☆☆☆☆</t>
        </is>
      </c>
      <c r="L310" s="20" t="inlineStr">
        <is>
          <t>+8.0%</t>
        </is>
      </c>
    </row>
    <row r="311">
      <c r="A311" s="17" t="inlineStr">
        <is>
          <t>TR-0310</t>
        </is>
      </c>
      <c r="B311" s="17" t="inlineStr">
        <is>
          <t>3323</t>
        </is>
      </c>
      <c r="C311" s="18" t="inlineStr">
        <is>
          <t>Buyers</t>
        </is>
      </c>
      <c r="D311" s="17" t="inlineStr">
        <is>
          <t>3324</t>
        </is>
      </c>
      <c r="E311" s="18" t="inlineStr">
        <is>
          <t>Trade Brokers</t>
        </is>
      </c>
      <c r="F311" s="18" t="inlineStr">
        <is>
          <t>금융투자 / 핀테크 / 리스크</t>
        </is>
      </c>
      <c r="G311" s="17" t="inlineStr">
        <is>
          <t>horizontal_transfer</t>
        </is>
      </c>
      <c r="H311" s="18" t="inlineStr">
        <is>
          <t>establishing, contact, between</t>
        </is>
      </c>
      <c r="I311" s="18" t="inlineStr">
        <is>
          <t>심화 Trade Brokers 실무, 프로젝트 관리 역량</t>
        </is>
      </c>
      <c r="J311" s="18" t="inlineStr">
        <is>
          <t>실무 1년 이상 및 전문 자격</t>
        </is>
      </c>
      <c r="K311" s="17" t="inlineStr">
        <is>
          <t>★★☆☆☆</t>
        </is>
      </c>
      <c r="L311" s="21" t="inlineStr">
        <is>
          <t>+15.0%</t>
        </is>
      </c>
    </row>
    <row r="312">
      <c r="A312" s="15" t="inlineStr">
        <is>
          <t>TR-0311</t>
        </is>
      </c>
      <c r="B312" s="15" t="inlineStr">
        <is>
          <t>3324</t>
        </is>
      </c>
      <c r="C312" s="16" t="inlineStr">
        <is>
          <t>Trade Brokers</t>
        </is>
      </c>
      <c r="D312" s="15" t="inlineStr">
        <is>
          <t>3311</t>
        </is>
      </c>
      <c r="E312" s="16" t="inlineStr">
        <is>
          <t>Securities and Finance Dealers and Brokers</t>
        </is>
      </c>
      <c r="F312" s="16" t="inlineStr">
        <is>
          <t>금융투자 / 핀테크 / 리스크</t>
        </is>
      </c>
      <c r="G312" s="15" t="inlineStr">
        <is>
          <t>horizontal_transfer</t>
        </is>
      </c>
      <c r="H312" s="16" t="inlineStr">
        <is>
          <t>obtaining, information, about</t>
        </is>
      </c>
      <c r="I312" s="16" t="inlineStr">
        <is>
          <t>심화 Securities and Finance Dealers and Brokers 실무, 프로젝트 관리 역량</t>
        </is>
      </c>
      <c r="J312" s="16" t="inlineStr">
        <is>
          <t>실무 1년 이상 및 전문 자격</t>
        </is>
      </c>
      <c r="K312" s="15" t="inlineStr">
        <is>
          <t>★★☆☆☆</t>
        </is>
      </c>
      <c r="L312" s="20" t="inlineStr">
        <is>
          <t>+15.0%</t>
        </is>
      </c>
    </row>
    <row r="313">
      <c r="A313" s="17" t="inlineStr">
        <is>
          <t>TR-0312</t>
        </is>
      </c>
      <c r="B313" s="17" t="inlineStr">
        <is>
          <t>3324</t>
        </is>
      </c>
      <c r="C313" s="18" t="inlineStr">
        <is>
          <t>Trade Brokers</t>
        </is>
      </c>
      <c r="D313" s="17" t="inlineStr">
        <is>
          <t>3321</t>
        </is>
      </c>
      <c r="E313" s="18" t="inlineStr">
        <is>
          <t>Insurance Representatives</t>
        </is>
      </c>
      <c r="F313" s="18" t="inlineStr">
        <is>
          <t>금융투자 / 핀테크 / 리스크</t>
        </is>
      </c>
      <c r="G313" s="17" t="inlineStr">
        <is>
          <t>horizontal_transfer</t>
        </is>
      </c>
      <c r="H313" s="18" t="inlineStr">
        <is>
          <t>obtaining, information, about</t>
        </is>
      </c>
      <c r="I313" s="18" t="inlineStr">
        <is>
          <t>심화 Insurance Representatives 실무, 프로젝트 관리 역량</t>
        </is>
      </c>
      <c r="J313" s="18" t="inlineStr">
        <is>
          <t>실무 1년 이상 및 전문 자격</t>
        </is>
      </c>
      <c r="K313" s="17" t="inlineStr">
        <is>
          <t>★★☆☆☆</t>
        </is>
      </c>
      <c r="L313" s="21" t="inlineStr">
        <is>
          <t>+15.0%</t>
        </is>
      </c>
    </row>
    <row r="314">
      <c r="A314" s="15" t="inlineStr">
        <is>
          <t>TR-0313</t>
        </is>
      </c>
      <c r="B314" s="15" t="inlineStr">
        <is>
          <t>3333</t>
        </is>
      </c>
      <c r="C314" s="16" t="inlineStr">
        <is>
          <t>Employment agents and contractors</t>
        </is>
      </c>
      <c r="D314" s="15" t="inlineStr">
        <is>
          <t>2423</t>
        </is>
      </c>
      <c r="E314" s="16" t="inlineStr">
        <is>
          <t>Personnel and Careers Professionals</t>
        </is>
      </c>
      <c r="F314" s="16" t="inlineStr">
        <is>
          <t>금융투자 / 핀테크 / 리스크</t>
        </is>
      </c>
      <c r="G314" s="15" t="inlineStr">
        <is>
          <t>vertical_promotion</t>
        </is>
      </c>
      <c r="H314" s="16" t="inlineStr">
        <is>
          <t>advising, personnel, functions</t>
        </is>
      </c>
      <c r="I314" s="16" t="inlineStr">
        <is>
          <t>심화 Personnel and Careers Professionals 실무, 프로젝트 관리 역량</t>
        </is>
      </c>
      <c r="J314" s="16" t="inlineStr">
        <is>
          <t>실무 2년 이상 및 전문 자격</t>
        </is>
      </c>
      <c r="K314" s="15" t="inlineStr">
        <is>
          <t>★★★☆☆</t>
        </is>
      </c>
      <c r="L314" s="20" t="inlineStr">
        <is>
          <t>+25.0%</t>
        </is>
      </c>
    </row>
    <row r="315">
      <c r="A315" s="17" t="inlineStr">
        <is>
          <t>TR-0314</t>
        </is>
      </c>
      <c r="B315" s="17" t="inlineStr">
        <is>
          <t>3333</t>
        </is>
      </c>
      <c r="C315" s="18" t="inlineStr">
        <is>
          <t>Employment agents and contractors</t>
        </is>
      </c>
      <c r="D315" s="17" t="inlineStr">
        <is>
          <t>3339</t>
        </is>
      </c>
      <c r="E315" s="18" t="inlineStr">
        <is>
          <t>Business Services Agents Not Elsewhere Classified</t>
        </is>
      </c>
      <c r="F315" s="18" t="inlineStr">
        <is>
          <t>금융투자 / 핀테크 / 리스크</t>
        </is>
      </c>
      <c r="G315" s="17" t="inlineStr">
        <is>
          <t>horizontal_transfer</t>
        </is>
      </c>
      <c r="H315" s="18" t="inlineStr">
        <is>
          <t>such, cases, would</t>
        </is>
      </c>
      <c r="I315" s="18" t="inlineStr">
        <is>
          <t>심화 Business Services Agents Not Elsewhere Classified 실무, 프로젝트 관리 역량</t>
        </is>
      </c>
      <c r="J315" s="18" t="inlineStr">
        <is>
          <t>실무 1년 이상 및 전문 자격</t>
        </is>
      </c>
      <c r="K315" s="17" t="inlineStr">
        <is>
          <t>★★☆☆☆</t>
        </is>
      </c>
      <c r="L315" s="21" t="inlineStr">
        <is>
          <t>+15.0%</t>
        </is>
      </c>
    </row>
    <row r="316">
      <c r="A316" s="15" t="inlineStr">
        <is>
          <t>TR-0315</t>
        </is>
      </c>
      <c r="B316" s="15" t="inlineStr">
        <is>
          <t>3334</t>
        </is>
      </c>
      <c r="C316" s="16" t="inlineStr">
        <is>
          <t>Real Estate Agents and Property Managers</t>
        </is>
      </c>
      <c r="D316" s="15" t="inlineStr">
        <is>
          <t>4312</t>
        </is>
      </c>
      <c r="E316" s="16" t="inlineStr">
        <is>
          <t>Statistical, Finance and Insurance Clerks</t>
        </is>
      </c>
      <c r="F316" s="16" t="inlineStr">
        <is>
          <t>금융투자 / 핀테크 / 리스크</t>
        </is>
      </c>
      <c r="G316" s="15" t="inlineStr">
        <is>
          <t>horizontal_transfer</t>
        </is>
      </c>
      <c r="H316" s="16" t="inlineStr">
        <is>
          <t>processing, insurance, enrolments</t>
        </is>
      </c>
      <c r="I316" s="16" t="inlineStr">
        <is>
          <t>심화 Statistical, Finance and Insurance Clerks 실무, 프로젝트 관리 역량</t>
        </is>
      </c>
      <c r="J316" s="16" t="inlineStr">
        <is>
          <t>실무 1년 이상 및 전문 자격</t>
        </is>
      </c>
      <c r="K316" s="15" t="inlineStr">
        <is>
          <t>★☆☆☆☆</t>
        </is>
      </c>
      <c r="L316" s="20" t="inlineStr">
        <is>
          <t>+8.0%</t>
        </is>
      </c>
    </row>
    <row r="317">
      <c r="A317" s="17" t="inlineStr">
        <is>
          <t>TR-0316</t>
        </is>
      </c>
      <c r="B317" s="17" t="inlineStr">
        <is>
          <t>3341</t>
        </is>
      </c>
      <c r="C317" s="18" t="inlineStr">
        <is>
          <t>Office Supervisors</t>
        </is>
      </c>
      <c r="D317" s="17" t="inlineStr">
        <is>
          <t>3252</t>
        </is>
      </c>
      <c r="E317" s="18" t="inlineStr">
        <is>
          <t>Medical Records and Health Information Technicians</t>
        </is>
      </c>
      <c r="F317" s="18" t="inlineStr">
        <is>
          <t>금융투자 / 핀테크 / 리스크</t>
        </is>
      </c>
      <c r="G317" s="17" t="inlineStr">
        <is>
          <t>horizontal_transfer</t>
        </is>
      </c>
      <c r="H317" s="18" t="inlineStr">
        <is>
          <t>planning, developing, maintaining</t>
        </is>
      </c>
      <c r="I317" s="18" t="inlineStr">
        <is>
          <t>심화 Medical Records and Health Information Technicians 실무, 프로젝트 관리 역량</t>
        </is>
      </c>
      <c r="J317" s="18" t="inlineStr">
        <is>
          <t>실무 1년 이상 및 전문 자격</t>
        </is>
      </c>
      <c r="K317" s="17" t="inlineStr">
        <is>
          <t>★★☆☆☆</t>
        </is>
      </c>
      <c r="L317" s="21" t="inlineStr">
        <is>
          <t>+15.0%</t>
        </is>
      </c>
    </row>
    <row r="318">
      <c r="A318" s="15" t="inlineStr">
        <is>
          <t>TR-0317</t>
        </is>
      </c>
      <c r="B318" s="15" t="inlineStr">
        <is>
          <t>3342</t>
        </is>
      </c>
      <c r="C318" s="16" t="inlineStr">
        <is>
          <t>Legal Secretaries</t>
        </is>
      </c>
      <c r="D318" s="15" t="inlineStr">
        <is>
          <t>3411</t>
        </is>
      </c>
      <c r="E318" s="16" t="inlineStr">
        <is>
          <t>Legal and Related Associate Professionals</t>
        </is>
      </c>
      <c r="F318" s="16" t="inlineStr">
        <is>
          <t>금융투자 / 핀테크 / 리스크</t>
        </is>
      </c>
      <c r="G318" s="15" t="inlineStr">
        <is>
          <t>horizontal_transfer</t>
        </is>
      </c>
      <c r="H318" s="16" t="inlineStr">
        <is>
          <t>documenting, court, proceedings</t>
        </is>
      </c>
      <c r="I318" s="16" t="inlineStr">
        <is>
          <t>심화 Legal and Related Associate Professionals 실무, 프로젝트 관리 역량</t>
        </is>
      </c>
      <c r="J318" s="16" t="inlineStr">
        <is>
          <t>실무 1년 이상 및 전문 자격</t>
        </is>
      </c>
      <c r="K318" s="15" t="inlineStr">
        <is>
          <t>★★☆☆☆</t>
        </is>
      </c>
      <c r="L318" s="20" t="inlineStr">
        <is>
          <t>+15.0%</t>
        </is>
      </c>
    </row>
    <row r="319">
      <c r="A319" s="17" t="inlineStr">
        <is>
          <t>TR-0318</t>
        </is>
      </c>
      <c r="B319" s="17" t="inlineStr">
        <is>
          <t>3343</t>
        </is>
      </c>
      <c r="C319" s="18" t="inlineStr">
        <is>
          <t>Administrative and Executive Secretaries</t>
        </is>
      </c>
      <c r="D319" s="17" t="inlineStr">
        <is>
          <t>3344</t>
        </is>
      </c>
      <c r="E319" s="18" t="inlineStr">
        <is>
          <t>Medical Secretaries</t>
        </is>
      </c>
      <c r="F319" s="18" t="inlineStr">
        <is>
          <t>금융투자 / 핀테크 / 리스크</t>
        </is>
      </c>
      <c r="G319" s="17" t="inlineStr">
        <is>
          <t>horizontal_transfer</t>
        </is>
      </c>
      <c r="H319" s="18" t="inlineStr">
        <is>
          <t>scheduling, confirming, medical</t>
        </is>
      </c>
      <c r="I319" s="18" t="inlineStr">
        <is>
          <t>심화 Medical Secretaries 실무, 프로젝트 관리 역량</t>
        </is>
      </c>
      <c r="J319" s="18" t="inlineStr">
        <is>
          <t>실무 1년 이상 및 전문 자격</t>
        </is>
      </c>
      <c r="K319" s="17" t="inlineStr">
        <is>
          <t>★★☆☆☆</t>
        </is>
      </c>
      <c r="L319" s="21" t="inlineStr">
        <is>
          <t>+15.0%</t>
        </is>
      </c>
    </row>
    <row r="320">
      <c r="A320" s="15" t="inlineStr">
        <is>
          <t>TR-0319</t>
        </is>
      </c>
      <c r="B320" s="15" t="inlineStr">
        <is>
          <t>3343</t>
        </is>
      </c>
      <c r="C320" s="16" t="inlineStr">
        <is>
          <t>Administrative and Executive Secretaries</t>
        </is>
      </c>
      <c r="D320" s="15" t="inlineStr">
        <is>
          <t>4120</t>
        </is>
      </c>
      <c r="E320" s="16" t="inlineStr">
        <is>
          <t>Secretaries (general)</t>
        </is>
      </c>
      <c r="F320" s="16" t="inlineStr">
        <is>
          <t>금융투자 / 핀테크 / 리스크</t>
        </is>
      </c>
      <c r="G320" s="15" t="inlineStr">
        <is>
          <t>horizontal_transfer</t>
        </is>
      </c>
      <c r="H320" s="16" t="inlineStr">
        <is>
          <t>checking, formatting, transcribing</t>
        </is>
      </c>
      <c r="I320" s="16" t="inlineStr">
        <is>
          <t>심화 Secretaries (general) 실무, 프로젝트 관리 역량</t>
        </is>
      </c>
      <c r="J320" s="16" t="inlineStr">
        <is>
          <t>실무 1년 이상 및 전문 자격</t>
        </is>
      </c>
      <c r="K320" s="15" t="inlineStr">
        <is>
          <t>★☆☆☆☆</t>
        </is>
      </c>
      <c r="L320" s="20" t="inlineStr">
        <is>
          <t>+8.0%</t>
        </is>
      </c>
    </row>
    <row r="321">
      <c r="A321" s="17" t="inlineStr">
        <is>
          <t>TR-0320</t>
        </is>
      </c>
      <c r="B321" s="17" t="inlineStr">
        <is>
          <t>3344</t>
        </is>
      </c>
      <c r="C321" s="18" t="inlineStr">
        <is>
          <t>Medical Secretaries</t>
        </is>
      </c>
      <c r="D321" s="17" t="inlineStr">
        <is>
          <t>3252</t>
        </is>
      </c>
      <c r="E321" s="18" t="inlineStr">
        <is>
          <t>Medical Records and Health Information Technicians</t>
        </is>
      </c>
      <c r="F321" s="18" t="inlineStr">
        <is>
          <t>금융투자 / 핀테크 / 리스크</t>
        </is>
      </c>
      <c r="G321" s="17" t="inlineStr">
        <is>
          <t>horizontal_transfer</t>
        </is>
      </c>
      <c r="H321" s="18" t="inlineStr">
        <is>
          <t>planning, developing, maintaining</t>
        </is>
      </c>
      <c r="I321" s="18" t="inlineStr">
        <is>
          <t>심화 Medical Records and Health Information Technicians 실무, 프로젝트 관리 역량</t>
        </is>
      </c>
      <c r="J321" s="18" t="inlineStr">
        <is>
          <t>실무 1년 이상 및 전문 자격</t>
        </is>
      </c>
      <c r="K321" s="17" t="inlineStr">
        <is>
          <t>★★☆☆☆</t>
        </is>
      </c>
      <c r="L321" s="21" t="inlineStr">
        <is>
          <t>+15.0%</t>
        </is>
      </c>
    </row>
    <row r="322">
      <c r="A322" s="15" t="inlineStr">
        <is>
          <t>TR-0321</t>
        </is>
      </c>
      <c r="B322" s="15" t="inlineStr">
        <is>
          <t>3344</t>
        </is>
      </c>
      <c r="C322" s="16" t="inlineStr">
        <is>
          <t>Medical Secretaries</t>
        </is>
      </c>
      <c r="D322" s="15" t="inlineStr">
        <is>
          <t>3256</t>
        </is>
      </c>
      <c r="E322" s="16" t="inlineStr">
        <is>
          <t>Medical Assistants</t>
        </is>
      </c>
      <c r="F322" s="16" t="inlineStr">
        <is>
          <t>금융투자 / 핀테크 / 리스크</t>
        </is>
      </c>
      <c r="G322" s="15" t="inlineStr">
        <is>
          <t>horizontal_transfer</t>
        </is>
      </c>
      <c r="H322" s="16" t="inlineStr">
        <is>
          <t>interviewing, patients, their</t>
        </is>
      </c>
      <c r="I322" s="16" t="inlineStr">
        <is>
          <t>심화 Medical Assistants 실무, 프로젝트 관리 역량</t>
        </is>
      </c>
      <c r="J322" s="16" t="inlineStr">
        <is>
          <t>실무 1년 이상 및 전문 자격</t>
        </is>
      </c>
      <c r="K322" s="15" t="inlineStr">
        <is>
          <t>★★☆☆☆</t>
        </is>
      </c>
      <c r="L322" s="20" t="inlineStr">
        <is>
          <t>+15.0%</t>
        </is>
      </c>
    </row>
    <row r="323">
      <c r="A323" s="17" t="inlineStr">
        <is>
          <t>TR-0322</t>
        </is>
      </c>
      <c r="B323" s="17" t="inlineStr">
        <is>
          <t>3344</t>
        </is>
      </c>
      <c r="C323" s="18" t="inlineStr">
        <is>
          <t>Medical Secretaries</t>
        </is>
      </c>
      <c r="D323" s="17" t="inlineStr">
        <is>
          <t>4120</t>
        </is>
      </c>
      <c r="E323" s="18" t="inlineStr">
        <is>
          <t>Secretaries (general)</t>
        </is>
      </c>
      <c r="F323" s="18" t="inlineStr">
        <is>
          <t>금융투자 / 핀테크 / 리스크</t>
        </is>
      </c>
      <c r="G323" s="17" t="inlineStr">
        <is>
          <t>horizontal_transfer</t>
        </is>
      </c>
      <c r="H323" s="18" t="inlineStr">
        <is>
          <t>checking, formatting, transcribing</t>
        </is>
      </c>
      <c r="I323" s="18" t="inlineStr">
        <is>
          <t>심화 Secretaries (general) 실무, 프로젝트 관리 역량</t>
        </is>
      </c>
      <c r="J323" s="18" t="inlineStr">
        <is>
          <t>실무 1년 이상 및 전문 자격</t>
        </is>
      </c>
      <c r="K323" s="17" t="inlineStr">
        <is>
          <t>★☆☆☆☆</t>
        </is>
      </c>
      <c r="L323" s="21" t="inlineStr">
        <is>
          <t>+8.0%</t>
        </is>
      </c>
    </row>
    <row r="324">
      <c r="A324" s="15" t="inlineStr">
        <is>
          <t>TR-0323</t>
        </is>
      </c>
      <c r="B324" s="15" t="inlineStr">
        <is>
          <t>3344</t>
        </is>
      </c>
      <c r="C324" s="16" t="inlineStr">
        <is>
          <t>Medical Secretaries</t>
        </is>
      </c>
      <c r="D324" s="15" t="inlineStr">
        <is>
          <t>4226</t>
        </is>
      </c>
      <c r="E324" s="16" t="inlineStr">
        <is>
          <t>Receptionists (general)</t>
        </is>
      </c>
      <c r="F324" s="16" t="inlineStr">
        <is>
          <t>금융투자 / 핀테크 / 리스크</t>
        </is>
      </c>
      <c r="G324" s="15" t="inlineStr">
        <is>
          <t>horizontal_transfer</t>
        </is>
      </c>
      <c r="H324" s="16" t="inlineStr">
        <is>
          <t>receiving, welcoming, visitors</t>
        </is>
      </c>
      <c r="I324" s="16" t="inlineStr">
        <is>
          <t>심화 Receptionists (general) 실무, 프로젝트 관리 역량</t>
        </is>
      </c>
      <c r="J324" s="16" t="inlineStr">
        <is>
          <t>실무 1년 이상 및 전문 자격</t>
        </is>
      </c>
      <c r="K324" s="15" t="inlineStr">
        <is>
          <t>★☆☆☆☆</t>
        </is>
      </c>
      <c r="L324" s="20" t="inlineStr">
        <is>
          <t>+8.0%</t>
        </is>
      </c>
    </row>
    <row r="325">
      <c r="A325" s="17" t="inlineStr">
        <is>
          <t>TR-0324</t>
        </is>
      </c>
      <c r="B325" s="17" t="inlineStr">
        <is>
          <t>3352</t>
        </is>
      </c>
      <c r="C325" s="18" t="inlineStr">
        <is>
          <t>Government Tax and Excise Officials</t>
        </is>
      </c>
      <c r="D325" s="17" t="inlineStr">
        <is>
          <t>2411</t>
        </is>
      </c>
      <c r="E325" s="18" t="inlineStr">
        <is>
          <t>Accountants</t>
        </is>
      </c>
      <c r="F325" s="18" t="inlineStr">
        <is>
          <t>금융투자 / 핀테크 / 리스크</t>
        </is>
      </c>
      <c r="G325" s="17" t="inlineStr">
        <is>
          <t>vertical_promotion</t>
        </is>
      </c>
      <c r="H325" s="18" t="inlineStr">
        <is>
          <t>advising, planning, installing</t>
        </is>
      </c>
      <c r="I325" s="18" t="inlineStr">
        <is>
          <t>심화 Accountants 실무, 프로젝트 관리 역량</t>
        </is>
      </c>
      <c r="J325" s="18" t="inlineStr">
        <is>
          <t>실무 2년 이상 및 전문 자격</t>
        </is>
      </c>
      <c r="K325" s="17" t="inlineStr">
        <is>
          <t>★★★☆☆</t>
        </is>
      </c>
      <c r="L325" s="21" t="inlineStr">
        <is>
          <t>+25.0%</t>
        </is>
      </c>
    </row>
    <row r="326">
      <c r="A326" s="15" t="inlineStr">
        <is>
          <t>TR-0325</t>
        </is>
      </c>
      <c r="B326" s="15" t="inlineStr">
        <is>
          <t>3353</t>
        </is>
      </c>
      <c r="C326" s="16" t="inlineStr">
        <is>
          <t>Government Social Benefits Officials</t>
        </is>
      </c>
      <c r="D326" s="15" t="inlineStr">
        <is>
          <t>2635</t>
        </is>
      </c>
      <c r="E326" s="16" t="inlineStr">
        <is>
          <t>Social Work and Counselling Professionals</t>
        </is>
      </c>
      <c r="F326" s="16" t="inlineStr">
        <is>
          <t>금융투자 / 핀테크 / 리스크</t>
        </is>
      </c>
      <c r="G326" s="15" t="inlineStr">
        <is>
          <t>vertical_promotion</t>
        </is>
      </c>
      <c r="H326" s="16" t="inlineStr">
        <is>
          <t>interviewing, clients, individually</t>
        </is>
      </c>
      <c r="I326" s="16" t="inlineStr">
        <is>
          <t>심화 Social Work and Counselling Professionals 실무, 프로젝트 관리 역량</t>
        </is>
      </c>
      <c r="J326" s="16" t="inlineStr">
        <is>
          <t>실무 2년 이상 및 전문 자격</t>
        </is>
      </c>
      <c r="K326" s="15" t="inlineStr">
        <is>
          <t>★★★☆☆</t>
        </is>
      </c>
      <c r="L326" s="20" t="inlineStr">
        <is>
          <t>+25.0%</t>
        </is>
      </c>
    </row>
    <row r="327">
      <c r="A327" s="17" t="inlineStr">
        <is>
          <t>TR-0326</t>
        </is>
      </c>
      <c r="B327" s="17" t="inlineStr">
        <is>
          <t>3354</t>
        </is>
      </c>
      <c r="C327" s="18" t="inlineStr">
        <is>
          <t>Government Licensing Officials</t>
        </is>
      </c>
      <c r="D327" s="17" t="inlineStr">
        <is>
          <t>3112</t>
        </is>
      </c>
      <c r="E327" s="18" t="inlineStr">
        <is>
          <t>Civil Engineering Technicians</t>
        </is>
      </c>
      <c r="F327" s="18" t="inlineStr">
        <is>
          <t>금융투자 / 핀테크 / 리스크</t>
        </is>
      </c>
      <c r="G327" s="17" t="inlineStr">
        <is>
          <t>horizontal_transfer</t>
        </is>
      </c>
      <c r="H327" s="18" t="inlineStr">
        <is>
          <t>assisting, with, field</t>
        </is>
      </c>
      <c r="I327" s="18" t="inlineStr">
        <is>
          <t>심화 Civil Engineering Technicians 실무, 프로젝트 관리 역량</t>
        </is>
      </c>
      <c r="J327" s="18" t="inlineStr">
        <is>
          <t>실무 1년 이상 및 전문 자격</t>
        </is>
      </c>
      <c r="K327" s="17" t="inlineStr">
        <is>
          <t>★★☆☆☆</t>
        </is>
      </c>
      <c r="L327" s="21" t="inlineStr">
        <is>
          <t>+15.0%</t>
        </is>
      </c>
    </row>
    <row r="328">
      <c r="A328" s="15" t="inlineStr">
        <is>
          <t>TR-0327</t>
        </is>
      </c>
      <c r="B328" s="15" t="inlineStr">
        <is>
          <t>3355</t>
        </is>
      </c>
      <c r="C328" s="16" t="inlineStr">
        <is>
          <t>Police Inspectors and Detectives</t>
        </is>
      </c>
      <c r="D328" s="15" t="inlineStr">
        <is>
          <t>1112</t>
        </is>
      </c>
      <c r="E328" s="16" t="inlineStr">
        <is>
          <t>Senior Government Officials</t>
        </is>
      </c>
      <c r="F328" s="16" t="inlineStr">
        <is>
          <t>금융투자 / 핀테크 / 리스크</t>
        </is>
      </c>
      <c r="G328" s="15" t="inlineStr">
        <is>
          <t>vertical_promotion</t>
        </is>
      </c>
      <c r="H328" s="16" t="inlineStr">
        <is>
          <t>advising, national, state</t>
        </is>
      </c>
      <c r="I328" s="16" t="inlineStr">
        <is>
          <t>심화 Senior Government Officials 실무, 프로젝트 관리 역량</t>
        </is>
      </c>
      <c r="J328" s="16" t="inlineStr">
        <is>
          <t>실무 4년 이상 및 전문 자격</t>
        </is>
      </c>
      <c r="K328" s="15" t="inlineStr">
        <is>
          <t>★★★★☆</t>
        </is>
      </c>
      <c r="L328" s="20" t="inlineStr">
        <is>
          <t>+35.0%</t>
        </is>
      </c>
    </row>
    <row r="329">
      <c r="A329" s="17" t="inlineStr">
        <is>
          <t>TR-0328</t>
        </is>
      </c>
      <c r="B329" s="17" t="inlineStr">
        <is>
          <t>3355</t>
        </is>
      </c>
      <c r="C329" s="18" t="inlineStr">
        <is>
          <t>Police Inspectors and Detectives</t>
        </is>
      </c>
      <c r="D329" s="17" t="inlineStr">
        <is>
          <t>1349</t>
        </is>
      </c>
      <c r="E329" s="18" t="inlineStr">
        <is>
          <t>Professional Services Managers Not Elsewhere Classified</t>
        </is>
      </c>
      <c r="F329" s="18" t="inlineStr">
        <is>
          <t>금융투자 / 핀테크 / 리스크</t>
        </is>
      </c>
      <c r="G329" s="17" t="inlineStr">
        <is>
          <t>vertical_promotion</t>
        </is>
      </c>
      <c r="H329" s="18" t="inlineStr">
        <is>
          <t>such, cases, would</t>
        </is>
      </c>
      <c r="I329" s="18" t="inlineStr">
        <is>
          <t>심화 Professional Services Managers Not Elsewhere Classified 실무, 프로젝트 관리 역량</t>
        </is>
      </c>
      <c r="J329" s="18" t="inlineStr">
        <is>
          <t>실무 4년 이상 및 전문 자격</t>
        </is>
      </c>
      <c r="K329" s="17" t="inlineStr">
        <is>
          <t>★★★★☆</t>
        </is>
      </c>
      <c r="L329" s="21" t="inlineStr">
        <is>
          <t>+35.0%</t>
        </is>
      </c>
    </row>
    <row r="330">
      <c r="A330" s="15" t="inlineStr">
        <is>
          <t>TR-0329</t>
        </is>
      </c>
      <c r="B330" s="15" t="inlineStr">
        <is>
          <t>3355</t>
        </is>
      </c>
      <c r="C330" s="16" t="inlineStr">
        <is>
          <t>Police Inspectors and Detectives</t>
        </is>
      </c>
      <c r="D330" s="15" t="inlineStr">
        <is>
          <t>3411</t>
        </is>
      </c>
      <c r="E330" s="16" t="inlineStr">
        <is>
          <t>Legal and Related Associate Professionals</t>
        </is>
      </c>
      <c r="F330" s="16" t="inlineStr">
        <is>
          <t>금융투자 / 핀테크 / 리스크</t>
        </is>
      </c>
      <c r="G330" s="15" t="inlineStr">
        <is>
          <t>horizontal_transfer</t>
        </is>
      </c>
      <c r="H330" s="16" t="inlineStr">
        <is>
          <t>documenting, court, proceedings</t>
        </is>
      </c>
      <c r="I330" s="16" t="inlineStr">
        <is>
          <t>심화 Legal and Related Associate Professionals 실무, 프로젝트 관리 역량</t>
        </is>
      </c>
      <c r="J330" s="16" t="inlineStr">
        <is>
          <t>실무 1년 이상 및 전문 자격</t>
        </is>
      </c>
      <c r="K330" s="15" t="inlineStr">
        <is>
          <t>★★☆☆☆</t>
        </is>
      </c>
      <c r="L330" s="20" t="inlineStr">
        <is>
          <t>+15.0%</t>
        </is>
      </c>
    </row>
    <row r="331">
      <c r="A331" s="17" t="inlineStr">
        <is>
          <t>TR-0330</t>
        </is>
      </c>
      <c r="B331" s="17" t="inlineStr">
        <is>
          <t>3355</t>
        </is>
      </c>
      <c r="C331" s="18" t="inlineStr">
        <is>
          <t>Police Inspectors and Detectives</t>
        </is>
      </c>
      <c r="D331" s="17" t="inlineStr">
        <is>
          <t>5412</t>
        </is>
      </c>
      <c r="E331" s="18" t="inlineStr">
        <is>
          <t>Police Officers</t>
        </is>
      </c>
      <c r="F331" s="18" t="inlineStr">
        <is>
          <t>금융투자 / 핀테크 / 리스크</t>
        </is>
      </c>
      <c r="G331" s="17" t="inlineStr">
        <is>
          <t>horizontal_transfer</t>
        </is>
      </c>
      <c r="H331" s="18" t="inlineStr">
        <is>
          <t>patrolling, specific, area</t>
        </is>
      </c>
      <c r="I331" s="18" t="inlineStr">
        <is>
          <t>심화 Police Officers 실무, 프로젝트 관리 역량</t>
        </is>
      </c>
      <c r="J331" s="18" t="inlineStr">
        <is>
          <t>실무 1년 이상 및 전문 자격</t>
        </is>
      </c>
      <c r="K331" s="17" t="inlineStr">
        <is>
          <t>★☆☆☆☆</t>
        </is>
      </c>
      <c r="L331" s="21" t="inlineStr">
        <is>
          <t>+8.0%</t>
        </is>
      </c>
    </row>
    <row r="332">
      <c r="A332" s="15" t="inlineStr">
        <is>
          <t>TR-0331</t>
        </is>
      </c>
      <c r="B332" s="15" t="inlineStr">
        <is>
          <t>3359</t>
        </is>
      </c>
      <c r="C332" s="16" t="inlineStr">
        <is>
          <t>Government Regulatory AssociatePprofessionals Not Elsewhere Classified</t>
        </is>
      </c>
      <c r="D332" s="15" t="inlineStr">
        <is>
          <t>3112</t>
        </is>
      </c>
      <c r="E332" s="16" t="inlineStr">
        <is>
          <t>Civil Engineering Technicians</t>
        </is>
      </c>
      <c r="F332" s="16" t="inlineStr">
        <is>
          <t>금융투자 / 핀테크 / 리스크</t>
        </is>
      </c>
      <c r="G332" s="15" t="inlineStr">
        <is>
          <t>horizontal_transfer</t>
        </is>
      </c>
      <c r="H332" s="16" t="inlineStr">
        <is>
          <t>assisting, with, field</t>
        </is>
      </c>
      <c r="I332" s="16" t="inlineStr">
        <is>
          <t>심화 Civil Engineering Technicians 실무, 프로젝트 관리 역량</t>
        </is>
      </c>
      <c r="J332" s="16" t="inlineStr">
        <is>
          <t>실무 1년 이상 및 전문 자격</t>
        </is>
      </c>
      <c r="K332" s="15" t="inlineStr">
        <is>
          <t>★★☆☆☆</t>
        </is>
      </c>
      <c r="L332" s="20" t="inlineStr">
        <is>
          <t>+15.0%</t>
        </is>
      </c>
    </row>
    <row r="333">
      <c r="A333" s="17" t="inlineStr">
        <is>
          <t>TR-0332</t>
        </is>
      </c>
      <c r="B333" s="17" t="inlineStr">
        <is>
          <t>3359</t>
        </is>
      </c>
      <c r="C333" s="18" t="inlineStr">
        <is>
          <t>Government Regulatory AssociatePprofessionals Not Elsewhere Classified</t>
        </is>
      </c>
      <c r="D333" s="17" t="inlineStr">
        <is>
          <t>3257</t>
        </is>
      </c>
      <c r="E333" s="18" t="inlineStr">
        <is>
          <t>Environmental and Occupational Health Inspectors and Associates</t>
        </is>
      </c>
      <c r="F333" s="18" t="inlineStr">
        <is>
          <t>금융투자 / 핀테크 / 리스크</t>
        </is>
      </c>
      <c r="G333" s="17" t="inlineStr">
        <is>
          <t>horizontal_transfer</t>
        </is>
      </c>
      <c r="H333" s="18" t="inlineStr">
        <is>
          <t>advising, employers, representatives</t>
        </is>
      </c>
      <c r="I333" s="18" t="inlineStr">
        <is>
          <t>심화 Environmental and Occupational Health Inspectors and Associates 실무, 프로젝트 관리 역량</t>
        </is>
      </c>
      <c r="J333" s="18" t="inlineStr">
        <is>
          <t>실무 1년 이상 및 전문 자격</t>
        </is>
      </c>
      <c r="K333" s="17" t="inlineStr">
        <is>
          <t>★★☆☆☆</t>
        </is>
      </c>
      <c r="L333" s="21" t="inlineStr">
        <is>
          <t>+15.0%</t>
        </is>
      </c>
    </row>
    <row r="334">
      <c r="A334" s="15" t="inlineStr">
        <is>
          <t>TR-0333</t>
        </is>
      </c>
      <c r="B334" s="15" t="inlineStr">
        <is>
          <t>3411</t>
        </is>
      </c>
      <c r="C334" s="16" t="inlineStr">
        <is>
          <t>Legal and Related Associate Professionals</t>
        </is>
      </c>
      <c r="D334" s="15" t="inlineStr">
        <is>
          <t>2611</t>
        </is>
      </c>
      <c r="E334" s="16" t="inlineStr">
        <is>
          <t>Lawyers</t>
        </is>
      </c>
      <c r="F334" s="16" t="inlineStr">
        <is>
          <t>법률 / 지식재산권 / 변리</t>
        </is>
      </c>
      <c r="G334" s="15" t="inlineStr">
        <is>
          <t>vertical_promotion</t>
        </is>
      </c>
      <c r="H334" s="16" t="inlineStr">
        <is>
          <t>giving, clients, legal</t>
        </is>
      </c>
      <c r="I334" s="16" t="inlineStr">
        <is>
          <t>심화 Lawyers 실무, 프로젝트 관리 역량</t>
        </is>
      </c>
      <c r="J334" s="16" t="inlineStr">
        <is>
          <t>실무 2년 이상 및 전문 자격</t>
        </is>
      </c>
      <c r="K334" s="15" t="inlineStr">
        <is>
          <t>★★★☆☆</t>
        </is>
      </c>
      <c r="L334" s="20" t="inlineStr">
        <is>
          <t>+25.0%</t>
        </is>
      </c>
    </row>
    <row r="335">
      <c r="A335" s="17" t="inlineStr">
        <is>
          <t>TR-0334</t>
        </is>
      </c>
      <c r="B335" s="17" t="inlineStr">
        <is>
          <t>3411</t>
        </is>
      </c>
      <c r="C335" s="18" t="inlineStr">
        <is>
          <t>Legal and Related Associate Professionals</t>
        </is>
      </c>
      <c r="D335" s="17" t="inlineStr">
        <is>
          <t>2612</t>
        </is>
      </c>
      <c r="E335" s="18" t="inlineStr">
        <is>
          <t>Judges</t>
        </is>
      </c>
      <c r="F335" s="18" t="inlineStr">
        <is>
          <t>법률 / 지식재산권 / 변리</t>
        </is>
      </c>
      <c r="G335" s="17" t="inlineStr">
        <is>
          <t>vertical_promotion</t>
        </is>
      </c>
      <c r="H335" s="18" t="inlineStr">
        <is>
          <t>presiding, over, trials</t>
        </is>
      </c>
      <c r="I335" s="18" t="inlineStr">
        <is>
          <t>심화 Judges 실무, 프로젝트 관리 역량</t>
        </is>
      </c>
      <c r="J335" s="18" t="inlineStr">
        <is>
          <t>실무 2년 이상 및 전문 자격</t>
        </is>
      </c>
      <c r="K335" s="17" t="inlineStr">
        <is>
          <t>★★★☆☆</t>
        </is>
      </c>
      <c r="L335" s="21" t="inlineStr">
        <is>
          <t>+25.0%</t>
        </is>
      </c>
    </row>
    <row r="336">
      <c r="A336" s="15" t="inlineStr">
        <is>
          <t>TR-0335</t>
        </is>
      </c>
      <c r="B336" s="15" t="inlineStr">
        <is>
          <t>3411</t>
        </is>
      </c>
      <c r="C336" s="16" t="inlineStr">
        <is>
          <t>Legal and Related Associate Professionals</t>
        </is>
      </c>
      <c r="D336" s="15" t="inlineStr">
        <is>
          <t>2619</t>
        </is>
      </c>
      <c r="E336" s="16" t="inlineStr">
        <is>
          <t>Legal Professionals Not Elsewhere Classified</t>
        </is>
      </c>
      <c r="F336" s="16" t="inlineStr">
        <is>
          <t>법률 / 지식재산권 / 변리</t>
        </is>
      </c>
      <c r="G336" s="15" t="inlineStr">
        <is>
          <t>vertical_promotion</t>
        </is>
      </c>
      <c r="H336" s="16" t="inlineStr">
        <is>
          <t>such, cases, would</t>
        </is>
      </c>
      <c r="I336" s="16" t="inlineStr">
        <is>
          <t>심화 Legal Professionals Not Elsewhere Classified 실무, 프로젝트 관리 역량</t>
        </is>
      </c>
      <c r="J336" s="16" t="inlineStr">
        <is>
          <t>실무 2년 이상 및 전문 자격</t>
        </is>
      </c>
      <c r="K336" s="15" t="inlineStr">
        <is>
          <t>★★★☆☆</t>
        </is>
      </c>
      <c r="L336" s="20" t="inlineStr">
        <is>
          <t>+25.0%</t>
        </is>
      </c>
    </row>
    <row r="337">
      <c r="A337" s="17" t="inlineStr">
        <is>
          <t>TR-0336</t>
        </is>
      </c>
      <c r="B337" s="17" t="inlineStr">
        <is>
          <t>3411</t>
        </is>
      </c>
      <c r="C337" s="18" t="inlineStr">
        <is>
          <t>Legal and Related Associate Professionals</t>
        </is>
      </c>
      <c r="D337" s="17" t="inlineStr">
        <is>
          <t>3342</t>
        </is>
      </c>
      <c r="E337" s="18" t="inlineStr">
        <is>
          <t>Legal Secretaries</t>
        </is>
      </c>
      <c r="F337" s="18" t="inlineStr">
        <is>
          <t>법률 / 지식재산권 / 변리</t>
        </is>
      </c>
      <c r="G337" s="17" t="inlineStr">
        <is>
          <t>horizontal_transfer</t>
        </is>
      </c>
      <c r="H337" s="18" t="inlineStr">
        <is>
          <t>preparing, processing, legal</t>
        </is>
      </c>
      <c r="I337" s="18" t="inlineStr">
        <is>
          <t>심화 Legal Secretaries 실무, 프로젝트 관리 역량</t>
        </is>
      </c>
      <c r="J337" s="18" t="inlineStr">
        <is>
          <t>실무 1년 이상 및 전문 자격</t>
        </is>
      </c>
      <c r="K337" s="17" t="inlineStr">
        <is>
          <t>★★☆☆☆</t>
        </is>
      </c>
      <c r="L337" s="21" t="inlineStr">
        <is>
          <t>+15.0%</t>
        </is>
      </c>
    </row>
    <row r="338">
      <c r="A338" s="15" t="inlineStr">
        <is>
          <t>TR-0337</t>
        </is>
      </c>
      <c r="B338" s="15" t="inlineStr">
        <is>
          <t>3412</t>
        </is>
      </c>
      <c r="C338" s="16" t="inlineStr">
        <is>
          <t>Social Work Associate Professionals</t>
        </is>
      </c>
      <c r="D338" s="15" t="inlineStr">
        <is>
          <t>2635</t>
        </is>
      </c>
      <c r="E338" s="16" t="inlineStr">
        <is>
          <t>Social Work and Counselling Professionals</t>
        </is>
      </c>
      <c r="F338" s="16" t="inlineStr">
        <is>
          <t>법률 / 지식재산권 / 변리</t>
        </is>
      </c>
      <c r="G338" s="15" t="inlineStr">
        <is>
          <t>vertical_promotion</t>
        </is>
      </c>
      <c r="H338" s="16" t="inlineStr">
        <is>
          <t>interviewing, clients, individually</t>
        </is>
      </c>
      <c r="I338" s="16" t="inlineStr">
        <is>
          <t>심화 Social Work and Counselling Professionals 실무, 프로젝트 관리 역량</t>
        </is>
      </c>
      <c r="J338" s="16" t="inlineStr">
        <is>
          <t>실무 2년 이상 및 전문 자격</t>
        </is>
      </c>
      <c r="K338" s="15" t="inlineStr">
        <is>
          <t>★★★☆☆</t>
        </is>
      </c>
      <c r="L338" s="20" t="inlineStr">
        <is>
          <t>+25.0%</t>
        </is>
      </c>
    </row>
    <row r="339">
      <c r="A339" s="17" t="inlineStr">
        <is>
          <t>TR-0338</t>
        </is>
      </c>
      <c r="B339" s="17" t="inlineStr">
        <is>
          <t>3413</t>
        </is>
      </c>
      <c r="C339" s="18" t="inlineStr">
        <is>
          <t>Religious Associate Professionals</t>
        </is>
      </c>
      <c r="D339" s="17" t="inlineStr">
        <is>
          <t>2636</t>
        </is>
      </c>
      <c r="E339" s="18" t="inlineStr">
        <is>
          <t>Religious Professionals</t>
        </is>
      </c>
      <c r="F339" s="18" t="inlineStr">
        <is>
          <t>법률 / 지식재산권 / 변리</t>
        </is>
      </c>
      <c r="G339" s="17" t="inlineStr">
        <is>
          <t>vertical_promotion</t>
        </is>
      </c>
      <c r="H339" s="18" t="inlineStr">
        <is>
          <t>perpetuating, sacred, traditions</t>
        </is>
      </c>
      <c r="I339" s="18" t="inlineStr">
        <is>
          <t>심화 Religious Professionals 실무, 프로젝트 관리 역량</t>
        </is>
      </c>
      <c r="J339" s="18" t="inlineStr">
        <is>
          <t>실무 2년 이상 및 전문 자격</t>
        </is>
      </c>
      <c r="K339" s="17" t="inlineStr">
        <is>
          <t>★★★☆☆</t>
        </is>
      </c>
      <c r="L339" s="21" t="inlineStr">
        <is>
          <t>+25.0%</t>
        </is>
      </c>
    </row>
    <row r="340">
      <c r="A340" s="15" t="inlineStr">
        <is>
          <t>TR-0339</t>
        </is>
      </c>
      <c r="B340" s="15" t="inlineStr">
        <is>
          <t>3413</t>
        </is>
      </c>
      <c r="C340" s="16" t="inlineStr">
        <is>
          <t>Religious Associate Professionals</t>
        </is>
      </c>
      <c r="D340" s="15" t="inlineStr">
        <is>
          <t>3230</t>
        </is>
      </c>
      <c r="E340" s="16" t="inlineStr">
        <is>
          <t>Traditional and Complementary Medicine Associate Professionals</t>
        </is>
      </c>
      <c r="F340" s="16" t="inlineStr">
        <is>
          <t>법률 / 지식재산권 / 변리</t>
        </is>
      </c>
      <c r="G340" s="15" t="inlineStr">
        <is>
          <t>horizontal_transfer</t>
        </is>
      </c>
      <c r="H340" s="16" t="inlineStr">
        <is>
          <t>examining, patients, interviewing</t>
        </is>
      </c>
      <c r="I340" s="16" t="inlineStr">
        <is>
          <t>심화 Traditional and Complementary Medicine Associate Professionals 실무, 프로젝트 관리 역량</t>
        </is>
      </c>
      <c r="J340" s="16" t="inlineStr">
        <is>
          <t>실무 1년 이상 및 전문 자격</t>
        </is>
      </c>
      <c r="K340" s="15" t="inlineStr">
        <is>
          <t>★★☆☆☆</t>
        </is>
      </c>
      <c r="L340" s="20" t="inlineStr">
        <is>
          <t>+15.0%</t>
        </is>
      </c>
    </row>
    <row r="341">
      <c r="A341" s="17" t="inlineStr">
        <is>
          <t>TR-0340</t>
        </is>
      </c>
      <c r="B341" s="17" t="inlineStr">
        <is>
          <t>3422</t>
        </is>
      </c>
      <c r="C341" s="18" t="inlineStr">
        <is>
          <t>Sports Coaches, Instructors and Officials</t>
        </is>
      </c>
      <c r="D341" s="17" t="inlineStr">
        <is>
          <t>3423</t>
        </is>
      </c>
      <c r="E341" s="18" t="inlineStr">
        <is>
          <t>Fitness and Recreation Instructors and Programme Leaders</t>
        </is>
      </c>
      <c r="F341" s="18" t="inlineStr">
        <is>
          <t>법률 / 지식재산권 / 변리</t>
        </is>
      </c>
      <c r="G341" s="17" t="inlineStr">
        <is>
          <t>horizontal_transfer</t>
        </is>
      </c>
      <c r="H341" s="18" t="inlineStr">
        <is>
          <t>planning, carrying, recreational</t>
        </is>
      </c>
      <c r="I341" s="18" t="inlineStr">
        <is>
          <t>심화 Fitness and Recreation Instructors and Programme Leaders 실무, 프로젝트 관리 역량</t>
        </is>
      </c>
      <c r="J341" s="18" t="inlineStr">
        <is>
          <t>실무 1년 이상 및 전문 자격</t>
        </is>
      </c>
      <c r="K341" s="17" t="inlineStr">
        <is>
          <t>★★☆☆☆</t>
        </is>
      </c>
      <c r="L341" s="21" t="inlineStr">
        <is>
          <t>+15.0%</t>
        </is>
      </c>
    </row>
    <row r="342">
      <c r="A342" s="15" t="inlineStr">
        <is>
          <t>TR-0341</t>
        </is>
      </c>
      <c r="B342" s="15" t="inlineStr">
        <is>
          <t>3423</t>
        </is>
      </c>
      <c r="C342" s="16" t="inlineStr">
        <is>
          <t>Fitness and Recreation Instructors and Programme Leaders</t>
        </is>
      </c>
      <c r="D342" s="15" t="inlineStr">
        <is>
          <t>3422</t>
        </is>
      </c>
      <c r="E342" s="16" t="inlineStr">
        <is>
          <t>Sports Coaches, Instructors and Officials</t>
        </is>
      </c>
      <c r="F342" s="16" t="inlineStr">
        <is>
          <t>법률 / 지식재산권 / 변리</t>
        </is>
      </c>
      <c r="G342" s="15" t="inlineStr">
        <is>
          <t>horizontal_transfer</t>
        </is>
      </c>
      <c r="H342" s="16" t="inlineStr">
        <is>
          <t>identifying, strengths, weaknesses</t>
        </is>
      </c>
      <c r="I342" s="16" t="inlineStr">
        <is>
          <t>심화 Sports Coaches, Instructors and Officials 실무, 프로젝트 관리 역량</t>
        </is>
      </c>
      <c r="J342" s="16" t="inlineStr">
        <is>
          <t>실무 1년 이상 및 전문 자격</t>
        </is>
      </c>
      <c r="K342" s="15" t="inlineStr">
        <is>
          <t>★★☆☆☆</t>
        </is>
      </c>
      <c r="L342" s="20" t="inlineStr">
        <is>
          <t>+15.0%</t>
        </is>
      </c>
    </row>
    <row r="343">
      <c r="A343" s="17" t="inlineStr">
        <is>
          <t>TR-0342</t>
        </is>
      </c>
      <c r="B343" s="17" t="inlineStr">
        <is>
          <t>3431</t>
        </is>
      </c>
      <c r="C343" s="18" t="inlineStr">
        <is>
          <t>Photographers</t>
        </is>
      </c>
      <c r="D343" s="17" t="inlineStr">
        <is>
          <t>3521</t>
        </is>
      </c>
      <c r="E343" s="18" t="inlineStr">
        <is>
          <t>Broadcasting and Audio-visual Technicians</t>
        </is>
      </c>
      <c r="F343" s="18" t="inlineStr">
        <is>
          <t>법률 / 지식재산권 / 변리</t>
        </is>
      </c>
      <c r="G343" s="17" t="inlineStr">
        <is>
          <t>horizontal_transfer</t>
        </is>
      </c>
      <c r="H343" s="18" t="inlineStr">
        <is>
          <t>controlling, equipment, record</t>
        </is>
      </c>
      <c r="I343" s="18" t="inlineStr">
        <is>
          <t>심화 Broadcasting and Audio-visual Technicians 실무, 프로젝트 관리 역량</t>
        </is>
      </c>
      <c r="J343" s="18" t="inlineStr">
        <is>
          <t>실무 1년 이상 및 전문 자격</t>
        </is>
      </c>
      <c r="K343" s="17" t="inlineStr">
        <is>
          <t>★★☆☆☆</t>
        </is>
      </c>
      <c r="L343" s="21" t="inlineStr">
        <is>
          <t>+15.0%</t>
        </is>
      </c>
    </row>
    <row r="344">
      <c r="A344" s="15" t="inlineStr">
        <is>
          <t>TR-0343</t>
        </is>
      </c>
      <c r="B344" s="15" t="inlineStr">
        <is>
          <t>3431</t>
        </is>
      </c>
      <c r="C344" s="16" t="inlineStr">
        <is>
          <t>Photographers</t>
        </is>
      </c>
      <c r="D344" s="15" t="inlineStr">
        <is>
          <t>7311</t>
        </is>
      </c>
      <c r="E344" s="16" t="inlineStr">
        <is>
          <t>Precision-instrument Makers and Repairers</t>
        </is>
      </c>
      <c r="F344" s="16" t="inlineStr">
        <is>
          <t>법률 / 지식재산권 / 변리</t>
        </is>
      </c>
      <c r="G344" s="15" t="inlineStr">
        <is>
          <t>horizontal_transfer</t>
        </is>
      </c>
      <c r="H344" s="16" t="inlineStr">
        <is>
          <t>repairing, cleaning, adjusting</t>
        </is>
      </c>
      <c r="I344" s="16" t="inlineStr">
        <is>
          <t>심화 Precision-instrument Makers and Repairers 실무, 프로젝트 관리 역량</t>
        </is>
      </c>
      <c r="J344" s="16" t="inlineStr">
        <is>
          <t>실무 1년 이상 및 전문 자격</t>
        </is>
      </c>
      <c r="K344" s="15" t="inlineStr">
        <is>
          <t>★☆☆☆☆</t>
        </is>
      </c>
      <c r="L344" s="20" t="inlineStr">
        <is>
          <t>+8.0%</t>
        </is>
      </c>
    </row>
    <row r="345">
      <c r="A345" s="17" t="inlineStr">
        <is>
          <t>TR-0344</t>
        </is>
      </c>
      <c r="B345" s="17" t="inlineStr">
        <is>
          <t>3431</t>
        </is>
      </c>
      <c r="C345" s="18" t="inlineStr">
        <is>
          <t>Photographers</t>
        </is>
      </c>
      <c r="D345" s="17" t="inlineStr">
        <is>
          <t>7321</t>
        </is>
      </c>
      <c r="E345" s="18" t="inlineStr">
        <is>
          <t>Pre-press Technicians</t>
        </is>
      </c>
      <c r="F345" s="18" t="inlineStr">
        <is>
          <t>법률 / 지식재산권 / 변리</t>
        </is>
      </c>
      <c r="G345" s="17" t="inlineStr">
        <is>
          <t>horizontal_transfer</t>
        </is>
      </c>
      <c r="H345" s="18" t="inlineStr">
        <is>
          <t>operating, graphic, cameras</t>
        </is>
      </c>
      <c r="I345" s="18" t="inlineStr">
        <is>
          <t>심화 Pre-press Technicians 실무, 프로젝트 관리 역량</t>
        </is>
      </c>
      <c r="J345" s="18" t="inlineStr">
        <is>
          <t>실무 1년 이상 및 전문 자격</t>
        </is>
      </c>
      <c r="K345" s="17" t="inlineStr">
        <is>
          <t>★☆☆☆☆</t>
        </is>
      </c>
      <c r="L345" s="21" t="inlineStr">
        <is>
          <t>+8.0%</t>
        </is>
      </c>
    </row>
    <row r="346">
      <c r="A346" s="15" t="inlineStr">
        <is>
          <t>TR-0345</t>
        </is>
      </c>
      <c r="B346" s="15" t="inlineStr">
        <is>
          <t>3431</t>
        </is>
      </c>
      <c r="C346" s="16" t="inlineStr">
        <is>
          <t>Photographers</t>
        </is>
      </c>
      <c r="D346" s="15" t="inlineStr">
        <is>
          <t>7421</t>
        </is>
      </c>
      <c r="E346" s="16" t="inlineStr">
        <is>
          <t>Electronics Mechanics and Servicers</t>
        </is>
      </c>
      <c r="F346" s="16" t="inlineStr">
        <is>
          <t>법률 / 지식재산권 / 변리</t>
        </is>
      </c>
      <c r="G346" s="15" t="inlineStr">
        <is>
          <t>horizontal_transfer</t>
        </is>
      </c>
      <c r="H346" s="16" t="inlineStr">
        <is>
          <t>examining, testing, machines</t>
        </is>
      </c>
      <c r="I346" s="16" t="inlineStr">
        <is>
          <t>심화 Electronics Mechanics and Servicers 실무, 프로젝트 관리 역량</t>
        </is>
      </c>
      <c r="J346" s="16" t="inlineStr">
        <is>
          <t>실무 1년 이상 및 전문 자격</t>
        </is>
      </c>
      <c r="K346" s="15" t="inlineStr">
        <is>
          <t>★☆☆☆☆</t>
        </is>
      </c>
      <c r="L346" s="20" t="inlineStr">
        <is>
          <t>+8.0%</t>
        </is>
      </c>
    </row>
    <row r="347">
      <c r="A347" s="17" t="inlineStr">
        <is>
          <t>TR-0346</t>
        </is>
      </c>
      <c r="B347" s="17" t="inlineStr">
        <is>
          <t>3432</t>
        </is>
      </c>
      <c r="C347" s="18" t="inlineStr">
        <is>
          <t>Interior Designers and Decorators</t>
        </is>
      </c>
      <c r="D347" s="17" t="inlineStr">
        <is>
          <t>2161</t>
        </is>
      </c>
      <c r="E347" s="18" t="inlineStr">
        <is>
          <t>Building Architects</t>
        </is>
      </c>
      <c r="F347" s="18" t="inlineStr">
        <is>
          <t>법률 / 지식재산권 / 변리</t>
        </is>
      </c>
      <c r="G347" s="17" t="inlineStr">
        <is>
          <t>vertical_promotion</t>
        </is>
      </c>
      <c r="H347" s="18" t="inlineStr">
        <is>
          <t>developing, improved, architectural</t>
        </is>
      </c>
      <c r="I347" s="18" t="inlineStr">
        <is>
          <t>심화 Building Architects 실무, 프로젝트 관리 역량</t>
        </is>
      </c>
      <c r="J347" s="18" t="inlineStr">
        <is>
          <t>실무 2년 이상 및 전문 자격</t>
        </is>
      </c>
      <c r="K347" s="17" t="inlineStr">
        <is>
          <t>★★★☆☆</t>
        </is>
      </c>
      <c r="L347" s="21" t="inlineStr">
        <is>
          <t>+25.0%</t>
        </is>
      </c>
    </row>
    <row r="348">
      <c r="A348" s="15" t="inlineStr">
        <is>
          <t>TR-0347</t>
        </is>
      </c>
      <c r="B348" s="15" t="inlineStr">
        <is>
          <t>3434</t>
        </is>
      </c>
      <c r="C348" s="16" t="inlineStr">
        <is>
          <t>Chefs</t>
        </is>
      </c>
      <c r="D348" s="15" t="inlineStr">
        <is>
          <t>5120</t>
        </is>
      </c>
      <c r="E348" s="16" t="inlineStr">
        <is>
          <t>Cooks</t>
        </is>
      </c>
      <c r="F348" s="16" t="inlineStr">
        <is>
          <t>법률 / 지식재산권 / 변리</t>
        </is>
      </c>
      <c r="G348" s="15" t="inlineStr">
        <is>
          <t>horizontal_transfer</t>
        </is>
      </c>
      <c r="H348" s="16" t="inlineStr">
        <is>
          <t>planning, meals, preparing</t>
        </is>
      </c>
      <c r="I348" s="16" t="inlineStr">
        <is>
          <t>심화 Cooks 실무, 프로젝트 관리 역량</t>
        </is>
      </c>
      <c r="J348" s="16" t="inlineStr">
        <is>
          <t>실무 1년 이상 및 전문 자격</t>
        </is>
      </c>
      <c r="K348" s="15" t="inlineStr">
        <is>
          <t>★☆☆☆☆</t>
        </is>
      </c>
      <c r="L348" s="20" t="inlineStr">
        <is>
          <t>+8.0%</t>
        </is>
      </c>
    </row>
    <row r="349">
      <c r="A349" s="17" t="inlineStr">
        <is>
          <t>TR-0348</t>
        </is>
      </c>
      <c r="B349" s="17" t="inlineStr">
        <is>
          <t>3434</t>
        </is>
      </c>
      <c r="C349" s="18" t="inlineStr">
        <is>
          <t>Chefs</t>
        </is>
      </c>
      <c r="D349" s="17" t="inlineStr">
        <is>
          <t>9411</t>
        </is>
      </c>
      <c r="E349" s="18" t="inlineStr">
        <is>
          <t>Fast Food Preparers</t>
        </is>
      </c>
      <c r="F349" s="18" t="inlineStr">
        <is>
          <t>법률 / 지식재산권 / 변리</t>
        </is>
      </c>
      <c r="G349" s="17" t="inlineStr">
        <is>
          <t>horizontal_transfer</t>
        </is>
      </c>
      <c r="H349" s="18" t="inlineStr">
        <is>
          <t>preparing, simple, prepared</t>
        </is>
      </c>
      <c r="I349" s="18" t="inlineStr">
        <is>
          <t>심화 Fast Food Preparers 실무, 프로젝트 관리 역량</t>
        </is>
      </c>
      <c r="J349" s="18" t="inlineStr">
        <is>
          <t>실무 1년 이상 및 전문 자격</t>
        </is>
      </c>
      <c r="K349" s="17" t="inlineStr">
        <is>
          <t>★☆☆☆☆</t>
        </is>
      </c>
      <c r="L349" s="21" t="inlineStr">
        <is>
          <t>+8.0%</t>
        </is>
      </c>
    </row>
    <row r="350">
      <c r="A350" s="15" t="inlineStr">
        <is>
          <t>TR-0349</t>
        </is>
      </c>
      <c r="B350" s="15" t="inlineStr">
        <is>
          <t>3511</t>
        </is>
      </c>
      <c r="C350" s="16" t="inlineStr">
        <is>
          <t>Information and Communications Technology Operations Technicians</t>
        </is>
      </c>
      <c r="D350" s="15" t="inlineStr">
        <is>
          <t>3513</t>
        </is>
      </c>
      <c r="E350" s="16" t="inlineStr">
        <is>
          <t>Computer Network and Systems Technicians</t>
        </is>
      </c>
      <c r="F350" s="16" t="inlineStr">
        <is>
          <t>ICT / Software &amp; Data / AI</t>
        </is>
      </c>
      <c r="G350" s="15" t="inlineStr">
        <is>
          <t>horizontal_transfer</t>
        </is>
      </c>
      <c r="H350" s="16" t="inlineStr">
        <is>
          <t>operating, maintaining, troubleshooting</t>
        </is>
      </c>
      <c r="I350" s="16" t="inlineStr">
        <is>
          <t>심화 Computer Network and Systems Technicians 실무, 프로젝트 관리 역량</t>
        </is>
      </c>
      <c r="J350" s="16" t="inlineStr">
        <is>
          <t>실무 1년 이상 및 전문 자격</t>
        </is>
      </c>
      <c r="K350" s="15" t="inlineStr">
        <is>
          <t>★★☆☆☆</t>
        </is>
      </c>
      <c r="L350" s="20" t="inlineStr">
        <is>
          <t>+15.0%</t>
        </is>
      </c>
    </row>
    <row r="351">
      <c r="A351" s="17" t="inlineStr">
        <is>
          <t>TR-0350</t>
        </is>
      </c>
      <c r="B351" s="17" t="inlineStr">
        <is>
          <t>3513</t>
        </is>
      </c>
      <c r="C351" s="18" t="inlineStr">
        <is>
          <t>Computer Network and Systems Technicians</t>
        </is>
      </c>
      <c r="D351" s="17" t="inlineStr">
        <is>
          <t>2522</t>
        </is>
      </c>
      <c r="E351" s="18" t="inlineStr">
        <is>
          <t>Systems Aministrators</t>
        </is>
      </c>
      <c r="F351" s="18" t="inlineStr">
        <is>
          <t>ICT / Software &amp; Data / AI</t>
        </is>
      </c>
      <c r="G351" s="17" t="inlineStr">
        <is>
          <t>vertical_promotion</t>
        </is>
      </c>
      <c r="H351" s="18" t="inlineStr">
        <is>
          <t>maintaining, administering, computer</t>
        </is>
      </c>
      <c r="I351" s="18" t="inlineStr">
        <is>
          <t>심화 Systems Aministrators 실무, 프로젝트 관리 역량</t>
        </is>
      </c>
      <c r="J351" s="18" t="inlineStr">
        <is>
          <t>실무 2년 이상 및 전문 자격</t>
        </is>
      </c>
      <c r="K351" s="17" t="inlineStr">
        <is>
          <t>★★★☆☆</t>
        </is>
      </c>
      <c r="L351" s="21" t="inlineStr">
        <is>
          <t>+25.0%</t>
        </is>
      </c>
    </row>
    <row r="352">
      <c r="A352" s="15" t="inlineStr">
        <is>
          <t>TR-0351</t>
        </is>
      </c>
      <c r="B352" s="15" t="inlineStr">
        <is>
          <t>3513</t>
        </is>
      </c>
      <c r="C352" s="16" t="inlineStr">
        <is>
          <t>Computer Network and Systems Technicians</t>
        </is>
      </c>
      <c r="D352" s="15" t="inlineStr">
        <is>
          <t>2523</t>
        </is>
      </c>
      <c r="E352" s="16" t="inlineStr">
        <is>
          <t>Computer Network Professionals</t>
        </is>
      </c>
      <c r="F352" s="16" t="inlineStr">
        <is>
          <t>ICT / Software &amp; Data / AI</t>
        </is>
      </c>
      <c r="G352" s="15" t="inlineStr">
        <is>
          <t>vertical_promotion</t>
        </is>
      </c>
      <c r="H352" s="16" t="inlineStr">
        <is>
          <t>analysing, developing, interpreting</t>
        </is>
      </c>
      <c r="I352" s="16" t="inlineStr">
        <is>
          <t>심화 Computer Network Professionals 실무, 프로젝트 관리 역량</t>
        </is>
      </c>
      <c r="J352" s="16" t="inlineStr">
        <is>
          <t>실무 2년 이상 및 전문 자격</t>
        </is>
      </c>
      <c r="K352" s="15" t="inlineStr">
        <is>
          <t>★★★☆☆</t>
        </is>
      </c>
      <c r="L352" s="20" t="inlineStr">
        <is>
          <t>+25.0%</t>
        </is>
      </c>
    </row>
    <row r="353">
      <c r="A353" s="17" t="inlineStr">
        <is>
          <t>TR-0352</t>
        </is>
      </c>
      <c r="B353" s="17" t="inlineStr">
        <is>
          <t>3513</t>
        </is>
      </c>
      <c r="C353" s="18" t="inlineStr">
        <is>
          <t>Computer Network and Systems Technicians</t>
        </is>
      </c>
      <c r="D353" s="17" t="inlineStr">
        <is>
          <t>3511</t>
        </is>
      </c>
      <c r="E353" s="18" t="inlineStr">
        <is>
          <t>Information and Communications Technology Operations Technicians</t>
        </is>
      </c>
      <c r="F353" s="18" t="inlineStr">
        <is>
          <t>ICT / Software &amp; Data / AI</t>
        </is>
      </c>
      <c r="G353" s="17" t="inlineStr">
        <is>
          <t>horizontal_transfer</t>
        </is>
      </c>
      <c r="H353" s="18" t="inlineStr">
        <is>
          <t>operating, controlling, peripheral</t>
        </is>
      </c>
      <c r="I353" s="18" t="inlineStr">
        <is>
          <t>심화 Information and Communications Technology Operations Technicians 실무, 프로젝트 관리 역량</t>
        </is>
      </c>
      <c r="J353" s="18" t="inlineStr">
        <is>
          <t>실무 1년 이상 및 전문 자격</t>
        </is>
      </c>
      <c r="K353" s="17" t="inlineStr">
        <is>
          <t>★★☆☆☆</t>
        </is>
      </c>
      <c r="L353" s="21" t="inlineStr">
        <is>
          <t>+15.0%</t>
        </is>
      </c>
    </row>
    <row r="354">
      <c r="A354" s="15" t="inlineStr">
        <is>
          <t>TR-0353</t>
        </is>
      </c>
      <c r="B354" s="15" t="inlineStr">
        <is>
          <t>3513</t>
        </is>
      </c>
      <c r="C354" s="16" t="inlineStr">
        <is>
          <t>Computer Network and Systems Technicians</t>
        </is>
      </c>
      <c r="D354" s="15" t="inlineStr">
        <is>
          <t>3514</t>
        </is>
      </c>
      <c r="E354" s="16" t="inlineStr">
        <is>
          <t>Web Technicians</t>
        </is>
      </c>
      <c r="F354" s="16" t="inlineStr">
        <is>
          <t>ICT / Software &amp; Data / AI</t>
        </is>
      </c>
      <c r="G354" s="15" t="inlineStr">
        <is>
          <t>horizontal_transfer</t>
        </is>
      </c>
      <c r="H354" s="16" t="inlineStr">
        <is>
          <t>installing, monitoring, supporting</t>
        </is>
      </c>
      <c r="I354" s="16" t="inlineStr">
        <is>
          <t>심화 Web Technicians 실무, 프로젝트 관리 역량</t>
        </is>
      </c>
      <c r="J354" s="16" t="inlineStr">
        <is>
          <t>실무 1년 이상 및 전문 자격</t>
        </is>
      </c>
      <c r="K354" s="15" t="inlineStr">
        <is>
          <t>★★☆☆☆</t>
        </is>
      </c>
      <c r="L354" s="20" t="inlineStr">
        <is>
          <t>+15.0%</t>
        </is>
      </c>
    </row>
    <row r="355">
      <c r="A355" s="17" t="inlineStr">
        <is>
          <t>TR-0354</t>
        </is>
      </c>
      <c r="B355" s="17" t="inlineStr">
        <is>
          <t>3514</t>
        </is>
      </c>
      <c r="C355" s="18" t="inlineStr">
        <is>
          <t>Web Technicians</t>
        </is>
      </c>
      <c r="D355" s="17" t="inlineStr">
        <is>
          <t>2166</t>
        </is>
      </c>
      <c r="E355" s="18" t="inlineStr">
        <is>
          <t>Graphic and Multimedia Designers</t>
        </is>
      </c>
      <c r="F355" s="18" t="inlineStr">
        <is>
          <t>ICT / Software &amp; Data / AI</t>
        </is>
      </c>
      <c r="G355" s="17" t="inlineStr">
        <is>
          <t>vertical_promotion</t>
        </is>
      </c>
      <c r="H355" s="18" t="inlineStr">
        <is>
          <t>determining, objectives, constraints</t>
        </is>
      </c>
      <c r="I355" s="18" t="inlineStr">
        <is>
          <t>심화 Graphic and Multimedia Designers 실무, 프로젝트 관리 역량</t>
        </is>
      </c>
      <c r="J355" s="18" t="inlineStr">
        <is>
          <t>실무 2년 이상 및 전문 자격</t>
        </is>
      </c>
      <c r="K355" s="17" t="inlineStr">
        <is>
          <t>★★★☆☆</t>
        </is>
      </c>
      <c r="L355" s="21" t="inlineStr">
        <is>
          <t>+25.0%</t>
        </is>
      </c>
    </row>
    <row r="356">
      <c r="A356" s="15" t="inlineStr">
        <is>
          <t>TR-0355</t>
        </is>
      </c>
      <c r="B356" s="15" t="inlineStr">
        <is>
          <t>3514</t>
        </is>
      </c>
      <c r="C356" s="16" t="inlineStr">
        <is>
          <t>Web Technicians</t>
        </is>
      </c>
      <c r="D356" s="15" t="inlineStr">
        <is>
          <t>2511</t>
        </is>
      </c>
      <c r="E356" s="16" t="inlineStr">
        <is>
          <t>Systems Analysts</t>
        </is>
      </c>
      <c r="F356" s="16" t="inlineStr">
        <is>
          <t>ICT / Software &amp; Data / AI</t>
        </is>
      </c>
      <c r="G356" s="15" t="inlineStr">
        <is>
          <t>vertical_promotion</t>
        </is>
      </c>
      <c r="H356" s="16" t="inlineStr">
        <is>
          <t>consulting, with, users</t>
        </is>
      </c>
      <c r="I356" s="16" t="inlineStr">
        <is>
          <t>심화 Systems Analysts 실무, 프로젝트 관리 역량</t>
        </is>
      </c>
      <c r="J356" s="16" t="inlineStr">
        <is>
          <t>실무 2년 이상 및 전문 자격</t>
        </is>
      </c>
      <c r="K356" s="15" t="inlineStr">
        <is>
          <t>★★★☆☆</t>
        </is>
      </c>
      <c r="L356" s="20" t="inlineStr">
        <is>
          <t>+25.0%</t>
        </is>
      </c>
    </row>
    <row r="357">
      <c r="A357" s="17" t="inlineStr">
        <is>
          <t>TR-0356</t>
        </is>
      </c>
      <c r="B357" s="17" t="inlineStr">
        <is>
          <t>3514</t>
        </is>
      </c>
      <c r="C357" s="18" t="inlineStr">
        <is>
          <t>Web Technicians</t>
        </is>
      </c>
      <c r="D357" s="17" t="inlineStr">
        <is>
          <t>2512</t>
        </is>
      </c>
      <c r="E357" s="18" t="inlineStr">
        <is>
          <t>Software Developers</t>
        </is>
      </c>
      <c r="F357" s="18" t="inlineStr">
        <is>
          <t>ICT / Software &amp; Data / AI</t>
        </is>
      </c>
      <c r="G357" s="17" t="inlineStr">
        <is>
          <t>vertical_promotion</t>
        </is>
      </c>
      <c r="H357" s="18" t="inlineStr">
        <is>
          <t>researching, analysing, evaluating</t>
        </is>
      </c>
      <c r="I357" s="18" t="inlineStr">
        <is>
          <t>심화 Software Developers 실무, 프로젝트 관리 역량</t>
        </is>
      </c>
      <c r="J357" s="18" t="inlineStr">
        <is>
          <t>실무 2년 이상 및 전문 자격</t>
        </is>
      </c>
      <c r="K357" s="17" t="inlineStr">
        <is>
          <t>★★★☆☆</t>
        </is>
      </c>
      <c r="L357" s="21" t="inlineStr">
        <is>
          <t>+25.0%</t>
        </is>
      </c>
    </row>
    <row r="358">
      <c r="A358" s="15" t="inlineStr">
        <is>
          <t>TR-0357</t>
        </is>
      </c>
      <c r="B358" s="15" t="inlineStr">
        <is>
          <t>3514</t>
        </is>
      </c>
      <c r="C358" s="16" t="inlineStr">
        <is>
          <t>Web Technicians</t>
        </is>
      </c>
      <c r="D358" s="15" t="inlineStr">
        <is>
          <t>2513</t>
        </is>
      </c>
      <c r="E358" s="16" t="inlineStr">
        <is>
          <t>Web and Multimedia Developers</t>
        </is>
      </c>
      <c r="F358" s="16" t="inlineStr">
        <is>
          <t>ICT / Software &amp; Data / AI</t>
        </is>
      </c>
      <c r="G358" s="15" t="inlineStr">
        <is>
          <t>vertical_promotion</t>
        </is>
      </c>
      <c r="H358" s="16" t="inlineStr">
        <is>
          <t>analysing, designing, developing</t>
        </is>
      </c>
      <c r="I358" s="16" t="inlineStr">
        <is>
          <t>심화 Web and Multimedia Developers 실무, 프로젝트 관리 역량</t>
        </is>
      </c>
      <c r="J358" s="16" t="inlineStr">
        <is>
          <t>실무 2년 이상 및 전문 자격</t>
        </is>
      </c>
      <c r="K358" s="15" t="inlineStr">
        <is>
          <t>★★★☆☆</t>
        </is>
      </c>
      <c r="L358" s="20" t="inlineStr">
        <is>
          <t>+25.0%</t>
        </is>
      </c>
    </row>
    <row r="359">
      <c r="A359" s="17" t="inlineStr">
        <is>
          <t>TR-0358</t>
        </is>
      </c>
      <c r="B359" s="17" t="inlineStr">
        <is>
          <t>3514</t>
        </is>
      </c>
      <c r="C359" s="18" t="inlineStr">
        <is>
          <t>Web Technicians</t>
        </is>
      </c>
      <c r="D359" s="17" t="inlineStr">
        <is>
          <t>2522</t>
        </is>
      </c>
      <c r="E359" s="18" t="inlineStr">
        <is>
          <t>Systems Aministrators</t>
        </is>
      </c>
      <c r="F359" s="18" t="inlineStr">
        <is>
          <t>ICT / Software &amp; Data / AI</t>
        </is>
      </c>
      <c r="G359" s="17" t="inlineStr">
        <is>
          <t>vertical_promotion</t>
        </is>
      </c>
      <c r="H359" s="18" t="inlineStr">
        <is>
          <t>maintaining, administering, computer</t>
        </is>
      </c>
      <c r="I359" s="18" t="inlineStr">
        <is>
          <t>심화 Systems Aministrators 실무, 프로젝트 관리 역량</t>
        </is>
      </c>
      <c r="J359" s="18" t="inlineStr">
        <is>
          <t>실무 2년 이상 및 전문 자격</t>
        </is>
      </c>
      <c r="K359" s="17" t="inlineStr">
        <is>
          <t>★★★☆☆</t>
        </is>
      </c>
      <c r="L359" s="21" t="inlineStr">
        <is>
          <t>+25.0%</t>
        </is>
      </c>
    </row>
    <row r="360">
      <c r="A360" s="15" t="inlineStr">
        <is>
          <t>TR-0359</t>
        </is>
      </c>
      <c r="B360" s="15" t="inlineStr">
        <is>
          <t>3521</t>
        </is>
      </c>
      <c r="C360" s="16" t="inlineStr">
        <is>
          <t>Broadcasting and Audio-visual Technicians</t>
        </is>
      </c>
      <c r="D360" s="15" t="inlineStr">
        <is>
          <t>3431</t>
        </is>
      </c>
      <c r="E360" s="16" t="inlineStr">
        <is>
          <t>Photographers</t>
        </is>
      </c>
      <c r="F360" s="16" t="inlineStr">
        <is>
          <t>ICT / Software &amp; Data / AI</t>
        </is>
      </c>
      <c r="G360" s="15" t="inlineStr">
        <is>
          <t>horizontal_transfer</t>
        </is>
      </c>
      <c r="H360" s="16" t="inlineStr">
        <is>
          <t>taking, photographs, advertising</t>
        </is>
      </c>
      <c r="I360" s="16" t="inlineStr">
        <is>
          <t>심화 Photographers 실무, 프로젝트 관리 역량</t>
        </is>
      </c>
      <c r="J360" s="16" t="inlineStr">
        <is>
          <t>실무 1년 이상 및 전문 자격</t>
        </is>
      </c>
      <c r="K360" s="15" t="inlineStr">
        <is>
          <t>★★☆☆☆</t>
        </is>
      </c>
      <c r="L360" s="20" t="inlineStr">
        <is>
          <t>+15.0%</t>
        </is>
      </c>
    </row>
    <row r="361">
      <c r="A361" s="17" t="inlineStr">
        <is>
          <t>TR-0360</t>
        </is>
      </c>
      <c r="B361" s="17" t="inlineStr">
        <is>
          <t>3522</t>
        </is>
      </c>
      <c r="C361" s="18" t="inlineStr">
        <is>
          <t>Telecommunications Engineering Technicians</t>
        </is>
      </c>
      <c r="D361" s="17" t="inlineStr">
        <is>
          <t>3114</t>
        </is>
      </c>
      <c r="E361" s="18" t="inlineStr">
        <is>
          <t>Electronics Engineering Technicians</t>
        </is>
      </c>
      <c r="F361" s="18" t="inlineStr">
        <is>
          <t>ICT / Software &amp; Data / AI</t>
        </is>
      </c>
      <c r="G361" s="17" t="inlineStr">
        <is>
          <t>horizontal_transfer</t>
        </is>
      </c>
      <c r="H361" s="18" t="inlineStr">
        <is>
          <t>technical, assistance, research</t>
        </is>
      </c>
      <c r="I361" s="18" t="inlineStr">
        <is>
          <t>심화 Electronics Engineering Technicians 실무, 프로젝트 관리 역량</t>
        </is>
      </c>
      <c r="J361" s="18" t="inlineStr">
        <is>
          <t>실무 1년 이상 및 전문 자격</t>
        </is>
      </c>
      <c r="K361" s="17" t="inlineStr">
        <is>
          <t>★★☆☆☆</t>
        </is>
      </c>
      <c r="L361" s="21" t="inlineStr">
        <is>
          <t>+15.0%</t>
        </is>
      </c>
    </row>
    <row r="362">
      <c r="A362" s="15" t="inlineStr">
        <is>
          <t>TR-0361</t>
        </is>
      </c>
      <c r="B362" s="15" t="inlineStr">
        <is>
          <t>3522</t>
        </is>
      </c>
      <c r="C362" s="16" t="inlineStr">
        <is>
          <t>Telecommunications Engineering Technicians</t>
        </is>
      </c>
      <c r="D362" s="15" t="inlineStr">
        <is>
          <t>7422</t>
        </is>
      </c>
      <c r="E362" s="16" t="inlineStr">
        <is>
          <t>Information and Communications Technology Installers and Servicers</t>
        </is>
      </c>
      <c r="F362" s="16" t="inlineStr">
        <is>
          <t>ICT / Software &amp; Data / AI</t>
        </is>
      </c>
      <c r="G362" s="15" t="inlineStr">
        <is>
          <t>horizontal_transfer</t>
        </is>
      </c>
      <c r="H362" s="16" t="inlineStr">
        <is>
          <t>maintaining, troubleshooting, testing</t>
        </is>
      </c>
      <c r="I362" s="16" t="inlineStr">
        <is>
          <t>심화 Information and Communications Technology Installers and Servicers 실무, 프로젝트 관리 역량</t>
        </is>
      </c>
      <c r="J362" s="16" t="inlineStr">
        <is>
          <t>실무 1년 이상 및 전문 자격</t>
        </is>
      </c>
      <c r="K362" s="15" t="inlineStr">
        <is>
          <t>★☆☆☆☆</t>
        </is>
      </c>
      <c r="L362" s="20" t="inlineStr">
        <is>
          <t>+8.0%</t>
        </is>
      </c>
    </row>
    <row r="363">
      <c r="A363" s="17" t="inlineStr">
        <is>
          <t>TR-0362</t>
        </is>
      </c>
      <c r="B363" s="17" t="inlineStr">
        <is>
          <t>4120</t>
        </is>
      </c>
      <c r="C363" s="18" t="inlineStr">
        <is>
          <t>Secretaries (general)</t>
        </is>
      </c>
      <c r="D363" s="17" t="inlineStr">
        <is>
          <t>3342</t>
        </is>
      </c>
      <c r="E363" s="18" t="inlineStr">
        <is>
          <t>Legal Secretaries</t>
        </is>
      </c>
      <c r="F363" s="18" t="inlineStr">
        <is>
          <t>경영전략 / 인사 / 사업개발</t>
        </is>
      </c>
      <c r="G363" s="17" t="inlineStr">
        <is>
          <t>vertical_promotion</t>
        </is>
      </c>
      <c r="H363" s="18" t="inlineStr">
        <is>
          <t>preparing, processing, legal</t>
        </is>
      </c>
      <c r="I363" s="18" t="inlineStr">
        <is>
          <t>심화 Legal Secretaries 실무, 프로젝트 관리 역량</t>
        </is>
      </c>
      <c r="J363" s="18" t="inlineStr">
        <is>
          <t>실무 2년 이상 및 전문 자격</t>
        </is>
      </c>
      <c r="K363" s="17" t="inlineStr">
        <is>
          <t>★★★☆☆</t>
        </is>
      </c>
      <c r="L363" s="21" t="inlineStr">
        <is>
          <t>+25.0%</t>
        </is>
      </c>
    </row>
    <row r="364">
      <c r="A364" s="15" t="inlineStr">
        <is>
          <t>TR-0363</t>
        </is>
      </c>
      <c r="B364" s="15" t="inlineStr">
        <is>
          <t>4120</t>
        </is>
      </c>
      <c r="C364" s="16" t="inlineStr">
        <is>
          <t>Secretaries (general)</t>
        </is>
      </c>
      <c r="D364" s="15" t="inlineStr">
        <is>
          <t>3343</t>
        </is>
      </c>
      <c r="E364" s="16" t="inlineStr">
        <is>
          <t>Administrative and Executive Secretaries</t>
        </is>
      </c>
      <c r="F364" s="16" t="inlineStr">
        <is>
          <t>경영전략 / 인사 / 사업개발</t>
        </is>
      </c>
      <c r="G364" s="15" t="inlineStr">
        <is>
          <t>vertical_promotion</t>
        </is>
      </c>
      <c r="H364" s="16" t="inlineStr">
        <is>
          <t>drafting, administrative, correspondence</t>
        </is>
      </c>
      <c r="I364" s="16" t="inlineStr">
        <is>
          <t>심화 Administrative and Executive Secretaries 실무, 프로젝트 관리 역량</t>
        </is>
      </c>
      <c r="J364" s="16" t="inlineStr">
        <is>
          <t>실무 2년 이상 및 전문 자격</t>
        </is>
      </c>
      <c r="K364" s="15" t="inlineStr">
        <is>
          <t>★★★☆☆</t>
        </is>
      </c>
      <c r="L364" s="20" t="inlineStr">
        <is>
          <t>+25.0%</t>
        </is>
      </c>
    </row>
    <row r="365">
      <c r="A365" s="17" t="inlineStr">
        <is>
          <t>TR-0364</t>
        </is>
      </c>
      <c r="B365" s="17" t="inlineStr">
        <is>
          <t>4120</t>
        </is>
      </c>
      <c r="C365" s="18" t="inlineStr">
        <is>
          <t>Secretaries (general)</t>
        </is>
      </c>
      <c r="D365" s="17" t="inlineStr">
        <is>
          <t>3344</t>
        </is>
      </c>
      <c r="E365" s="18" t="inlineStr">
        <is>
          <t>Medical Secretaries</t>
        </is>
      </c>
      <c r="F365" s="18" t="inlineStr">
        <is>
          <t>경영전략 / 인사 / 사업개발</t>
        </is>
      </c>
      <c r="G365" s="17" t="inlineStr">
        <is>
          <t>vertical_promotion</t>
        </is>
      </c>
      <c r="H365" s="18" t="inlineStr">
        <is>
          <t>scheduling, confirming, medical</t>
        </is>
      </c>
      <c r="I365" s="18" t="inlineStr">
        <is>
          <t>심화 Medical Secretaries 실무, 프로젝트 관리 역량</t>
        </is>
      </c>
      <c r="J365" s="18" t="inlineStr">
        <is>
          <t>실무 2년 이상 및 전문 자격</t>
        </is>
      </c>
      <c r="K365" s="17" t="inlineStr">
        <is>
          <t>★★★☆☆</t>
        </is>
      </c>
      <c r="L365" s="21" t="inlineStr">
        <is>
          <t>+25.0%</t>
        </is>
      </c>
    </row>
    <row r="366">
      <c r="A366" s="15" t="inlineStr">
        <is>
          <t>TR-0365</t>
        </is>
      </c>
      <c r="B366" s="15" t="inlineStr">
        <is>
          <t>4131</t>
        </is>
      </c>
      <c r="C366" s="16" t="inlineStr">
        <is>
          <t>Typists and Word Processing Operators</t>
        </is>
      </c>
      <c r="D366" s="15" t="inlineStr">
        <is>
          <t>3343</t>
        </is>
      </c>
      <c r="E366" s="16" t="inlineStr">
        <is>
          <t>Administrative and Executive Secretaries</t>
        </is>
      </c>
      <c r="F366" s="16" t="inlineStr">
        <is>
          <t>경영전략 / 인사 / 사업개발</t>
        </is>
      </c>
      <c r="G366" s="15" t="inlineStr">
        <is>
          <t>vertical_promotion</t>
        </is>
      </c>
      <c r="H366" s="16" t="inlineStr">
        <is>
          <t>drafting, administrative, correspondence</t>
        </is>
      </c>
      <c r="I366" s="16" t="inlineStr">
        <is>
          <t>심화 Administrative and Executive Secretaries 실무, 프로젝트 관리 역량</t>
        </is>
      </c>
      <c r="J366" s="16" t="inlineStr">
        <is>
          <t>실무 2년 이상 및 전문 자격</t>
        </is>
      </c>
      <c r="K366" s="15" t="inlineStr">
        <is>
          <t>★★★☆☆</t>
        </is>
      </c>
      <c r="L366" s="20" t="inlineStr">
        <is>
          <t>+25.0%</t>
        </is>
      </c>
    </row>
    <row r="367">
      <c r="A367" s="17" t="inlineStr">
        <is>
          <t>TR-0366</t>
        </is>
      </c>
      <c r="B367" s="17" t="inlineStr">
        <is>
          <t>4131</t>
        </is>
      </c>
      <c r="C367" s="18" t="inlineStr">
        <is>
          <t>Typists and Word Processing Operators</t>
        </is>
      </c>
      <c r="D367" s="17" t="inlineStr">
        <is>
          <t>3344</t>
        </is>
      </c>
      <c r="E367" s="18" t="inlineStr">
        <is>
          <t>Medical Secretaries</t>
        </is>
      </c>
      <c r="F367" s="18" t="inlineStr">
        <is>
          <t>경영전략 / 인사 / 사업개발</t>
        </is>
      </c>
      <c r="G367" s="17" t="inlineStr">
        <is>
          <t>vertical_promotion</t>
        </is>
      </c>
      <c r="H367" s="18" t="inlineStr">
        <is>
          <t>scheduling, confirming, medical</t>
        </is>
      </c>
      <c r="I367" s="18" t="inlineStr">
        <is>
          <t>심화 Medical Secretaries 실무, 프로젝트 관리 역량</t>
        </is>
      </c>
      <c r="J367" s="18" t="inlineStr">
        <is>
          <t>실무 2년 이상 및 전문 자격</t>
        </is>
      </c>
      <c r="K367" s="17" t="inlineStr">
        <is>
          <t>★★★☆☆</t>
        </is>
      </c>
      <c r="L367" s="21" t="inlineStr">
        <is>
          <t>+25.0%</t>
        </is>
      </c>
    </row>
    <row r="368">
      <c r="A368" s="15" t="inlineStr">
        <is>
          <t>TR-0367</t>
        </is>
      </c>
      <c r="B368" s="15" t="inlineStr">
        <is>
          <t>4211</t>
        </is>
      </c>
      <c r="C368" s="16" t="inlineStr">
        <is>
          <t>Bank Tellers and Related Clerks</t>
        </is>
      </c>
      <c r="D368" s="15" t="inlineStr">
        <is>
          <t>5230</t>
        </is>
      </c>
      <c r="E368" s="16" t="inlineStr">
        <is>
          <t>Cashiers and Ticket Clerks</t>
        </is>
      </c>
      <c r="F368" s="16" t="inlineStr">
        <is>
          <t>B2B영업 / 마케팅 / GTM</t>
        </is>
      </c>
      <c r="G368" s="15" t="inlineStr">
        <is>
          <t>horizontal_transfer</t>
        </is>
      </c>
      <c r="H368" s="16" t="inlineStr">
        <is>
          <t>receiving, verifying, payment</t>
        </is>
      </c>
      <c r="I368" s="16" t="inlineStr">
        <is>
          <t>심화 Cashiers and Ticket Clerks 실무, 프로젝트 관리 역량</t>
        </is>
      </c>
      <c r="J368" s="16" t="inlineStr">
        <is>
          <t>실무 1년 이상 및 전문 자격</t>
        </is>
      </c>
      <c r="K368" s="15" t="inlineStr">
        <is>
          <t>★★☆☆☆</t>
        </is>
      </c>
      <c r="L368" s="20" t="inlineStr">
        <is>
          <t>+15.0%</t>
        </is>
      </c>
    </row>
    <row r="369">
      <c r="A369" s="17" t="inlineStr">
        <is>
          <t>TR-0368</t>
        </is>
      </c>
      <c r="B369" s="17" t="inlineStr">
        <is>
          <t>4221</t>
        </is>
      </c>
      <c r="C369" s="18" t="inlineStr">
        <is>
          <t>Travel Consultants and Clerks</t>
        </is>
      </c>
      <c r="D369" s="17" t="inlineStr">
        <is>
          <t>1439</t>
        </is>
      </c>
      <c r="E369" s="18" t="inlineStr">
        <is>
          <t>Services Managers Not Elsewhere Classified</t>
        </is>
      </c>
      <c r="F369" s="18" t="inlineStr">
        <is>
          <t>B2B영업 / 마케팅 / GTM</t>
        </is>
      </c>
      <c r="G369" s="17" t="inlineStr">
        <is>
          <t>vertical_promotion</t>
        </is>
      </c>
      <c r="H369" s="18" t="inlineStr">
        <is>
          <t>Services Managers Not Elsewhere Classified 실무, 표준 프로세스 준수, 데이터/지표 분석</t>
        </is>
      </c>
      <c r="I369" s="18" t="inlineStr">
        <is>
          <t>심화 Services Managers Not Elsewhere Classified 실무, 프로젝트 관리 역량</t>
        </is>
      </c>
      <c r="J369" s="18" t="inlineStr">
        <is>
          <t>실무 6년 이상 및 전문 자격</t>
        </is>
      </c>
      <c r="K369" s="17" t="inlineStr">
        <is>
          <t>★★★★★</t>
        </is>
      </c>
      <c r="L369" s="21" t="inlineStr">
        <is>
          <t>+45.0%</t>
        </is>
      </c>
    </row>
    <row r="370">
      <c r="A370" s="15" t="inlineStr">
        <is>
          <t>TR-0369</t>
        </is>
      </c>
      <c r="B370" s="15" t="inlineStr">
        <is>
          <t>4221</t>
        </is>
      </c>
      <c r="C370" s="16" t="inlineStr">
        <is>
          <t>Travel Consultants and Clerks</t>
        </is>
      </c>
      <c r="D370" s="15" t="inlineStr">
        <is>
          <t>3332</t>
        </is>
      </c>
      <c r="E370" s="16" t="inlineStr">
        <is>
          <t>Conference and Event Planners</t>
        </is>
      </c>
      <c r="F370" s="16" t="inlineStr">
        <is>
          <t>B2B영업 / 마케팅 / GTM</t>
        </is>
      </c>
      <c r="G370" s="15" t="inlineStr">
        <is>
          <t>vertical_promotion</t>
        </is>
      </c>
      <c r="H370" s="16" t="inlineStr">
        <is>
          <t>promoting, conferences, conventions</t>
        </is>
      </c>
      <c r="I370" s="16" t="inlineStr">
        <is>
          <t>심화 Conference and Event Planners 실무, 프로젝트 관리 역량</t>
        </is>
      </c>
      <c r="J370" s="16" t="inlineStr">
        <is>
          <t>실무 2년 이상 및 전문 자격</t>
        </is>
      </c>
      <c r="K370" s="15" t="inlineStr">
        <is>
          <t>★★★☆☆</t>
        </is>
      </c>
      <c r="L370" s="20" t="inlineStr">
        <is>
          <t>+25.0%</t>
        </is>
      </c>
    </row>
    <row r="371">
      <c r="A371" s="17" t="inlineStr">
        <is>
          <t>TR-0370</t>
        </is>
      </c>
      <c r="B371" s="17" t="inlineStr">
        <is>
          <t>4221</t>
        </is>
      </c>
      <c r="C371" s="18" t="inlineStr">
        <is>
          <t>Travel Consultants and Clerks</t>
        </is>
      </c>
      <c r="D371" s="17" t="inlineStr">
        <is>
          <t>3339</t>
        </is>
      </c>
      <c r="E371" s="18" t="inlineStr">
        <is>
          <t>Business Services Agents Not Elsewhere Classified</t>
        </is>
      </c>
      <c r="F371" s="18" t="inlineStr">
        <is>
          <t>B2B영업 / 마케팅 / GTM</t>
        </is>
      </c>
      <c r="G371" s="17" t="inlineStr">
        <is>
          <t>vertical_promotion</t>
        </is>
      </c>
      <c r="H371" s="18" t="inlineStr">
        <is>
          <t>such, cases, would</t>
        </is>
      </c>
      <c r="I371" s="18" t="inlineStr">
        <is>
          <t>심화 Business Services Agents Not Elsewhere Classified 실무, 프로젝트 관리 역량</t>
        </is>
      </c>
      <c r="J371" s="18" t="inlineStr">
        <is>
          <t>실무 2년 이상 및 전문 자격</t>
        </is>
      </c>
      <c r="K371" s="17" t="inlineStr">
        <is>
          <t>★★★☆☆</t>
        </is>
      </c>
      <c r="L371" s="21" t="inlineStr">
        <is>
          <t>+25.0%</t>
        </is>
      </c>
    </row>
    <row r="372">
      <c r="A372" s="15" t="inlineStr">
        <is>
          <t>TR-0371</t>
        </is>
      </c>
      <c r="B372" s="15" t="inlineStr">
        <is>
          <t>4221</t>
        </is>
      </c>
      <c r="C372" s="16" t="inlineStr">
        <is>
          <t>Travel Consultants and Clerks</t>
        </is>
      </c>
      <c r="D372" s="15" t="inlineStr">
        <is>
          <t>5113</t>
        </is>
      </c>
      <c r="E372" s="16" t="inlineStr">
        <is>
          <t>Travel Guides</t>
        </is>
      </c>
      <c r="F372" s="16" t="inlineStr">
        <is>
          <t>B2B영업 / 마케팅 / GTM</t>
        </is>
      </c>
      <c r="G372" s="15" t="inlineStr">
        <is>
          <t>horizontal_transfer</t>
        </is>
      </c>
      <c r="H372" s="16" t="inlineStr">
        <is>
          <t>escorting, guiding, tourists</t>
        </is>
      </c>
      <c r="I372" s="16" t="inlineStr">
        <is>
          <t>심화 Travel Guides 실무, 프로젝트 관리 역량</t>
        </is>
      </c>
      <c r="J372" s="16" t="inlineStr">
        <is>
          <t>실무 1년 이상 및 전문 자격</t>
        </is>
      </c>
      <c r="K372" s="15" t="inlineStr">
        <is>
          <t>★★☆☆☆</t>
        </is>
      </c>
      <c r="L372" s="20" t="inlineStr">
        <is>
          <t>+15.0%</t>
        </is>
      </c>
    </row>
    <row r="373">
      <c r="A373" s="17" t="inlineStr">
        <is>
          <t>TR-0372</t>
        </is>
      </c>
      <c r="B373" s="17" t="inlineStr">
        <is>
          <t>4221</t>
        </is>
      </c>
      <c r="C373" s="18" t="inlineStr">
        <is>
          <t>Travel Consultants and Clerks</t>
        </is>
      </c>
      <c r="D373" s="17" t="inlineStr">
        <is>
          <t>5230</t>
        </is>
      </c>
      <c r="E373" s="18" t="inlineStr">
        <is>
          <t>Cashiers and Ticket Clerks</t>
        </is>
      </c>
      <c r="F373" s="18" t="inlineStr">
        <is>
          <t>B2B영업 / 마케팅 / GTM</t>
        </is>
      </c>
      <c r="G373" s="17" t="inlineStr">
        <is>
          <t>horizontal_transfer</t>
        </is>
      </c>
      <c r="H373" s="18" t="inlineStr">
        <is>
          <t>receiving, verifying, payment</t>
        </is>
      </c>
      <c r="I373" s="18" t="inlineStr">
        <is>
          <t>심화 Cashiers and Ticket Clerks 실무, 프로젝트 관리 역량</t>
        </is>
      </c>
      <c r="J373" s="18" t="inlineStr">
        <is>
          <t>실무 1년 이상 및 전문 자격</t>
        </is>
      </c>
      <c r="K373" s="17" t="inlineStr">
        <is>
          <t>★★☆☆☆</t>
        </is>
      </c>
      <c r="L373" s="21" t="inlineStr">
        <is>
          <t>+15.0%</t>
        </is>
      </c>
    </row>
    <row r="374">
      <c r="A374" s="15" t="inlineStr">
        <is>
          <t>TR-0373</t>
        </is>
      </c>
      <c r="B374" s="15" t="inlineStr">
        <is>
          <t>4222</t>
        </is>
      </c>
      <c r="C374" s="16" t="inlineStr">
        <is>
          <t>Contact Centre Information Clerks</t>
        </is>
      </c>
      <c r="D374" s="15" t="inlineStr">
        <is>
          <t>4223</t>
        </is>
      </c>
      <c r="E374" s="16" t="inlineStr">
        <is>
          <t>Telephone Switchboard Operators</t>
        </is>
      </c>
      <c r="F374" s="16" t="inlineStr">
        <is>
          <t>B2B영업 / 마케팅 / GTM</t>
        </is>
      </c>
      <c r="G374" s="15" t="inlineStr">
        <is>
          <t>horizontal_transfer</t>
        </is>
      </c>
      <c r="H374" s="16" t="inlineStr">
        <is>
          <t>operating, switchboards, consoles</t>
        </is>
      </c>
      <c r="I374" s="16" t="inlineStr">
        <is>
          <t>심화 Telephone Switchboard Operators 실무, 프로젝트 관리 역량</t>
        </is>
      </c>
      <c r="J374" s="16" t="inlineStr">
        <is>
          <t>실무 1년 이상 및 전문 자격</t>
        </is>
      </c>
      <c r="K374" s="15" t="inlineStr">
        <is>
          <t>★★☆☆☆</t>
        </is>
      </c>
      <c r="L374" s="20" t="inlineStr">
        <is>
          <t>+15.0%</t>
        </is>
      </c>
    </row>
    <row r="375">
      <c r="A375" s="17" t="inlineStr">
        <is>
          <t>TR-0374</t>
        </is>
      </c>
      <c r="B375" s="17" t="inlineStr">
        <is>
          <t>4222</t>
        </is>
      </c>
      <c r="C375" s="18" t="inlineStr">
        <is>
          <t>Contact Centre Information Clerks</t>
        </is>
      </c>
      <c r="D375" s="17" t="inlineStr">
        <is>
          <t>4227</t>
        </is>
      </c>
      <c r="E375" s="18" t="inlineStr">
        <is>
          <t>Survey and Market Research Interviewers</t>
        </is>
      </c>
      <c r="F375" s="18" t="inlineStr">
        <is>
          <t>B2B영업 / 마케팅 / GTM</t>
        </is>
      </c>
      <c r="G375" s="17" t="inlineStr">
        <is>
          <t>horizontal_transfer</t>
        </is>
      </c>
      <c r="H375" s="18" t="inlineStr">
        <is>
          <t>contacting, individuals, telephone</t>
        </is>
      </c>
      <c r="I375" s="18" t="inlineStr">
        <is>
          <t>심화 Survey and Market Research Interviewers 실무, 프로젝트 관리 역량</t>
        </is>
      </c>
      <c r="J375" s="18" t="inlineStr">
        <is>
          <t>실무 1년 이상 및 전문 자격</t>
        </is>
      </c>
      <c r="K375" s="17" t="inlineStr">
        <is>
          <t>★★☆☆☆</t>
        </is>
      </c>
      <c r="L375" s="21" t="inlineStr">
        <is>
          <t>+15.0%</t>
        </is>
      </c>
    </row>
    <row r="376">
      <c r="A376" s="15" t="inlineStr">
        <is>
          <t>TR-0375</t>
        </is>
      </c>
      <c r="B376" s="15" t="inlineStr">
        <is>
          <t>4222</t>
        </is>
      </c>
      <c r="C376" s="16" t="inlineStr">
        <is>
          <t>Contact Centre Information Clerks</t>
        </is>
      </c>
      <c r="D376" s="15" t="inlineStr">
        <is>
          <t>5244</t>
        </is>
      </c>
      <c r="E376" s="16" t="inlineStr">
        <is>
          <t>Contact Centre Salespersons</t>
        </is>
      </c>
      <c r="F376" s="16" t="inlineStr">
        <is>
          <t>B2B영업 / 마케팅 / GTM</t>
        </is>
      </c>
      <c r="G376" s="15" t="inlineStr">
        <is>
          <t>horizontal_transfer</t>
        </is>
      </c>
      <c r="H376" s="16" t="inlineStr">
        <is>
          <t>promoting, goods, services</t>
        </is>
      </c>
      <c r="I376" s="16" t="inlineStr">
        <is>
          <t>심화 Contact Centre Salespersons 실무, 프로젝트 관리 역량</t>
        </is>
      </c>
      <c r="J376" s="16" t="inlineStr">
        <is>
          <t>실무 1년 이상 및 전문 자격</t>
        </is>
      </c>
      <c r="K376" s="15" t="inlineStr">
        <is>
          <t>★★☆☆☆</t>
        </is>
      </c>
      <c r="L376" s="20" t="inlineStr">
        <is>
          <t>+15.0%</t>
        </is>
      </c>
    </row>
    <row r="377">
      <c r="A377" s="17" t="inlineStr">
        <is>
          <t>TR-0376</t>
        </is>
      </c>
      <c r="B377" s="17" t="inlineStr">
        <is>
          <t>4226</t>
        </is>
      </c>
      <c r="C377" s="18" t="inlineStr">
        <is>
          <t>Receptionists (general)</t>
        </is>
      </c>
      <c r="D377" s="17" t="inlineStr">
        <is>
          <t>3344</t>
        </is>
      </c>
      <c r="E377" s="18" t="inlineStr">
        <is>
          <t>Medical Secretaries</t>
        </is>
      </c>
      <c r="F377" s="18" t="inlineStr">
        <is>
          <t>B2B영업 / 마케팅 / GTM</t>
        </is>
      </c>
      <c r="G377" s="17" t="inlineStr">
        <is>
          <t>vertical_promotion</t>
        </is>
      </c>
      <c r="H377" s="18" t="inlineStr">
        <is>
          <t>scheduling, confirming, medical</t>
        </is>
      </c>
      <c r="I377" s="18" t="inlineStr">
        <is>
          <t>심화 Medical Secretaries 실무, 프로젝트 관리 역량</t>
        </is>
      </c>
      <c r="J377" s="18" t="inlineStr">
        <is>
          <t>실무 2년 이상 및 전문 자격</t>
        </is>
      </c>
      <c r="K377" s="17" t="inlineStr">
        <is>
          <t>★★★☆☆</t>
        </is>
      </c>
      <c r="L377" s="21" t="inlineStr">
        <is>
          <t>+25.0%</t>
        </is>
      </c>
    </row>
    <row r="378">
      <c r="A378" s="15" t="inlineStr">
        <is>
          <t>TR-0377</t>
        </is>
      </c>
      <c r="B378" s="15" t="inlineStr">
        <is>
          <t>4226</t>
        </is>
      </c>
      <c r="C378" s="16" t="inlineStr">
        <is>
          <t>Receptionists (general)</t>
        </is>
      </c>
      <c r="D378" s="15" t="inlineStr">
        <is>
          <t>4224</t>
        </is>
      </c>
      <c r="E378" s="16" t="inlineStr">
        <is>
          <t>Hotel Receptionists</t>
        </is>
      </c>
      <c r="F378" s="16" t="inlineStr">
        <is>
          <t>B2B영업 / 마케팅 / GTM</t>
        </is>
      </c>
      <c r="G378" s="15" t="inlineStr">
        <is>
          <t>horizontal_transfer</t>
        </is>
      </c>
      <c r="H378" s="16" t="inlineStr">
        <is>
          <t>maintaining, inventory, rooms</t>
        </is>
      </c>
      <c r="I378" s="16" t="inlineStr">
        <is>
          <t>심화 Hotel Receptionists 실무, 프로젝트 관리 역량</t>
        </is>
      </c>
      <c r="J378" s="16" t="inlineStr">
        <is>
          <t>실무 1년 이상 및 전문 자격</t>
        </is>
      </c>
      <c r="K378" s="15" t="inlineStr">
        <is>
          <t>★★☆☆☆</t>
        </is>
      </c>
      <c r="L378" s="20" t="inlineStr">
        <is>
          <t>+15.0%</t>
        </is>
      </c>
    </row>
    <row r="379">
      <c r="A379" s="17" t="inlineStr">
        <is>
          <t>TR-0378</t>
        </is>
      </c>
      <c r="B379" s="17" t="inlineStr">
        <is>
          <t>4311</t>
        </is>
      </c>
      <c r="C379" s="18" t="inlineStr">
        <is>
          <t>Accounting and Bookkeeping Clerks</t>
        </is>
      </c>
      <c r="D379" s="17" t="inlineStr">
        <is>
          <t>3313</t>
        </is>
      </c>
      <c r="E379" s="18" t="inlineStr">
        <is>
          <t>Accounting Associate Professionals</t>
        </is>
      </c>
      <c r="F379" s="18" t="inlineStr">
        <is>
          <t>경영전략 / 인사 / 사업개발</t>
        </is>
      </c>
      <c r="G379" s="17" t="inlineStr">
        <is>
          <t>vertical_promotion</t>
        </is>
      </c>
      <c r="H379" s="18" t="inlineStr">
        <is>
          <t>maintaining, complete, records</t>
        </is>
      </c>
      <c r="I379" s="18" t="inlineStr">
        <is>
          <t>심화 Accounting Associate Professionals 실무, 프로젝트 관리 역량</t>
        </is>
      </c>
      <c r="J379" s="18" t="inlineStr">
        <is>
          <t>실무 2년 이상 및 전문 자격</t>
        </is>
      </c>
      <c r="K379" s="17" t="inlineStr">
        <is>
          <t>★★★☆☆</t>
        </is>
      </c>
      <c r="L379" s="21" t="inlineStr">
        <is>
          <t>+25.0%</t>
        </is>
      </c>
    </row>
    <row r="380">
      <c r="A380" s="15" t="inlineStr">
        <is>
          <t>TR-0379</t>
        </is>
      </c>
      <c r="B380" s="15" t="inlineStr">
        <is>
          <t>4312</t>
        </is>
      </c>
      <c r="C380" s="16" t="inlineStr">
        <is>
          <t>Statistical, Finance and Insurance Clerks</t>
        </is>
      </c>
      <c r="D380" s="15" t="inlineStr">
        <is>
          <t>3311</t>
        </is>
      </c>
      <c r="E380" s="16" t="inlineStr">
        <is>
          <t>Securities and Finance Dealers and Brokers</t>
        </is>
      </c>
      <c r="F380" s="16" t="inlineStr">
        <is>
          <t>경영전략 / 인사 / 사업개발</t>
        </is>
      </c>
      <c r="G380" s="15" t="inlineStr">
        <is>
          <t>vertical_promotion</t>
        </is>
      </c>
      <c r="H380" s="16" t="inlineStr">
        <is>
          <t>obtaining, information, about</t>
        </is>
      </c>
      <c r="I380" s="16" t="inlineStr">
        <is>
          <t>심화 Securities and Finance Dealers and Brokers 실무, 프로젝트 관리 역량</t>
        </is>
      </c>
      <c r="J380" s="16" t="inlineStr">
        <is>
          <t>실무 2년 이상 및 전문 자격</t>
        </is>
      </c>
      <c r="K380" s="15" t="inlineStr">
        <is>
          <t>★★★☆☆</t>
        </is>
      </c>
      <c r="L380" s="20" t="inlineStr">
        <is>
          <t>+25.0%</t>
        </is>
      </c>
    </row>
    <row r="381">
      <c r="A381" s="17" t="inlineStr">
        <is>
          <t>TR-0380</t>
        </is>
      </c>
      <c r="B381" s="17" t="inlineStr">
        <is>
          <t>4312</t>
        </is>
      </c>
      <c r="C381" s="18" t="inlineStr">
        <is>
          <t>Statistical, Finance and Insurance Clerks</t>
        </is>
      </c>
      <c r="D381" s="17" t="inlineStr">
        <is>
          <t>3313</t>
        </is>
      </c>
      <c r="E381" s="18" t="inlineStr">
        <is>
          <t>Accounting Associate Professionals</t>
        </is>
      </c>
      <c r="F381" s="18" t="inlineStr">
        <is>
          <t>경영전략 / 인사 / 사업개발</t>
        </is>
      </c>
      <c r="G381" s="17" t="inlineStr">
        <is>
          <t>vertical_promotion</t>
        </is>
      </c>
      <c r="H381" s="18" t="inlineStr">
        <is>
          <t>maintaining, complete, records</t>
        </is>
      </c>
      <c r="I381" s="18" t="inlineStr">
        <is>
          <t>심화 Accounting Associate Professionals 실무, 프로젝트 관리 역량</t>
        </is>
      </c>
      <c r="J381" s="18" t="inlineStr">
        <is>
          <t>실무 2년 이상 및 전문 자격</t>
        </is>
      </c>
      <c r="K381" s="17" t="inlineStr">
        <is>
          <t>★★★☆☆</t>
        </is>
      </c>
      <c r="L381" s="21" t="inlineStr">
        <is>
          <t>+25.0%</t>
        </is>
      </c>
    </row>
    <row r="382">
      <c r="A382" s="15" t="inlineStr">
        <is>
          <t>TR-0381</t>
        </is>
      </c>
      <c r="B382" s="15" t="inlineStr">
        <is>
          <t>4312</t>
        </is>
      </c>
      <c r="C382" s="16" t="inlineStr">
        <is>
          <t>Statistical, Finance and Insurance Clerks</t>
        </is>
      </c>
      <c r="D382" s="15" t="inlineStr">
        <is>
          <t>3314</t>
        </is>
      </c>
      <c r="E382" s="16" t="inlineStr">
        <is>
          <t>Statistical, Mathematical and Related Associate Professionals</t>
        </is>
      </c>
      <c r="F382" s="16" t="inlineStr">
        <is>
          <t>경영전략 / 인사 / 사업개발</t>
        </is>
      </c>
      <c r="G382" s="15" t="inlineStr">
        <is>
          <t>vertical_promotion</t>
        </is>
      </c>
      <c r="H382" s="16" t="inlineStr">
        <is>
          <t>assisting, planning, statistical</t>
        </is>
      </c>
      <c r="I382" s="16" t="inlineStr">
        <is>
          <t>심화 Statistical, Mathematical and Related Associate Professionals 실무, 프로젝트 관리 역량</t>
        </is>
      </c>
      <c r="J382" s="16" t="inlineStr">
        <is>
          <t>실무 2년 이상 및 전문 자격</t>
        </is>
      </c>
      <c r="K382" s="15" t="inlineStr">
        <is>
          <t>★★★☆☆</t>
        </is>
      </c>
      <c r="L382" s="20" t="inlineStr">
        <is>
          <t>+25.0%</t>
        </is>
      </c>
    </row>
    <row r="383">
      <c r="A383" s="17" t="inlineStr">
        <is>
          <t>TR-0382</t>
        </is>
      </c>
      <c r="B383" s="17" t="inlineStr">
        <is>
          <t>4312</t>
        </is>
      </c>
      <c r="C383" s="18" t="inlineStr">
        <is>
          <t>Statistical, Finance and Insurance Clerks</t>
        </is>
      </c>
      <c r="D383" s="17" t="inlineStr">
        <is>
          <t>3324</t>
        </is>
      </c>
      <c r="E383" s="18" t="inlineStr">
        <is>
          <t>Trade Brokers</t>
        </is>
      </c>
      <c r="F383" s="18" t="inlineStr">
        <is>
          <t>경영전략 / 인사 / 사업개발</t>
        </is>
      </c>
      <c r="G383" s="17" t="inlineStr">
        <is>
          <t>vertical_promotion</t>
        </is>
      </c>
      <c r="H383" s="18" t="inlineStr">
        <is>
          <t>establishing, contact, between</t>
        </is>
      </c>
      <c r="I383" s="18" t="inlineStr">
        <is>
          <t>심화 Trade Brokers 실무, 프로젝트 관리 역량</t>
        </is>
      </c>
      <c r="J383" s="18" t="inlineStr">
        <is>
          <t>실무 2년 이상 및 전문 자격</t>
        </is>
      </c>
      <c r="K383" s="17" t="inlineStr">
        <is>
          <t>★★★☆☆</t>
        </is>
      </c>
      <c r="L383" s="21" t="inlineStr">
        <is>
          <t>+25.0%</t>
        </is>
      </c>
    </row>
    <row r="384">
      <c r="A384" s="15" t="inlineStr">
        <is>
          <t>TR-0383</t>
        </is>
      </c>
      <c r="B384" s="15" t="inlineStr">
        <is>
          <t>4312</t>
        </is>
      </c>
      <c r="C384" s="16" t="inlineStr">
        <is>
          <t>Statistical, Finance and Insurance Clerks</t>
        </is>
      </c>
      <c r="D384" s="15" t="inlineStr">
        <is>
          <t>4311</t>
        </is>
      </c>
      <c r="E384" s="16" t="inlineStr">
        <is>
          <t>Accounting and Bookkeeping Clerks</t>
        </is>
      </c>
      <c r="F384" s="16" t="inlineStr">
        <is>
          <t>경영전략 / 인사 / 사업개발</t>
        </is>
      </c>
      <c r="G384" s="15" t="inlineStr">
        <is>
          <t>horizontal_transfer</t>
        </is>
      </c>
      <c r="H384" s="16" t="inlineStr">
        <is>
          <t>checking, figures, postings</t>
        </is>
      </c>
      <c r="I384" s="16" t="inlineStr">
        <is>
          <t>심화 Accounting and Bookkeeping Clerks 실무, 프로젝트 관리 역량</t>
        </is>
      </c>
      <c r="J384" s="16" t="inlineStr">
        <is>
          <t>실무 1년 이상 및 전문 자격</t>
        </is>
      </c>
      <c r="K384" s="15" t="inlineStr">
        <is>
          <t>★★☆☆☆</t>
        </is>
      </c>
      <c r="L384" s="20" t="inlineStr">
        <is>
          <t>+15.0%</t>
        </is>
      </c>
    </row>
    <row r="385">
      <c r="A385" s="17" t="inlineStr">
        <is>
          <t>TR-0384</t>
        </is>
      </c>
      <c r="B385" s="17" t="inlineStr">
        <is>
          <t>4313</t>
        </is>
      </c>
      <c r="C385" s="18" t="inlineStr">
        <is>
          <t>Payroll Clerks</t>
        </is>
      </c>
      <c r="D385" s="17" t="inlineStr">
        <is>
          <t>3313</t>
        </is>
      </c>
      <c r="E385" s="18" t="inlineStr">
        <is>
          <t>Accounting Associate Professionals</t>
        </is>
      </c>
      <c r="F385" s="18" t="inlineStr">
        <is>
          <t>경영전략 / 인사 / 사업개발</t>
        </is>
      </c>
      <c r="G385" s="17" t="inlineStr">
        <is>
          <t>vertical_promotion</t>
        </is>
      </c>
      <c r="H385" s="18" t="inlineStr">
        <is>
          <t>maintaining, complete, records</t>
        </is>
      </c>
      <c r="I385" s="18" t="inlineStr">
        <is>
          <t>심화 Accounting Associate Professionals 실무, 프로젝트 관리 역량</t>
        </is>
      </c>
      <c r="J385" s="18" t="inlineStr">
        <is>
          <t>실무 2년 이상 및 전문 자격</t>
        </is>
      </c>
      <c r="K385" s="17" t="inlineStr">
        <is>
          <t>★★★☆☆</t>
        </is>
      </c>
      <c r="L385" s="21" t="inlineStr">
        <is>
          <t>+25.0%</t>
        </is>
      </c>
    </row>
    <row r="386">
      <c r="A386" s="15" t="inlineStr">
        <is>
          <t>TR-0385</t>
        </is>
      </c>
      <c r="B386" s="15" t="inlineStr">
        <is>
          <t>4313</t>
        </is>
      </c>
      <c r="C386" s="16" t="inlineStr">
        <is>
          <t>Payroll Clerks</t>
        </is>
      </c>
      <c r="D386" s="15" t="inlineStr">
        <is>
          <t>4311</t>
        </is>
      </c>
      <c r="E386" s="16" t="inlineStr">
        <is>
          <t>Accounting and Bookkeeping Clerks</t>
        </is>
      </c>
      <c r="F386" s="16" t="inlineStr">
        <is>
          <t>경영전략 / 인사 / 사업개발</t>
        </is>
      </c>
      <c r="G386" s="15" t="inlineStr">
        <is>
          <t>horizontal_transfer</t>
        </is>
      </c>
      <c r="H386" s="16" t="inlineStr">
        <is>
          <t>checking, figures, postings</t>
        </is>
      </c>
      <c r="I386" s="16" t="inlineStr">
        <is>
          <t>심화 Accounting and Bookkeeping Clerks 실무, 프로젝트 관리 역량</t>
        </is>
      </c>
      <c r="J386" s="16" t="inlineStr">
        <is>
          <t>실무 1년 이상 및 전문 자격</t>
        </is>
      </c>
      <c r="K386" s="15" t="inlineStr">
        <is>
          <t>★★☆☆☆</t>
        </is>
      </c>
      <c r="L386" s="20" t="inlineStr">
        <is>
          <t>+15.0%</t>
        </is>
      </c>
    </row>
    <row r="387">
      <c r="A387" s="17" t="inlineStr">
        <is>
          <t>TR-0386</t>
        </is>
      </c>
      <c r="B387" s="17" t="inlineStr">
        <is>
          <t>5120</t>
        </is>
      </c>
      <c r="C387" s="18" t="inlineStr">
        <is>
          <t>Cooks</t>
        </is>
      </c>
      <c r="D387" s="17" t="inlineStr">
        <is>
          <t>1412</t>
        </is>
      </c>
      <c r="E387" s="18" t="inlineStr">
        <is>
          <t>Restaurant Managers</t>
        </is>
      </c>
      <c r="F387" s="18" t="inlineStr">
        <is>
          <t>B2B영업 / 마케팅 / GTM</t>
        </is>
      </c>
      <c r="G387" s="17" t="inlineStr">
        <is>
          <t>vertical_promotion</t>
        </is>
      </c>
      <c r="H387" s="18" t="inlineStr">
        <is>
          <t>planning, menus, consultation</t>
        </is>
      </c>
      <c r="I387" s="18" t="inlineStr">
        <is>
          <t>심화 Restaurant Managers 실무, 프로젝트 관리 역량</t>
        </is>
      </c>
      <c r="J387" s="18" t="inlineStr">
        <is>
          <t>실무 6년 이상 및 전문 자격</t>
        </is>
      </c>
      <c r="K387" s="17" t="inlineStr">
        <is>
          <t>★★★★★</t>
        </is>
      </c>
      <c r="L387" s="21" t="inlineStr">
        <is>
          <t>+45.0%</t>
        </is>
      </c>
    </row>
    <row r="388">
      <c r="A388" s="15" t="inlineStr">
        <is>
          <t>TR-0387</t>
        </is>
      </c>
      <c r="B388" s="15" t="inlineStr">
        <is>
          <t>5120</t>
        </is>
      </c>
      <c r="C388" s="16" t="inlineStr">
        <is>
          <t>Cooks</t>
        </is>
      </c>
      <c r="D388" s="15" t="inlineStr">
        <is>
          <t>3434</t>
        </is>
      </c>
      <c r="E388" s="16" t="inlineStr">
        <is>
          <t>Chefs</t>
        </is>
      </c>
      <c r="F388" s="16" t="inlineStr">
        <is>
          <t>B2B영업 / 마케팅 / GTM</t>
        </is>
      </c>
      <c r="G388" s="15" t="inlineStr">
        <is>
          <t>vertical_promotion</t>
        </is>
      </c>
      <c r="H388" s="16" t="inlineStr">
        <is>
          <t>planning, developing, recipes</t>
        </is>
      </c>
      <c r="I388" s="16" t="inlineStr">
        <is>
          <t>심화 Chefs 실무, 프로젝트 관리 역량</t>
        </is>
      </c>
      <c r="J388" s="16" t="inlineStr">
        <is>
          <t>실무 2년 이상 및 전문 자격</t>
        </is>
      </c>
      <c r="K388" s="15" t="inlineStr">
        <is>
          <t>★★★☆☆</t>
        </is>
      </c>
      <c r="L388" s="20" t="inlineStr">
        <is>
          <t>+25.0%</t>
        </is>
      </c>
    </row>
    <row r="389">
      <c r="A389" s="17" t="inlineStr">
        <is>
          <t>TR-0388</t>
        </is>
      </c>
      <c r="B389" s="17" t="inlineStr">
        <is>
          <t>5120</t>
        </is>
      </c>
      <c r="C389" s="18" t="inlineStr">
        <is>
          <t>Cooks</t>
        </is>
      </c>
      <c r="D389" s="17" t="inlineStr">
        <is>
          <t>9411</t>
        </is>
      </c>
      <c r="E389" s="18" t="inlineStr">
        <is>
          <t>Fast Food Preparers</t>
        </is>
      </c>
      <c r="F389" s="18" t="inlineStr">
        <is>
          <t>B2B영업 / 마케팅 / GTM</t>
        </is>
      </c>
      <c r="G389" s="17" t="inlineStr">
        <is>
          <t>horizontal_transfer</t>
        </is>
      </c>
      <c r="H389" s="18" t="inlineStr">
        <is>
          <t>preparing, simple, prepared</t>
        </is>
      </c>
      <c r="I389" s="18" t="inlineStr">
        <is>
          <t>심화 Fast Food Preparers 실무, 프로젝트 관리 역량</t>
        </is>
      </c>
      <c r="J389" s="18" t="inlineStr">
        <is>
          <t>실무 1년 이상 및 전문 자격</t>
        </is>
      </c>
      <c r="K389" s="17" t="inlineStr">
        <is>
          <t>★★☆☆☆</t>
        </is>
      </c>
      <c r="L389" s="21" t="inlineStr">
        <is>
          <t>+15.0%</t>
        </is>
      </c>
    </row>
    <row r="390">
      <c r="A390" s="15" t="inlineStr">
        <is>
          <t>TR-0389</t>
        </is>
      </c>
      <c r="B390" s="15" t="inlineStr">
        <is>
          <t>5131</t>
        </is>
      </c>
      <c r="C390" s="16" t="inlineStr">
        <is>
          <t>Waiters</t>
        </is>
      </c>
      <c r="D390" s="15" t="inlineStr">
        <is>
          <t>1412</t>
        </is>
      </c>
      <c r="E390" s="16" t="inlineStr">
        <is>
          <t>Restaurant Managers</t>
        </is>
      </c>
      <c r="F390" s="16" t="inlineStr">
        <is>
          <t>B2B영업 / 마케팅 / GTM</t>
        </is>
      </c>
      <c r="G390" s="15" t="inlineStr">
        <is>
          <t>vertical_promotion</t>
        </is>
      </c>
      <c r="H390" s="16" t="inlineStr">
        <is>
          <t>planning, menus, consultation</t>
        </is>
      </c>
      <c r="I390" s="16" t="inlineStr">
        <is>
          <t>심화 Restaurant Managers 실무, 프로젝트 관리 역량</t>
        </is>
      </c>
      <c r="J390" s="16" t="inlineStr">
        <is>
          <t>실무 6년 이상 및 전문 자격</t>
        </is>
      </c>
      <c r="K390" s="15" t="inlineStr">
        <is>
          <t>★★★★★</t>
        </is>
      </c>
      <c r="L390" s="20" t="inlineStr">
        <is>
          <t>+45.0%</t>
        </is>
      </c>
    </row>
    <row r="391">
      <c r="A391" s="17" t="inlineStr">
        <is>
          <t>TR-0390</t>
        </is>
      </c>
      <c r="B391" s="17" t="inlineStr">
        <is>
          <t>5131</t>
        </is>
      </c>
      <c r="C391" s="18" t="inlineStr">
        <is>
          <t>Waiters</t>
        </is>
      </c>
      <c r="D391" s="17" t="inlineStr">
        <is>
          <t>5132</t>
        </is>
      </c>
      <c r="E391" s="18" t="inlineStr">
        <is>
          <t>Bartenders</t>
        </is>
      </c>
      <c r="F391" s="18" t="inlineStr">
        <is>
          <t>B2B영업 / 마케팅 / GTM</t>
        </is>
      </c>
      <c r="G391" s="17" t="inlineStr">
        <is>
          <t>horizontal_transfer</t>
        </is>
      </c>
      <c r="H391" s="18" t="inlineStr">
        <is>
          <t>taking, beverage, orders</t>
        </is>
      </c>
      <c r="I391" s="18" t="inlineStr">
        <is>
          <t>심화 Bartenders 실무, 프로젝트 관리 역량</t>
        </is>
      </c>
      <c r="J391" s="18" t="inlineStr">
        <is>
          <t>실무 1년 이상 및 전문 자격</t>
        </is>
      </c>
      <c r="K391" s="17" t="inlineStr">
        <is>
          <t>★★☆☆☆</t>
        </is>
      </c>
      <c r="L391" s="21" t="inlineStr">
        <is>
          <t>+15.0%</t>
        </is>
      </c>
    </row>
    <row r="392">
      <c r="A392" s="15" t="inlineStr">
        <is>
          <t>TR-0391</t>
        </is>
      </c>
      <c r="B392" s="15" t="inlineStr">
        <is>
          <t>5132</t>
        </is>
      </c>
      <c r="C392" s="16" t="inlineStr">
        <is>
          <t>Bartenders</t>
        </is>
      </c>
      <c r="D392" s="15" t="inlineStr">
        <is>
          <t>1412</t>
        </is>
      </c>
      <c r="E392" s="16" t="inlineStr">
        <is>
          <t>Restaurant Managers</t>
        </is>
      </c>
      <c r="F392" s="16" t="inlineStr">
        <is>
          <t>B2B영업 / 마케팅 / GTM</t>
        </is>
      </c>
      <c r="G392" s="15" t="inlineStr">
        <is>
          <t>vertical_promotion</t>
        </is>
      </c>
      <c r="H392" s="16" t="inlineStr">
        <is>
          <t>planning, menus, consultation</t>
        </is>
      </c>
      <c r="I392" s="16" t="inlineStr">
        <is>
          <t>심화 Restaurant Managers 실무, 프로젝트 관리 역량</t>
        </is>
      </c>
      <c r="J392" s="16" t="inlineStr">
        <is>
          <t>실무 6년 이상 및 전문 자격</t>
        </is>
      </c>
      <c r="K392" s="15" t="inlineStr">
        <is>
          <t>★★★★★</t>
        </is>
      </c>
      <c r="L392" s="20" t="inlineStr">
        <is>
          <t>+45.0%</t>
        </is>
      </c>
    </row>
    <row r="393">
      <c r="A393" s="17" t="inlineStr">
        <is>
          <t>TR-0392</t>
        </is>
      </c>
      <c r="B393" s="17" t="inlineStr">
        <is>
          <t>5132</t>
        </is>
      </c>
      <c r="C393" s="18" t="inlineStr">
        <is>
          <t>Bartenders</t>
        </is>
      </c>
      <c r="D393" s="17" t="inlineStr">
        <is>
          <t>5131</t>
        </is>
      </c>
      <c r="E393" s="18" t="inlineStr">
        <is>
          <t>Waiters</t>
        </is>
      </c>
      <c r="F393" s="18" t="inlineStr">
        <is>
          <t>B2B영업 / 마케팅 / GTM</t>
        </is>
      </c>
      <c r="G393" s="17" t="inlineStr">
        <is>
          <t>horizontal_transfer</t>
        </is>
      </c>
      <c r="H393" s="18" t="inlineStr">
        <is>
          <t>setting, tables, with</t>
        </is>
      </c>
      <c r="I393" s="18" t="inlineStr">
        <is>
          <t>심화 Waiters 실무, 프로젝트 관리 역량</t>
        </is>
      </c>
      <c r="J393" s="18" t="inlineStr">
        <is>
          <t>실무 1년 이상 및 전문 자격</t>
        </is>
      </c>
      <c r="K393" s="17" t="inlineStr">
        <is>
          <t>★★☆☆☆</t>
        </is>
      </c>
      <c r="L393" s="21" t="inlineStr">
        <is>
          <t>+15.0%</t>
        </is>
      </c>
    </row>
    <row r="394">
      <c r="A394" s="15" t="inlineStr">
        <is>
          <t>TR-0393</t>
        </is>
      </c>
      <c r="B394" s="15" t="inlineStr">
        <is>
          <t>5151</t>
        </is>
      </c>
      <c r="C394" s="16" t="inlineStr">
        <is>
          <t>Cleaning and Housekeeping Supervisors in Offices, Hotels and Other Establishments</t>
        </is>
      </c>
      <c r="D394" s="15" t="inlineStr">
        <is>
          <t>1411</t>
        </is>
      </c>
      <c r="E394" s="16" t="inlineStr">
        <is>
          <t>Hotel Managers</t>
        </is>
      </c>
      <c r="F394" s="16" t="inlineStr">
        <is>
          <t>B2B영업 / 마케팅 / GTM</t>
        </is>
      </c>
      <c r="G394" s="15" t="inlineStr">
        <is>
          <t>vertical_promotion</t>
        </is>
      </c>
      <c r="H394" s="16" t="inlineStr">
        <is>
          <t>overseeing, reservation, reception</t>
        </is>
      </c>
      <c r="I394" s="16" t="inlineStr">
        <is>
          <t>심화 Hotel Managers 실무, 프로젝트 관리 역량</t>
        </is>
      </c>
      <c r="J394" s="16" t="inlineStr">
        <is>
          <t>실무 6년 이상 및 전문 자격</t>
        </is>
      </c>
      <c r="K394" s="15" t="inlineStr">
        <is>
          <t>★★★★★</t>
        </is>
      </c>
      <c r="L394" s="20" t="inlineStr">
        <is>
          <t>+45.0%</t>
        </is>
      </c>
    </row>
    <row r="395">
      <c r="A395" s="17" t="inlineStr">
        <is>
          <t>TR-0394</t>
        </is>
      </c>
      <c r="B395" s="17" t="inlineStr">
        <is>
          <t>5151</t>
        </is>
      </c>
      <c r="C395" s="18" t="inlineStr">
        <is>
          <t>Cleaning and Housekeeping Supervisors in Offices, Hotels and Other Establishments</t>
        </is>
      </c>
      <c r="D395" s="17" t="inlineStr">
        <is>
          <t>5152</t>
        </is>
      </c>
      <c r="E395" s="18" t="inlineStr">
        <is>
          <t>Domestic Housekeepers</t>
        </is>
      </c>
      <c r="F395" s="18" t="inlineStr">
        <is>
          <t>B2B영업 / 마케팅 / GTM</t>
        </is>
      </c>
      <c r="G395" s="17" t="inlineStr">
        <is>
          <t>horizontal_transfer</t>
        </is>
      </c>
      <c r="H395" s="18" t="inlineStr">
        <is>
          <t>supervising, employed, households</t>
        </is>
      </c>
      <c r="I395" s="18" t="inlineStr">
        <is>
          <t>심화 Domestic Housekeepers 실무, 프로젝트 관리 역량</t>
        </is>
      </c>
      <c r="J395" s="18" t="inlineStr">
        <is>
          <t>실무 1년 이상 및 전문 자격</t>
        </is>
      </c>
      <c r="K395" s="17" t="inlineStr">
        <is>
          <t>★★☆☆☆</t>
        </is>
      </c>
      <c r="L395" s="21" t="inlineStr">
        <is>
          <t>+15.0%</t>
        </is>
      </c>
    </row>
    <row r="396">
      <c r="A396" s="15" t="inlineStr">
        <is>
          <t>TR-0395</t>
        </is>
      </c>
      <c r="B396" s="15" t="inlineStr">
        <is>
          <t>5151</t>
        </is>
      </c>
      <c r="C396" s="16" t="inlineStr">
        <is>
          <t>Cleaning and Housekeeping Supervisors in Offices, Hotels and Other Establishments</t>
        </is>
      </c>
      <c r="D396" s="15" t="inlineStr">
        <is>
          <t>5153</t>
        </is>
      </c>
      <c r="E396" s="16" t="inlineStr">
        <is>
          <t>Building Caretakers</t>
        </is>
      </c>
      <c r="F396" s="16" t="inlineStr">
        <is>
          <t>B2B영업 / 마케팅 / GTM</t>
        </is>
      </c>
      <c r="G396" s="15" t="inlineStr">
        <is>
          <t>horizontal_transfer</t>
        </is>
      </c>
      <c r="H396" s="16" t="inlineStr">
        <is>
          <t>supervising, work, cleaning</t>
        </is>
      </c>
      <c r="I396" s="16" t="inlineStr">
        <is>
          <t>심화 Building Caretakers 실무, 프로젝트 관리 역량</t>
        </is>
      </c>
      <c r="J396" s="16" t="inlineStr">
        <is>
          <t>실무 1년 이상 및 전문 자격</t>
        </is>
      </c>
      <c r="K396" s="15" t="inlineStr">
        <is>
          <t>★★☆☆☆</t>
        </is>
      </c>
      <c r="L396" s="20" t="inlineStr">
        <is>
          <t>+15.0%</t>
        </is>
      </c>
    </row>
    <row r="397">
      <c r="A397" s="17" t="inlineStr">
        <is>
          <t>TR-0396</t>
        </is>
      </c>
      <c r="B397" s="17" t="inlineStr">
        <is>
          <t>5151</t>
        </is>
      </c>
      <c r="C397" s="18" t="inlineStr">
        <is>
          <t>Cleaning and Housekeeping Supervisors in Offices, Hotels and Other Establishments</t>
        </is>
      </c>
      <c r="D397" s="17" t="inlineStr">
        <is>
          <t>9111</t>
        </is>
      </c>
      <c r="E397" s="18" t="inlineStr">
        <is>
          <t>Domestic Cleaners and Helpers</t>
        </is>
      </c>
      <c r="F397" s="18" t="inlineStr">
        <is>
          <t>B2B영업 / 마케팅 / GTM</t>
        </is>
      </c>
      <c r="G397" s="17" t="inlineStr">
        <is>
          <t>horizontal_transfer</t>
        </is>
      </c>
      <c r="H397" s="18" t="inlineStr">
        <is>
          <t>sweeping, vacuum, cleaning</t>
        </is>
      </c>
      <c r="I397" s="18" t="inlineStr">
        <is>
          <t>심화 Domestic Cleaners and Helpers 실무, 프로젝트 관리 역량</t>
        </is>
      </c>
      <c r="J397" s="18" t="inlineStr">
        <is>
          <t>실무 1년 이상 및 전문 자격</t>
        </is>
      </c>
      <c r="K397" s="17" t="inlineStr">
        <is>
          <t>★★☆☆☆</t>
        </is>
      </c>
      <c r="L397" s="21" t="inlineStr">
        <is>
          <t>+15.0%</t>
        </is>
      </c>
    </row>
    <row r="398">
      <c r="A398" s="15" t="inlineStr">
        <is>
          <t>TR-0397</t>
        </is>
      </c>
      <c r="B398" s="15" t="inlineStr">
        <is>
          <t>5152</t>
        </is>
      </c>
      <c r="C398" s="16" t="inlineStr">
        <is>
          <t>Domestic Housekeepers</t>
        </is>
      </c>
      <c r="D398" s="15" t="inlineStr">
        <is>
          <t>1411</t>
        </is>
      </c>
      <c r="E398" s="16" t="inlineStr">
        <is>
          <t>Hotel Managers</t>
        </is>
      </c>
      <c r="F398" s="16" t="inlineStr">
        <is>
          <t>B2B영업 / 마케팅 / GTM</t>
        </is>
      </c>
      <c r="G398" s="15" t="inlineStr">
        <is>
          <t>vertical_promotion</t>
        </is>
      </c>
      <c r="H398" s="16" t="inlineStr">
        <is>
          <t>overseeing, reservation, reception</t>
        </is>
      </c>
      <c r="I398" s="16" t="inlineStr">
        <is>
          <t>심화 Hotel Managers 실무, 프로젝트 관리 역량</t>
        </is>
      </c>
      <c r="J398" s="16" t="inlineStr">
        <is>
          <t>실무 6년 이상 및 전문 자격</t>
        </is>
      </c>
      <c r="K398" s="15" t="inlineStr">
        <is>
          <t>★★★★★</t>
        </is>
      </c>
      <c r="L398" s="20" t="inlineStr">
        <is>
          <t>+45.0%</t>
        </is>
      </c>
    </row>
    <row r="399">
      <c r="A399" s="17" t="inlineStr">
        <is>
          <t>TR-0398</t>
        </is>
      </c>
      <c r="B399" s="17" t="inlineStr">
        <is>
          <t>5152</t>
        </is>
      </c>
      <c r="C399" s="18" t="inlineStr">
        <is>
          <t>Domestic Housekeepers</t>
        </is>
      </c>
      <c r="D399" s="17" t="inlineStr">
        <is>
          <t>9111</t>
        </is>
      </c>
      <c r="E399" s="18" t="inlineStr">
        <is>
          <t>Domestic Cleaners and Helpers</t>
        </is>
      </c>
      <c r="F399" s="18" t="inlineStr">
        <is>
          <t>B2B영업 / 마케팅 / GTM</t>
        </is>
      </c>
      <c r="G399" s="17" t="inlineStr">
        <is>
          <t>horizontal_transfer</t>
        </is>
      </c>
      <c r="H399" s="18" t="inlineStr">
        <is>
          <t>sweeping, vacuum, cleaning</t>
        </is>
      </c>
      <c r="I399" s="18" t="inlineStr">
        <is>
          <t>심화 Domestic Cleaners and Helpers 실무, 프로젝트 관리 역량</t>
        </is>
      </c>
      <c r="J399" s="18" t="inlineStr">
        <is>
          <t>실무 1년 이상 및 전문 자격</t>
        </is>
      </c>
      <c r="K399" s="17" t="inlineStr">
        <is>
          <t>★★☆☆☆</t>
        </is>
      </c>
      <c r="L399" s="21" t="inlineStr">
        <is>
          <t>+15.0%</t>
        </is>
      </c>
    </row>
    <row r="400">
      <c r="A400" s="15" t="inlineStr">
        <is>
          <t>TR-0399</t>
        </is>
      </c>
      <c r="B400" s="15" t="inlineStr">
        <is>
          <t>5161</t>
        </is>
      </c>
      <c r="C400" s="16" t="inlineStr">
        <is>
          <t>Astrologers, Fortune-tellers and Related Workers</t>
        </is>
      </c>
      <c r="D400" s="15" t="inlineStr">
        <is>
          <t>3230</t>
        </is>
      </c>
      <c r="E400" s="16" t="inlineStr">
        <is>
          <t>Traditional and Complementary Medicine Associate Professionals</t>
        </is>
      </c>
      <c r="F400" s="16" t="inlineStr">
        <is>
          <t>B2B영업 / 마케팅 / GTM</t>
        </is>
      </c>
      <c r="G400" s="15" t="inlineStr">
        <is>
          <t>vertical_promotion</t>
        </is>
      </c>
      <c r="H400" s="16" t="inlineStr">
        <is>
          <t>examining, patients, interviewing</t>
        </is>
      </c>
      <c r="I400" s="16" t="inlineStr">
        <is>
          <t>심화 Traditional and Complementary Medicine Associate Professionals 실무, 프로젝트 관리 역량</t>
        </is>
      </c>
      <c r="J400" s="16" t="inlineStr">
        <is>
          <t>실무 2년 이상 및 전문 자격</t>
        </is>
      </c>
      <c r="K400" s="15" t="inlineStr">
        <is>
          <t>★★★☆☆</t>
        </is>
      </c>
      <c r="L400" s="20" t="inlineStr">
        <is>
          <t>+25.0%</t>
        </is>
      </c>
    </row>
    <row r="401">
      <c r="A401" s="17" t="inlineStr">
        <is>
          <t>TR-0400</t>
        </is>
      </c>
      <c r="B401" s="17" t="inlineStr">
        <is>
          <t>5161</t>
        </is>
      </c>
      <c r="C401" s="18" t="inlineStr">
        <is>
          <t>Astrologers, Fortune-tellers and Related Workers</t>
        </is>
      </c>
      <c r="D401" s="17" t="inlineStr">
        <is>
          <t>3413</t>
        </is>
      </c>
      <c r="E401" s="18" t="inlineStr">
        <is>
          <t>Religious Associate Professionals</t>
        </is>
      </c>
      <c r="F401" s="18" t="inlineStr">
        <is>
          <t>B2B영업 / 마케팅 / GTM</t>
        </is>
      </c>
      <c r="G401" s="17" t="inlineStr">
        <is>
          <t>vertical_promotion</t>
        </is>
      </c>
      <c r="H401" s="18" t="inlineStr">
        <is>
          <t>undertaking, religious, works</t>
        </is>
      </c>
      <c r="I401" s="18" t="inlineStr">
        <is>
          <t>심화 Religious Associate Professionals 실무, 프로젝트 관리 역량</t>
        </is>
      </c>
      <c r="J401" s="18" t="inlineStr">
        <is>
          <t>실무 2년 이상 및 전문 자격</t>
        </is>
      </c>
      <c r="K401" s="17" t="inlineStr">
        <is>
          <t>★★★☆☆</t>
        </is>
      </c>
      <c r="L401" s="21" t="inlineStr">
        <is>
          <t>+25.0%</t>
        </is>
      </c>
    </row>
    <row r="402">
      <c r="A402" s="15" t="inlineStr">
        <is>
          <t>TR-0401</t>
        </is>
      </c>
      <c r="B402" s="15" t="inlineStr">
        <is>
          <t>5162</t>
        </is>
      </c>
      <c r="C402" s="16" t="inlineStr">
        <is>
          <t>Companions and Valets</t>
        </is>
      </c>
      <c r="D402" s="15" t="inlineStr">
        <is>
          <t>5152</t>
        </is>
      </c>
      <c r="E402" s="16" t="inlineStr">
        <is>
          <t>Domestic Housekeepers</t>
        </is>
      </c>
      <c r="F402" s="16" t="inlineStr">
        <is>
          <t>B2B영업 / 마케팅 / GTM</t>
        </is>
      </c>
      <c r="G402" s="15" t="inlineStr">
        <is>
          <t>horizontal_transfer</t>
        </is>
      </c>
      <c r="H402" s="16" t="inlineStr">
        <is>
          <t>supervising, employed, households</t>
        </is>
      </c>
      <c r="I402" s="16" t="inlineStr">
        <is>
          <t>심화 Domestic Housekeepers 실무, 프로젝트 관리 역량</t>
        </is>
      </c>
      <c r="J402" s="16" t="inlineStr">
        <is>
          <t>실무 1년 이상 및 전문 자격</t>
        </is>
      </c>
      <c r="K402" s="15" t="inlineStr">
        <is>
          <t>★★☆☆☆</t>
        </is>
      </c>
      <c r="L402" s="20" t="inlineStr">
        <is>
          <t>+15.0%</t>
        </is>
      </c>
    </row>
    <row r="403">
      <c r="A403" s="17" t="inlineStr">
        <is>
          <t>TR-0402</t>
        </is>
      </c>
      <c r="B403" s="17" t="inlineStr">
        <is>
          <t>5162</t>
        </is>
      </c>
      <c r="C403" s="18" t="inlineStr">
        <is>
          <t>Companions and Valets</t>
        </is>
      </c>
      <c r="D403" s="17" t="inlineStr">
        <is>
          <t>5169</t>
        </is>
      </c>
      <c r="E403" s="18" t="inlineStr">
        <is>
          <t>Personal Services Workers Not Elsewhere Classified</t>
        </is>
      </c>
      <c r="F403" s="18" t="inlineStr">
        <is>
          <t>B2B영업 / 마케팅 / GTM</t>
        </is>
      </c>
      <c r="G403" s="17" t="inlineStr">
        <is>
          <t>horizontal_transfer</t>
        </is>
      </c>
      <c r="H403" s="18" t="inlineStr">
        <is>
          <t>such, cases, would</t>
        </is>
      </c>
      <c r="I403" s="18" t="inlineStr">
        <is>
          <t>심화 Personal Services Workers Not Elsewhere Classified 실무, 프로젝트 관리 역량</t>
        </is>
      </c>
      <c r="J403" s="18" t="inlineStr">
        <is>
          <t>실무 1년 이상 및 전문 자격</t>
        </is>
      </c>
      <c r="K403" s="17" t="inlineStr">
        <is>
          <t>★★☆☆☆</t>
        </is>
      </c>
      <c r="L403" s="21" t="inlineStr">
        <is>
          <t>+15.0%</t>
        </is>
      </c>
    </row>
    <row r="404">
      <c r="A404" s="15" t="inlineStr">
        <is>
          <t>TR-0403</t>
        </is>
      </c>
      <c r="B404" s="15" t="inlineStr">
        <is>
          <t>5165</t>
        </is>
      </c>
      <c r="C404" s="16" t="inlineStr">
        <is>
          <t>Driving Instructors</t>
        </is>
      </c>
      <c r="D404" s="15" t="inlineStr">
        <is>
          <t>3153</t>
        </is>
      </c>
      <c r="E404" s="16" t="inlineStr">
        <is>
          <t>Aircraft Pilots and Related Associate Professionals</t>
        </is>
      </c>
      <c r="F404" s="16" t="inlineStr">
        <is>
          <t>B2B영업 / 마케팅 / GTM</t>
        </is>
      </c>
      <c r="G404" s="15" t="inlineStr">
        <is>
          <t>vertical_promotion</t>
        </is>
      </c>
      <c r="H404" s="16" t="inlineStr">
        <is>
          <t>flying, navigating, aircraft</t>
        </is>
      </c>
      <c r="I404" s="16" t="inlineStr">
        <is>
          <t>심화 Aircraft Pilots and Related Associate Professionals 실무, 프로젝트 관리 역량</t>
        </is>
      </c>
      <c r="J404" s="16" t="inlineStr">
        <is>
          <t>실무 2년 이상 및 전문 자격</t>
        </is>
      </c>
      <c r="K404" s="15" t="inlineStr">
        <is>
          <t>★★★☆☆</t>
        </is>
      </c>
      <c r="L404" s="20" t="inlineStr">
        <is>
          <t>+25.0%</t>
        </is>
      </c>
    </row>
    <row r="405">
      <c r="A405" s="17" t="inlineStr">
        <is>
          <t>TR-0404</t>
        </is>
      </c>
      <c r="B405" s="17" t="inlineStr">
        <is>
          <t>5169</t>
        </is>
      </c>
      <c r="C405" s="18" t="inlineStr">
        <is>
          <t>Personal Services Workers Not Elsewhere Classified</t>
        </is>
      </c>
      <c r="D405" s="17" t="inlineStr">
        <is>
          <t>5162</t>
        </is>
      </c>
      <c r="E405" s="18" t="inlineStr">
        <is>
          <t>Companions and Valets</t>
        </is>
      </c>
      <c r="F405" s="18" t="inlineStr">
        <is>
          <t>B2B영업 / 마케팅 / GTM</t>
        </is>
      </c>
      <c r="G405" s="17" t="inlineStr">
        <is>
          <t>horizontal_transfer</t>
        </is>
      </c>
      <c r="H405" s="18" t="inlineStr">
        <is>
          <t>companionship, employer, accompanying</t>
        </is>
      </c>
      <c r="I405" s="18" t="inlineStr">
        <is>
          <t>심화 Companions and Valets 실무, 프로젝트 관리 역량</t>
        </is>
      </c>
      <c r="J405" s="18" t="inlineStr">
        <is>
          <t>실무 1년 이상 및 전문 자격</t>
        </is>
      </c>
      <c r="K405" s="17" t="inlineStr">
        <is>
          <t>★★☆☆☆</t>
        </is>
      </c>
      <c r="L405" s="21" t="inlineStr">
        <is>
          <t>+15.0%</t>
        </is>
      </c>
    </row>
    <row r="406">
      <c r="A406" s="15" t="inlineStr">
        <is>
          <t>TR-0405</t>
        </is>
      </c>
      <c r="B406" s="15" t="inlineStr">
        <is>
          <t>5211</t>
        </is>
      </c>
      <c r="C406" s="16" t="inlineStr">
        <is>
          <t>Stall and Market Salespersons</t>
        </is>
      </c>
      <c r="D406" s="15" t="inlineStr">
        <is>
          <t>5212</t>
        </is>
      </c>
      <c r="E406" s="16" t="inlineStr">
        <is>
          <t>Street Food Salespersons</t>
        </is>
      </c>
      <c r="F406" s="16" t="inlineStr">
        <is>
          <t>B2B영업 / 마케팅 / GTM</t>
        </is>
      </c>
      <c r="G406" s="15" t="inlineStr">
        <is>
          <t>horizontal_transfer</t>
        </is>
      </c>
      <c r="H406" s="16" t="inlineStr">
        <is>
          <t>obtaining, permission, licence</t>
        </is>
      </c>
      <c r="I406" s="16" t="inlineStr">
        <is>
          <t>심화 Street Food Salespersons 실무, 프로젝트 관리 역량</t>
        </is>
      </c>
      <c r="J406" s="16" t="inlineStr">
        <is>
          <t>실무 1년 이상 및 전문 자격</t>
        </is>
      </c>
      <c r="K406" s="15" t="inlineStr">
        <is>
          <t>★★☆☆☆</t>
        </is>
      </c>
      <c r="L406" s="20" t="inlineStr">
        <is>
          <t>+15.0%</t>
        </is>
      </c>
    </row>
    <row r="407">
      <c r="A407" s="17" t="inlineStr">
        <is>
          <t>TR-0406</t>
        </is>
      </c>
      <c r="B407" s="17" t="inlineStr">
        <is>
          <t>5211</t>
        </is>
      </c>
      <c r="C407" s="18" t="inlineStr">
        <is>
          <t>Stall and Market Salespersons</t>
        </is>
      </c>
      <c r="D407" s="17" t="inlineStr">
        <is>
          <t>5221</t>
        </is>
      </c>
      <c r="E407" s="18" t="inlineStr">
        <is>
          <t>Shopkeepers</t>
        </is>
      </c>
      <c r="F407" s="18" t="inlineStr">
        <is>
          <t>B2B영업 / 마케팅 / GTM</t>
        </is>
      </c>
      <c r="G407" s="17" t="inlineStr">
        <is>
          <t>horizontal_transfer</t>
        </is>
      </c>
      <c r="H407" s="18" t="inlineStr">
        <is>
          <t>determining, product, stock</t>
        </is>
      </c>
      <c r="I407" s="18" t="inlineStr">
        <is>
          <t>심화 Shopkeepers 실무, 프로젝트 관리 역량</t>
        </is>
      </c>
      <c r="J407" s="18" t="inlineStr">
        <is>
          <t>실무 1년 이상 및 전문 자격</t>
        </is>
      </c>
      <c r="K407" s="17" t="inlineStr">
        <is>
          <t>★★☆☆☆</t>
        </is>
      </c>
      <c r="L407" s="21" t="inlineStr">
        <is>
          <t>+15.0%</t>
        </is>
      </c>
    </row>
    <row r="408">
      <c r="A408" s="15" t="inlineStr">
        <is>
          <t>TR-0407</t>
        </is>
      </c>
      <c r="B408" s="15" t="inlineStr">
        <is>
          <t>5211</t>
        </is>
      </c>
      <c r="C408" s="16" t="inlineStr">
        <is>
          <t>Stall and Market Salespersons</t>
        </is>
      </c>
      <c r="D408" s="15" t="inlineStr">
        <is>
          <t>5223</t>
        </is>
      </c>
      <c r="E408" s="16" t="inlineStr">
        <is>
          <t>Shop Sales Assistants</t>
        </is>
      </c>
      <c r="F408" s="16" t="inlineStr">
        <is>
          <t>B2B영업 / 마케팅 / GTM</t>
        </is>
      </c>
      <c r="G408" s="15" t="inlineStr">
        <is>
          <t>horizontal_transfer</t>
        </is>
      </c>
      <c r="H408" s="16" t="inlineStr">
        <is>
          <t>determining, customer, requirements</t>
        </is>
      </c>
      <c r="I408" s="16" t="inlineStr">
        <is>
          <t>심화 Shop Sales Assistants 실무, 프로젝트 관리 역량</t>
        </is>
      </c>
      <c r="J408" s="16" t="inlineStr">
        <is>
          <t>실무 1년 이상 및 전문 자격</t>
        </is>
      </c>
      <c r="K408" s="15" t="inlineStr">
        <is>
          <t>★★☆☆☆</t>
        </is>
      </c>
      <c r="L408" s="20" t="inlineStr">
        <is>
          <t>+15.0%</t>
        </is>
      </c>
    </row>
    <row r="409">
      <c r="A409" s="17" t="inlineStr">
        <is>
          <t>TR-0408</t>
        </is>
      </c>
      <c r="B409" s="17" t="inlineStr">
        <is>
          <t>5211</t>
        </is>
      </c>
      <c r="C409" s="18" t="inlineStr">
        <is>
          <t>Stall and Market Salespersons</t>
        </is>
      </c>
      <c r="D409" s="17" t="inlineStr">
        <is>
          <t>5246</t>
        </is>
      </c>
      <c r="E409" s="18" t="inlineStr">
        <is>
          <t>Food Service Counter Attendants</t>
        </is>
      </c>
      <c r="F409" s="18" t="inlineStr">
        <is>
          <t>B2B영업 / 마케팅 / GTM</t>
        </is>
      </c>
      <c r="G409" s="17" t="inlineStr">
        <is>
          <t>horizontal_transfer</t>
        </is>
      </c>
      <c r="H409" s="18" t="inlineStr">
        <is>
          <t>serving, food, customers</t>
        </is>
      </c>
      <c r="I409" s="18" t="inlineStr">
        <is>
          <t>심화 Food Service Counter Attendants 실무, 프로젝트 관리 역량</t>
        </is>
      </c>
      <c r="J409" s="18" t="inlineStr">
        <is>
          <t>실무 1년 이상 및 전문 자격</t>
        </is>
      </c>
      <c r="K409" s="17" t="inlineStr">
        <is>
          <t>★★☆☆☆</t>
        </is>
      </c>
      <c r="L409" s="21" t="inlineStr">
        <is>
          <t>+15.0%</t>
        </is>
      </c>
    </row>
    <row r="410">
      <c r="A410" s="15" t="inlineStr">
        <is>
          <t>TR-0409</t>
        </is>
      </c>
      <c r="B410" s="15" t="inlineStr">
        <is>
          <t>5211</t>
        </is>
      </c>
      <c r="C410" s="16" t="inlineStr">
        <is>
          <t>Stall and Market Salespersons</t>
        </is>
      </c>
      <c r="D410" s="15" t="inlineStr">
        <is>
          <t>9520</t>
        </is>
      </c>
      <c r="E410" s="16" t="inlineStr">
        <is>
          <t>Street Vendors (excluding Food)</t>
        </is>
      </c>
      <c r="F410" s="16" t="inlineStr">
        <is>
          <t>B2B영업 / 마케팅 / GTM</t>
        </is>
      </c>
      <c r="G410" s="15" t="inlineStr">
        <is>
          <t>horizontal_transfer</t>
        </is>
      </c>
      <c r="H410" s="16" t="inlineStr">
        <is>
          <t>buying, receiving, items</t>
        </is>
      </c>
      <c r="I410" s="16" t="inlineStr">
        <is>
          <t>심화 Street Vendors (excluding Food) 실무, 프로젝트 관리 역량</t>
        </is>
      </c>
      <c r="J410" s="16" t="inlineStr">
        <is>
          <t>실무 1년 이상 및 전문 자격</t>
        </is>
      </c>
      <c r="K410" s="15" t="inlineStr">
        <is>
          <t>★★☆☆☆</t>
        </is>
      </c>
      <c r="L410" s="20" t="inlineStr">
        <is>
          <t>+15.0%</t>
        </is>
      </c>
    </row>
    <row r="411">
      <c r="A411" s="17" t="inlineStr">
        <is>
          <t>TR-0410</t>
        </is>
      </c>
      <c r="B411" s="17" t="inlineStr">
        <is>
          <t>5212</t>
        </is>
      </c>
      <c r="C411" s="18" t="inlineStr">
        <is>
          <t>Street Food Salespersons</t>
        </is>
      </c>
      <c r="D411" s="17" t="inlineStr">
        <is>
          <t>5120</t>
        </is>
      </c>
      <c r="E411" s="18" t="inlineStr">
        <is>
          <t>Cooks</t>
        </is>
      </c>
      <c r="F411" s="18" t="inlineStr">
        <is>
          <t>B2B영업 / 마케팅 / GTM</t>
        </is>
      </c>
      <c r="G411" s="17" t="inlineStr">
        <is>
          <t>horizontal_transfer</t>
        </is>
      </c>
      <c r="H411" s="18" t="inlineStr">
        <is>
          <t>planning, meals, preparing</t>
        </is>
      </c>
      <c r="I411" s="18" t="inlineStr">
        <is>
          <t>심화 Cooks 실무, 프로젝트 관리 역량</t>
        </is>
      </c>
      <c r="J411" s="18" t="inlineStr">
        <is>
          <t>실무 1년 이상 및 전문 자격</t>
        </is>
      </c>
      <c r="K411" s="17" t="inlineStr">
        <is>
          <t>★★☆☆☆</t>
        </is>
      </c>
      <c r="L411" s="21" t="inlineStr">
        <is>
          <t>+15.0%</t>
        </is>
      </c>
    </row>
    <row r="412">
      <c r="A412" s="15" t="inlineStr">
        <is>
          <t>TR-0411</t>
        </is>
      </c>
      <c r="B412" s="15" t="inlineStr">
        <is>
          <t>5212</t>
        </is>
      </c>
      <c r="C412" s="16" t="inlineStr">
        <is>
          <t>Street Food Salespersons</t>
        </is>
      </c>
      <c r="D412" s="15" t="inlineStr">
        <is>
          <t>5246</t>
        </is>
      </c>
      <c r="E412" s="16" t="inlineStr">
        <is>
          <t>Food Service Counter Attendants</t>
        </is>
      </c>
      <c r="F412" s="16" t="inlineStr">
        <is>
          <t>B2B영업 / 마케팅 / GTM</t>
        </is>
      </c>
      <c r="G412" s="15" t="inlineStr">
        <is>
          <t>horizontal_transfer</t>
        </is>
      </c>
      <c r="H412" s="16" t="inlineStr">
        <is>
          <t>serving, food, customers</t>
        </is>
      </c>
      <c r="I412" s="16" t="inlineStr">
        <is>
          <t>심화 Food Service Counter Attendants 실무, 프로젝트 관리 역량</t>
        </is>
      </c>
      <c r="J412" s="16" t="inlineStr">
        <is>
          <t>실무 1년 이상 및 전문 자격</t>
        </is>
      </c>
      <c r="K412" s="15" t="inlineStr">
        <is>
          <t>★★☆☆☆</t>
        </is>
      </c>
      <c r="L412" s="20" t="inlineStr">
        <is>
          <t>+15.0%</t>
        </is>
      </c>
    </row>
    <row r="413">
      <c r="A413" s="17" t="inlineStr">
        <is>
          <t>TR-0412</t>
        </is>
      </c>
      <c r="B413" s="17" t="inlineStr">
        <is>
          <t>5212</t>
        </is>
      </c>
      <c r="C413" s="18" t="inlineStr">
        <is>
          <t>Street Food Salespersons</t>
        </is>
      </c>
      <c r="D413" s="17" t="inlineStr">
        <is>
          <t>9411</t>
        </is>
      </c>
      <c r="E413" s="18" t="inlineStr">
        <is>
          <t>Fast Food Preparers</t>
        </is>
      </c>
      <c r="F413" s="18" t="inlineStr">
        <is>
          <t>B2B영업 / 마케팅 / GTM</t>
        </is>
      </c>
      <c r="G413" s="17" t="inlineStr">
        <is>
          <t>horizontal_transfer</t>
        </is>
      </c>
      <c r="H413" s="18" t="inlineStr">
        <is>
          <t>preparing, simple, prepared</t>
        </is>
      </c>
      <c r="I413" s="18" t="inlineStr">
        <is>
          <t>심화 Fast Food Preparers 실무, 프로젝트 관리 역량</t>
        </is>
      </c>
      <c r="J413" s="18" t="inlineStr">
        <is>
          <t>실무 1년 이상 및 전문 자격</t>
        </is>
      </c>
      <c r="K413" s="17" t="inlineStr">
        <is>
          <t>★★☆☆☆</t>
        </is>
      </c>
      <c r="L413" s="21" t="inlineStr">
        <is>
          <t>+15.0%</t>
        </is>
      </c>
    </row>
    <row r="414">
      <c r="A414" s="15" t="inlineStr">
        <is>
          <t>TR-0413</t>
        </is>
      </c>
      <c r="B414" s="15" t="inlineStr">
        <is>
          <t>5212</t>
        </is>
      </c>
      <c r="C414" s="16" t="inlineStr">
        <is>
          <t>Street Food Salespersons</t>
        </is>
      </c>
      <c r="D414" s="15" t="inlineStr">
        <is>
          <t>9520</t>
        </is>
      </c>
      <c r="E414" s="16" t="inlineStr">
        <is>
          <t>Street Vendors (excluding Food)</t>
        </is>
      </c>
      <c r="F414" s="16" t="inlineStr">
        <is>
          <t>B2B영업 / 마케팅 / GTM</t>
        </is>
      </c>
      <c r="G414" s="15" t="inlineStr">
        <is>
          <t>horizontal_transfer</t>
        </is>
      </c>
      <c r="H414" s="16" t="inlineStr">
        <is>
          <t>buying, receiving, items</t>
        </is>
      </c>
      <c r="I414" s="16" t="inlineStr">
        <is>
          <t>심화 Street Vendors (excluding Food) 실무, 프로젝트 관리 역량</t>
        </is>
      </c>
      <c r="J414" s="16" t="inlineStr">
        <is>
          <t>실무 1년 이상 및 전문 자격</t>
        </is>
      </c>
      <c r="K414" s="15" t="inlineStr">
        <is>
          <t>★★☆☆☆</t>
        </is>
      </c>
      <c r="L414" s="20" t="inlineStr">
        <is>
          <t>+15.0%</t>
        </is>
      </c>
    </row>
    <row r="415">
      <c r="A415" s="17" t="inlineStr">
        <is>
          <t>TR-0414</t>
        </is>
      </c>
      <c r="B415" s="17" t="inlineStr">
        <is>
          <t>5221</t>
        </is>
      </c>
      <c r="C415" s="18" t="inlineStr">
        <is>
          <t>Shopkeepers</t>
        </is>
      </c>
      <c r="D415" s="17" t="inlineStr">
        <is>
          <t>1420</t>
        </is>
      </c>
      <c r="E415" s="18" t="inlineStr">
        <is>
          <t>Retail and Wholesale Trade Managers</t>
        </is>
      </c>
      <c r="F415" s="18" t="inlineStr">
        <is>
          <t>B2B영업 / 마케팅 / GTM</t>
        </is>
      </c>
      <c r="G415" s="17" t="inlineStr">
        <is>
          <t>vertical_promotion</t>
        </is>
      </c>
      <c r="H415" s="18" t="inlineStr">
        <is>
          <t>determining, product, stock</t>
        </is>
      </c>
      <c r="I415" s="18" t="inlineStr">
        <is>
          <t>심화 Retail and Wholesale Trade Managers 실무, 프로젝트 관리 역량</t>
        </is>
      </c>
      <c r="J415" s="18" t="inlineStr">
        <is>
          <t>실무 6년 이상 및 전문 자격</t>
        </is>
      </c>
      <c r="K415" s="17" t="inlineStr">
        <is>
          <t>★★★★★</t>
        </is>
      </c>
      <c r="L415" s="21" t="inlineStr">
        <is>
          <t>+45.0%</t>
        </is>
      </c>
    </row>
    <row r="416">
      <c r="A416" s="15" t="inlineStr">
        <is>
          <t>TR-0415</t>
        </is>
      </c>
      <c r="B416" s="15" t="inlineStr">
        <is>
          <t>5221</t>
        </is>
      </c>
      <c r="C416" s="16" t="inlineStr">
        <is>
          <t>Shopkeepers</t>
        </is>
      </c>
      <c r="D416" s="15" t="inlineStr">
        <is>
          <t>5211</t>
        </is>
      </c>
      <c r="E416" s="16" t="inlineStr">
        <is>
          <t>Stall and Market Salespersons</t>
        </is>
      </c>
      <c r="F416" s="16" t="inlineStr">
        <is>
          <t>B2B영업 / 마케팅 / GTM</t>
        </is>
      </c>
      <c r="G416" s="15" t="inlineStr">
        <is>
          <t>horizontal_transfer</t>
        </is>
      </c>
      <c r="H416" s="16" t="inlineStr">
        <is>
          <t>obtaining, permission, stand</t>
        </is>
      </c>
      <c r="I416" s="16" t="inlineStr">
        <is>
          <t>심화 Stall and Market Salespersons 실무, 프로젝트 관리 역량</t>
        </is>
      </c>
      <c r="J416" s="16" t="inlineStr">
        <is>
          <t>실무 1년 이상 및 전문 자격</t>
        </is>
      </c>
      <c r="K416" s="15" t="inlineStr">
        <is>
          <t>★★☆☆☆</t>
        </is>
      </c>
      <c r="L416" s="20" t="inlineStr">
        <is>
          <t>+15.0%</t>
        </is>
      </c>
    </row>
    <row r="417">
      <c r="A417" s="17" t="inlineStr">
        <is>
          <t>TR-0416</t>
        </is>
      </c>
      <c r="B417" s="17" t="inlineStr">
        <is>
          <t>5222</t>
        </is>
      </c>
      <c r="C417" s="18" t="inlineStr">
        <is>
          <t>Shop Supervisors</t>
        </is>
      </c>
      <c r="D417" s="17" t="inlineStr">
        <is>
          <t>1420</t>
        </is>
      </c>
      <c r="E417" s="18" t="inlineStr">
        <is>
          <t>Retail and Wholesale Trade Managers</t>
        </is>
      </c>
      <c r="F417" s="18" t="inlineStr">
        <is>
          <t>B2B영업 / 마케팅 / GTM</t>
        </is>
      </c>
      <c r="G417" s="17" t="inlineStr">
        <is>
          <t>vertical_promotion</t>
        </is>
      </c>
      <c r="H417" s="18" t="inlineStr">
        <is>
          <t>determining, product, stock</t>
        </is>
      </c>
      <c r="I417" s="18" t="inlineStr">
        <is>
          <t>심화 Retail and Wholesale Trade Managers 실무, 프로젝트 관리 역량</t>
        </is>
      </c>
      <c r="J417" s="18" t="inlineStr">
        <is>
          <t>실무 6년 이상 및 전문 자격</t>
        </is>
      </c>
      <c r="K417" s="17" t="inlineStr">
        <is>
          <t>★★★★★</t>
        </is>
      </c>
      <c r="L417" s="21" t="inlineStr">
        <is>
          <t>+45.0%</t>
        </is>
      </c>
    </row>
    <row r="418">
      <c r="A418" s="15" t="inlineStr">
        <is>
          <t>TR-0417</t>
        </is>
      </c>
      <c r="B418" s="15" t="inlineStr">
        <is>
          <t>5222</t>
        </is>
      </c>
      <c r="C418" s="16" t="inlineStr">
        <is>
          <t>Shop Supervisors</t>
        </is>
      </c>
      <c r="D418" s="15" t="inlineStr">
        <is>
          <t>5211</t>
        </is>
      </c>
      <c r="E418" s="16" t="inlineStr">
        <is>
          <t>Stall and Market Salespersons</t>
        </is>
      </c>
      <c r="F418" s="16" t="inlineStr">
        <is>
          <t>B2B영업 / 마케팅 / GTM</t>
        </is>
      </c>
      <c r="G418" s="15" t="inlineStr">
        <is>
          <t>horizontal_transfer</t>
        </is>
      </c>
      <c r="H418" s="16" t="inlineStr">
        <is>
          <t>obtaining, permission, stand</t>
        </is>
      </c>
      <c r="I418" s="16" t="inlineStr">
        <is>
          <t>심화 Stall and Market Salespersons 실무, 프로젝트 관리 역량</t>
        </is>
      </c>
      <c r="J418" s="16" t="inlineStr">
        <is>
          <t>실무 1년 이상 및 전문 자격</t>
        </is>
      </c>
      <c r="K418" s="15" t="inlineStr">
        <is>
          <t>★★☆☆☆</t>
        </is>
      </c>
      <c r="L418" s="20" t="inlineStr">
        <is>
          <t>+15.0%</t>
        </is>
      </c>
    </row>
    <row r="419">
      <c r="A419" s="17" t="inlineStr">
        <is>
          <t>TR-0418</t>
        </is>
      </c>
      <c r="B419" s="17" t="inlineStr">
        <is>
          <t>5222</t>
        </is>
      </c>
      <c r="C419" s="18" t="inlineStr">
        <is>
          <t>Shop Supervisors</t>
        </is>
      </c>
      <c r="D419" s="17" t="inlineStr">
        <is>
          <t>5221</t>
        </is>
      </c>
      <c r="E419" s="18" t="inlineStr">
        <is>
          <t>Shopkeepers</t>
        </is>
      </c>
      <c r="F419" s="18" t="inlineStr">
        <is>
          <t>B2B영업 / 마케팅 / GTM</t>
        </is>
      </c>
      <c r="G419" s="17" t="inlineStr">
        <is>
          <t>horizontal_transfer</t>
        </is>
      </c>
      <c r="H419" s="18" t="inlineStr">
        <is>
          <t>determining, product, stock</t>
        </is>
      </c>
      <c r="I419" s="18" t="inlineStr">
        <is>
          <t>심화 Shopkeepers 실무, 프로젝트 관리 역량</t>
        </is>
      </c>
      <c r="J419" s="18" t="inlineStr">
        <is>
          <t>실무 1년 이상 및 전문 자격</t>
        </is>
      </c>
      <c r="K419" s="17" t="inlineStr">
        <is>
          <t>★★☆☆☆</t>
        </is>
      </c>
      <c r="L419" s="21" t="inlineStr">
        <is>
          <t>+15.0%</t>
        </is>
      </c>
    </row>
    <row r="420">
      <c r="A420" s="15" t="inlineStr">
        <is>
          <t>TR-0419</t>
        </is>
      </c>
      <c r="B420" s="15" t="inlineStr">
        <is>
          <t>5223</t>
        </is>
      </c>
      <c r="C420" s="16" t="inlineStr">
        <is>
          <t>Shop Sales Assistants</t>
        </is>
      </c>
      <c r="D420" s="15" t="inlineStr">
        <is>
          <t>1420</t>
        </is>
      </c>
      <c r="E420" s="16" t="inlineStr">
        <is>
          <t>Retail and Wholesale Trade Managers</t>
        </is>
      </c>
      <c r="F420" s="16" t="inlineStr">
        <is>
          <t>B2B영업 / 마케팅 / GTM</t>
        </is>
      </c>
      <c r="G420" s="15" t="inlineStr">
        <is>
          <t>vertical_promotion</t>
        </is>
      </c>
      <c r="H420" s="16" t="inlineStr">
        <is>
          <t>determining, product, stock</t>
        </is>
      </c>
      <c r="I420" s="16" t="inlineStr">
        <is>
          <t>심화 Retail and Wholesale Trade Managers 실무, 프로젝트 관리 역량</t>
        </is>
      </c>
      <c r="J420" s="16" t="inlineStr">
        <is>
          <t>실무 6년 이상 및 전문 자격</t>
        </is>
      </c>
      <c r="K420" s="15" t="inlineStr">
        <is>
          <t>★★★★★</t>
        </is>
      </c>
      <c r="L420" s="20" t="inlineStr">
        <is>
          <t>+45.0%</t>
        </is>
      </c>
    </row>
    <row r="421">
      <c r="A421" s="17" t="inlineStr">
        <is>
          <t>TR-0420</t>
        </is>
      </c>
      <c r="B421" s="17" t="inlineStr">
        <is>
          <t>5223</t>
        </is>
      </c>
      <c r="C421" s="18" t="inlineStr">
        <is>
          <t>Shop Sales Assistants</t>
        </is>
      </c>
      <c r="D421" s="17" t="inlineStr">
        <is>
          <t>5211</t>
        </is>
      </c>
      <c r="E421" s="18" t="inlineStr">
        <is>
          <t>Stall and Market Salespersons</t>
        </is>
      </c>
      <c r="F421" s="18" t="inlineStr">
        <is>
          <t>B2B영업 / 마케팅 / GTM</t>
        </is>
      </c>
      <c r="G421" s="17" t="inlineStr">
        <is>
          <t>horizontal_transfer</t>
        </is>
      </c>
      <c r="H421" s="18" t="inlineStr">
        <is>
          <t>obtaining, permission, stand</t>
        </is>
      </c>
      <c r="I421" s="18" t="inlineStr">
        <is>
          <t>심화 Stall and Market Salespersons 실무, 프로젝트 관리 역량</t>
        </is>
      </c>
      <c r="J421" s="18" t="inlineStr">
        <is>
          <t>실무 1년 이상 및 전문 자격</t>
        </is>
      </c>
      <c r="K421" s="17" t="inlineStr">
        <is>
          <t>★★☆☆☆</t>
        </is>
      </c>
      <c r="L421" s="21" t="inlineStr">
        <is>
          <t>+15.0%</t>
        </is>
      </c>
    </row>
    <row r="422">
      <c r="A422" s="15" t="inlineStr">
        <is>
          <t>TR-0421</t>
        </is>
      </c>
      <c r="B422" s="15" t="inlineStr">
        <is>
          <t>5223</t>
        </is>
      </c>
      <c r="C422" s="16" t="inlineStr">
        <is>
          <t>Shop Sales Assistants</t>
        </is>
      </c>
      <c r="D422" s="15" t="inlineStr">
        <is>
          <t>5212</t>
        </is>
      </c>
      <c r="E422" s="16" t="inlineStr">
        <is>
          <t>Street Food Salespersons</t>
        </is>
      </c>
      <c r="F422" s="16" t="inlineStr">
        <is>
          <t>B2B영업 / 마케팅 / GTM</t>
        </is>
      </c>
      <c r="G422" s="15" t="inlineStr">
        <is>
          <t>horizontal_transfer</t>
        </is>
      </c>
      <c r="H422" s="16" t="inlineStr">
        <is>
          <t>obtaining, permission, licence</t>
        </is>
      </c>
      <c r="I422" s="16" t="inlineStr">
        <is>
          <t>심화 Street Food Salespersons 실무, 프로젝트 관리 역량</t>
        </is>
      </c>
      <c r="J422" s="16" t="inlineStr">
        <is>
          <t>실무 1년 이상 및 전문 자격</t>
        </is>
      </c>
      <c r="K422" s="15" t="inlineStr">
        <is>
          <t>★★☆☆☆</t>
        </is>
      </c>
      <c r="L422" s="20" t="inlineStr">
        <is>
          <t>+15.0%</t>
        </is>
      </c>
    </row>
    <row r="423">
      <c r="A423" s="17" t="inlineStr">
        <is>
          <t>TR-0422</t>
        </is>
      </c>
      <c r="B423" s="17" t="inlineStr">
        <is>
          <t>5223</t>
        </is>
      </c>
      <c r="C423" s="18" t="inlineStr">
        <is>
          <t>Shop Sales Assistants</t>
        </is>
      </c>
      <c r="D423" s="17" t="inlineStr">
        <is>
          <t>5221</t>
        </is>
      </c>
      <c r="E423" s="18" t="inlineStr">
        <is>
          <t>Shopkeepers</t>
        </is>
      </c>
      <c r="F423" s="18" t="inlineStr">
        <is>
          <t>B2B영업 / 마케팅 / GTM</t>
        </is>
      </c>
      <c r="G423" s="17" t="inlineStr">
        <is>
          <t>horizontal_transfer</t>
        </is>
      </c>
      <c r="H423" s="18" t="inlineStr">
        <is>
          <t>determining, product, stock</t>
        </is>
      </c>
      <c r="I423" s="18" t="inlineStr">
        <is>
          <t>심화 Shopkeepers 실무, 프로젝트 관리 역량</t>
        </is>
      </c>
      <c r="J423" s="18" t="inlineStr">
        <is>
          <t>실무 1년 이상 및 전문 자격</t>
        </is>
      </c>
      <c r="K423" s="17" t="inlineStr">
        <is>
          <t>★★☆☆☆</t>
        </is>
      </c>
      <c r="L423" s="21" t="inlineStr">
        <is>
          <t>+15.0%</t>
        </is>
      </c>
    </row>
    <row r="424">
      <c r="A424" s="15" t="inlineStr">
        <is>
          <t>TR-0423</t>
        </is>
      </c>
      <c r="B424" s="15" t="inlineStr">
        <is>
          <t>5223</t>
        </is>
      </c>
      <c r="C424" s="16" t="inlineStr">
        <is>
          <t>Shop Sales Assistants</t>
        </is>
      </c>
      <c r="D424" s="15" t="inlineStr">
        <is>
          <t>5230</t>
        </is>
      </c>
      <c r="E424" s="16" t="inlineStr">
        <is>
          <t>Cashiers and Ticket Clerks</t>
        </is>
      </c>
      <c r="F424" s="16" t="inlineStr">
        <is>
          <t>B2B영업 / 마케팅 / GTM</t>
        </is>
      </c>
      <c r="G424" s="15" t="inlineStr">
        <is>
          <t>horizontal_transfer</t>
        </is>
      </c>
      <c r="H424" s="16" t="inlineStr">
        <is>
          <t>receiving, verifying, payment</t>
        </is>
      </c>
      <c r="I424" s="16" t="inlineStr">
        <is>
          <t>심화 Cashiers and Ticket Clerks 실무, 프로젝트 관리 역량</t>
        </is>
      </c>
      <c r="J424" s="16" t="inlineStr">
        <is>
          <t>실무 1년 이상 및 전문 자격</t>
        </is>
      </c>
      <c r="K424" s="15" t="inlineStr">
        <is>
          <t>★★☆☆☆</t>
        </is>
      </c>
      <c r="L424" s="20" t="inlineStr">
        <is>
          <t>+15.0%</t>
        </is>
      </c>
    </row>
    <row r="425">
      <c r="A425" s="17" t="inlineStr">
        <is>
          <t>TR-0424</t>
        </is>
      </c>
      <c r="B425" s="17" t="inlineStr">
        <is>
          <t>5223</t>
        </is>
      </c>
      <c r="C425" s="18" t="inlineStr">
        <is>
          <t>Shop Sales Assistants</t>
        </is>
      </c>
      <c r="D425" s="17" t="inlineStr">
        <is>
          <t>5246</t>
        </is>
      </c>
      <c r="E425" s="18" t="inlineStr">
        <is>
          <t>Food Service Counter Attendants</t>
        </is>
      </c>
      <c r="F425" s="18" t="inlineStr">
        <is>
          <t>B2B영업 / 마케팅 / GTM</t>
        </is>
      </c>
      <c r="G425" s="17" t="inlineStr">
        <is>
          <t>horizontal_transfer</t>
        </is>
      </c>
      <c r="H425" s="18" t="inlineStr">
        <is>
          <t>serving, food, customers</t>
        </is>
      </c>
      <c r="I425" s="18" t="inlineStr">
        <is>
          <t>심화 Food Service Counter Attendants 실무, 프로젝트 관리 역량</t>
        </is>
      </c>
      <c r="J425" s="18" t="inlineStr">
        <is>
          <t>실무 1년 이상 및 전문 자격</t>
        </is>
      </c>
      <c r="K425" s="17" t="inlineStr">
        <is>
          <t>★★☆☆☆</t>
        </is>
      </c>
      <c r="L425" s="21" t="inlineStr">
        <is>
          <t>+15.0%</t>
        </is>
      </c>
    </row>
    <row r="426">
      <c r="A426" s="15" t="inlineStr">
        <is>
          <t>TR-0425</t>
        </is>
      </c>
      <c r="B426" s="15" t="inlineStr">
        <is>
          <t>5230</t>
        </is>
      </c>
      <c r="C426" s="16" t="inlineStr">
        <is>
          <t>Cashiers and Ticket Clerks</t>
        </is>
      </c>
      <c r="D426" s="15" t="inlineStr">
        <is>
          <t>4221</t>
        </is>
      </c>
      <c r="E426" s="16" t="inlineStr">
        <is>
          <t>Travel Consultants and Clerks</t>
        </is>
      </c>
      <c r="F426" s="16" t="inlineStr">
        <is>
          <t>B2B영업 / 마케팅 / GTM</t>
        </is>
      </c>
      <c r="G426" s="15" t="inlineStr">
        <is>
          <t>horizontal_transfer</t>
        </is>
      </c>
      <c r="H426" s="16" t="inlineStr">
        <is>
          <t>obtaining, information, about</t>
        </is>
      </c>
      <c r="I426" s="16" t="inlineStr">
        <is>
          <t>심화 Travel Consultants and Clerks 실무, 프로젝트 관리 역량</t>
        </is>
      </c>
      <c r="J426" s="16" t="inlineStr">
        <is>
          <t>실무 1년 이상 및 전문 자격</t>
        </is>
      </c>
      <c r="K426" s="15" t="inlineStr">
        <is>
          <t>★★☆☆☆</t>
        </is>
      </c>
      <c r="L426" s="20" t="inlineStr">
        <is>
          <t>+15.0%</t>
        </is>
      </c>
    </row>
    <row r="427">
      <c r="A427" s="17" t="inlineStr">
        <is>
          <t>TR-0426</t>
        </is>
      </c>
      <c r="B427" s="17" t="inlineStr">
        <is>
          <t>5230</t>
        </is>
      </c>
      <c r="C427" s="18" t="inlineStr">
        <is>
          <t>Cashiers and Ticket Clerks</t>
        </is>
      </c>
      <c r="D427" s="17" t="inlineStr">
        <is>
          <t>5223</t>
        </is>
      </c>
      <c r="E427" s="18" t="inlineStr">
        <is>
          <t>Shop Sales Assistants</t>
        </is>
      </c>
      <c r="F427" s="18" t="inlineStr">
        <is>
          <t>B2B영업 / 마케팅 / GTM</t>
        </is>
      </c>
      <c r="G427" s="17" t="inlineStr">
        <is>
          <t>horizontal_transfer</t>
        </is>
      </c>
      <c r="H427" s="18" t="inlineStr">
        <is>
          <t>determining, customer, requirements</t>
        </is>
      </c>
      <c r="I427" s="18" t="inlineStr">
        <is>
          <t>심화 Shop Sales Assistants 실무, 프로젝트 관리 역량</t>
        </is>
      </c>
      <c r="J427" s="18" t="inlineStr">
        <is>
          <t>실무 1년 이상 및 전문 자격</t>
        </is>
      </c>
      <c r="K427" s="17" t="inlineStr">
        <is>
          <t>★★☆☆☆</t>
        </is>
      </c>
      <c r="L427" s="21" t="inlineStr">
        <is>
          <t>+15.0%</t>
        </is>
      </c>
    </row>
    <row r="428">
      <c r="A428" s="15" t="inlineStr">
        <is>
          <t>TR-0427</t>
        </is>
      </c>
      <c r="B428" s="15" t="inlineStr">
        <is>
          <t>5230</t>
        </is>
      </c>
      <c r="C428" s="16" t="inlineStr">
        <is>
          <t>Cashiers and Ticket Clerks</t>
        </is>
      </c>
      <c r="D428" s="15" t="inlineStr">
        <is>
          <t>5245</t>
        </is>
      </c>
      <c r="E428" s="16" t="inlineStr">
        <is>
          <t>Service Station Attendants</t>
        </is>
      </c>
      <c r="F428" s="16" t="inlineStr">
        <is>
          <t>B2B영업 / 마케팅 / GTM</t>
        </is>
      </c>
      <c r="G428" s="15" t="inlineStr">
        <is>
          <t>horizontal_transfer</t>
        </is>
      </c>
      <c r="H428" s="16" t="inlineStr">
        <is>
          <t>filling, fuel, tanks</t>
        </is>
      </c>
      <c r="I428" s="16" t="inlineStr">
        <is>
          <t>심화 Service Station Attendants 실무, 프로젝트 관리 역량</t>
        </is>
      </c>
      <c r="J428" s="16" t="inlineStr">
        <is>
          <t>실무 1년 이상 및 전문 자격</t>
        </is>
      </c>
      <c r="K428" s="15" t="inlineStr">
        <is>
          <t>★★☆☆☆</t>
        </is>
      </c>
      <c r="L428" s="20" t="inlineStr">
        <is>
          <t>+15.0%</t>
        </is>
      </c>
    </row>
    <row r="429">
      <c r="A429" s="17" t="inlineStr">
        <is>
          <t>TR-0428</t>
        </is>
      </c>
      <c r="B429" s="17" t="inlineStr">
        <is>
          <t>5230</t>
        </is>
      </c>
      <c r="C429" s="18" t="inlineStr">
        <is>
          <t>Cashiers and Ticket Clerks</t>
        </is>
      </c>
      <c r="D429" s="17" t="inlineStr">
        <is>
          <t>5222</t>
        </is>
      </c>
      <c r="E429" s="18" t="inlineStr">
        <is>
          <t>Shop Supervisors</t>
        </is>
      </c>
      <c r="F429" s="18" t="inlineStr">
        <is>
          <t>B2B영업 / 마케팅 / GTM</t>
        </is>
      </c>
      <c r="G429" s="17" t="inlineStr">
        <is>
          <t>horizontal_transfer</t>
        </is>
      </c>
      <c r="H429" s="18" t="inlineStr">
        <is>
          <t>planning, preparing, work</t>
        </is>
      </c>
      <c r="I429" s="18" t="inlineStr">
        <is>
          <t>심화 Shop Supervisors 실무, 프로젝트 관리 역량</t>
        </is>
      </c>
      <c r="J429" s="18" t="inlineStr">
        <is>
          <t>실무 1년 이상 및 전문 자격</t>
        </is>
      </c>
      <c r="K429" s="17" t="inlineStr">
        <is>
          <t>★★☆☆☆</t>
        </is>
      </c>
      <c r="L429" s="21" t="inlineStr">
        <is>
          <t>+15.0%</t>
        </is>
      </c>
    </row>
    <row r="430">
      <c r="A430" s="15" t="inlineStr">
        <is>
          <t>TR-0429</t>
        </is>
      </c>
      <c r="B430" s="15" t="inlineStr">
        <is>
          <t>5241</t>
        </is>
      </c>
      <c r="C430" s="16" t="inlineStr">
        <is>
          <t>Fashion and Other Models</t>
        </is>
      </c>
      <c r="D430" s="15" t="inlineStr">
        <is>
          <t>2655</t>
        </is>
      </c>
      <c r="E430" s="16" t="inlineStr">
        <is>
          <t>Actors</t>
        </is>
      </c>
      <c r="F430" s="16" t="inlineStr">
        <is>
          <t>B2B영업 / 마케팅 / GTM</t>
        </is>
      </c>
      <c r="G430" s="15" t="inlineStr">
        <is>
          <t>vertical_promotion</t>
        </is>
      </c>
      <c r="H430" s="16" t="inlineStr">
        <is>
          <t>learning, lines, cues</t>
        </is>
      </c>
      <c r="I430" s="16" t="inlineStr">
        <is>
          <t>심화 Actors 실무, 프로젝트 관리 역량</t>
        </is>
      </c>
      <c r="J430" s="16" t="inlineStr">
        <is>
          <t>실무 4년 이상 및 전문 자격</t>
        </is>
      </c>
      <c r="K430" s="15" t="inlineStr">
        <is>
          <t>★★★★☆</t>
        </is>
      </c>
      <c r="L430" s="20" t="inlineStr">
        <is>
          <t>+35.0%</t>
        </is>
      </c>
    </row>
    <row r="431">
      <c r="A431" s="17" t="inlineStr">
        <is>
          <t>TR-0430</t>
        </is>
      </c>
      <c r="B431" s="17" t="inlineStr">
        <is>
          <t>5242</t>
        </is>
      </c>
      <c r="C431" s="18" t="inlineStr">
        <is>
          <t>Sales Demonstrators</t>
        </is>
      </c>
      <c r="D431" s="17" t="inlineStr">
        <is>
          <t>5211</t>
        </is>
      </c>
      <c r="E431" s="18" t="inlineStr">
        <is>
          <t>Stall and Market Salespersons</t>
        </is>
      </c>
      <c r="F431" s="18" t="inlineStr">
        <is>
          <t>B2B영업 / 마케팅 / GTM</t>
        </is>
      </c>
      <c r="G431" s="17" t="inlineStr">
        <is>
          <t>horizontal_transfer</t>
        </is>
      </c>
      <c r="H431" s="18" t="inlineStr">
        <is>
          <t>obtaining, permission, stand</t>
        </is>
      </c>
      <c r="I431" s="18" t="inlineStr">
        <is>
          <t>심화 Stall and Market Salespersons 실무, 프로젝트 관리 역량</t>
        </is>
      </c>
      <c r="J431" s="18" t="inlineStr">
        <is>
          <t>실무 1년 이상 및 전문 자격</t>
        </is>
      </c>
      <c r="K431" s="17" t="inlineStr">
        <is>
          <t>★★☆☆☆</t>
        </is>
      </c>
      <c r="L431" s="21" t="inlineStr">
        <is>
          <t>+15.0%</t>
        </is>
      </c>
    </row>
    <row r="432">
      <c r="A432" s="15" t="inlineStr">
        <is>
          <t>TR-0431</t>
        </is>
      </c>
      <c r="B432" s="15" t="inlineStr">
        <is>
          <t>5242</t>
        </is>
      </c>
      <c r="C432" s="16" t="inlineStr">
        <is>
          <t>Sales Demonstrators</t>
        </is>
      </c>
      <c r="D432" s="15" t="inlineStr">
        <is>
          <t>5243</t>
        </is>
      </c>
      <c r="E432" s="16" t="inlineStr">
        <is>
          <t>Door-to-door Salespersons</t>
        </is>
      </c>
      <c r="F432" s="16" t="inlineStr">
        <is>
          <t>B2B영업 / 마케팅 / GTM</t>
        </is>
      </c>
      <c r="G432" s="15" t="inlineStr">
        <is>
          <t>horizontal_transfer</t>
        </is>
      </c>
      <c r="H432" s="16" t="inlineStr">
        <is>
          <t>giving, details, various</t>
        </is>
      </c>
      <c r="I432" s="16" t="inlineStr">
        <is>
          <t>심화 Door-to-door Salespersons 실무, 프로젝트 관리 역량</t>
        </is>
      </c>
      <c r="J432" s="16" t="inlineStr">
        <is>
          <t>실무 1년 이상 및 전문 자격</t>
        </is>
      </c>
      <c r="K432" s="15" t="inlineStr">
        <is>
          <t>★★☆☆☆</t>
        </is>
      </c>
      <c r="L432" s="20" t="inlineStr">
        <is>
          <t>+15.0%</t>
        </is>
      </c>
    </row>
    <row r="433">
      <c r="A433" s="17" t="inlineStr">
        <is>
          <t>TR-0432</t>
        </is>
      </c>
      <c r="B433" s="17" t="inlineStr">
        <is>
          <t>5243</t>
        </is>
      </c>
      <c r="C433" s="18" t="inlineStr">
        <is>
          <t>Door-to-door Salespersons</t>
        </is>
      </c>
      <c r="D433" s="17" t="inlineStr">
        <is>
          <t>3322</t>
        </is>
      </c>
      <c r="E433" s="18" t="inlineStr">
        <is>
          <t>Commercial Sales Representatives</t>
        </is>
      </c>
      <c r="F433" s="18" t="inlineStr">
        <is>
          <t>B2B영업 / 마케팅 / GTM</t>
        </is>
      </c>
      <c r="G433" s="17" t="inlineStr">
        <is>
          <t>vertical_promotion</t>
        </is>
      </c>
      <c r="H433" s="18" t="inlineStr">
        <is>
          <t>soliciting, orders, selling</t>
        </is>
      </c>
      <c r="I433" s="18" t="inlineStr">
        <is>
          <t>심화 Commercial Sales Representatives 실무, 프로젝트 관리 역량</t>
        </is>
      </c>
      <c r="J433" s="18" t="inlineStr">
        <is>
          <t>실무 2년 이상 및 전문 자격</t>
        </is>
      </c>
      <c r="K433" s="17" t="inlineStr">
        <is>
          <t>★★★☆☆</t>
        </is>
      </c>
      <c r="L433" s="21" t="inlineStr">
        <is>
          <t>+25.0%</t>
        </is>
      </c>
    </row>
    <row r="434">
      <c r="A434" s="15" t="inlineStr">
        <is>
          <t>TR-0433</t>
        </is>
      </c>
      <c r="B434" s="15" t="inlineStr">
        <is>
          <t>5243</t>
        </is>
      </c>
      <c r="C434" s="16" t="inlineStr">
        <is>
          <t>Door-to-door Salespersons</t>
        </is>
      </c>
      <c r="D434" s="15" t="inlineStr">
        <is>
          <t>9520</t>
        </is>
      </c>
      <c r="E434" s="16" t="inlineStr">
        <is>
          <t>Street Vendors (excluding Food)</t>
        </is>
      </c>
      <c r="F434" s="16" t="inlineStr">
        <is>
          <t>B2B영업 / 마케팅 / GTM</t>
        </is>
      </c>
      <c r="G434" s="15" t="inlineStr">
        <is>
          <t>horizontal_transfer</t>
        </is>
      </c>
      <c r="H434" s="16" t="inlineStr">
        <is>
          <t>buying, receiving, items</t>
        </is>
      </c>
      <c r="I434" s="16" t="inlineStr">
        <is>
          <t>심화 Street Vendors (excluding Food) 실무, 프로젝트 관리 역량</t>
        </is>
      </c>
      <c r="J434" s="16" t="inlineStr">
        <is>
          <t>실무 1년 이상 및 전문 자격</t>
        </is>
      </c>
      <c r="K434" s="15" t="inlineStr">
        <is>
          <t>★★☆☆☆</t>
        </is>
      </c>
      <c r="L434" s="20" t="inlineStr">
        <is>
          <t>+15.0%</t>
        </is>
      </c>
    </row>
    <row r="435">
      <c r="A435" s="17" t="inlineStr">
        <is>
          <t>TR-0434</t>
        </is>
      </c>
      <c r="B435" s="17" t="inlineStr">
        <is>
          <t>5244</t>
        </is>
      </c>
      <c r="C435" s="18" t="inlineStr">
        <is>
          <t>Contact Centre Salespersons</t>
        </is>
      </c>
      <c r="D435" s="17" t="inlineStr">
        <is>
          <t>4222</t>
        </is>
      </c>
      <c r="E435" s="18" t="inlineStr">
        <is>
          <t>Contact Centre Information Clerks</t>
        </is>
      </c>
      <c r="F435" s="18" t="inlineStr">
        <is>
          <t>B2B영업 / 마케팅 / GTM</t>
        </is>
      </c>
      <c r="G435" s="17" t="inlineStr">
        <is>
          <t>horizontal_transfer</t>
        </is>
      </c>
      <c r="H435" s="18" t="inlineStr">
        <is>
          <t>dealing, with, incoming</t>
        </is>
      </c>
      <c r="I435" s="18" t="inlineStr">
        <is>
          <t>심화 Contact Centre Information Clerks 실무, 프로젝트 관리 역량</t>
        </is>
      </c>
      <c r="J435" s="18" t="inlineStr">
        <is>
          <t>실무 1년 이상 및 전문 자격</t>
        </is>
      </c>
      <c r="K435" s="17" t="inlineStr">
        <is>
          <t>★★☆☆☆</t>
        </is>
      </c>
      <c r="L435" s="21" t="inlineStr">
        <is>
          <t>+15.0%</t>
        </is>
      </c>
    </row>
    <row r="436">
      <c r="A436" s="15" t="inlineStr">
        <is>
          <t>TR-0435</t>
        </is>
      </c>
      <c r="B436" s="15" t="inlineStr">
        <is>
          <t>5245</t>
        </is>
      </c>
      <c r="C436" s="16" t="inlineStr">
        <is>
          <t>Service Station Attendants</t>
        </is>
      </c>
      <c r="D436" s="15" t="inlineStr">
        <is>
          <t>5223</t>
        </is>
      </c>
      <c r="E436" s="16" t="inlineStr">
        <is>
          <t>Shop Sales Assistants</t>
        </is>
      </c>
      <c r="F436" s="16" t="inlineStr">
        <is>
          <t>B2B영업 / 마케팅 / GTM</t>
        </is>
      </c>
      <c r="G436" s="15" t="inlineStr">
        <is>
          <t>horizontal_transfer</t>
        </is>
      </c>
      <c r="H436" s="16" t="inlineStr">
        <is>
          <t>determining, customer, requirements</t>
        </is>
      </c>
      <c r="I436" s="16" t="inlineStr">
        <is>
          <t>심화 Shop Sales Assistants 실무, 프로젝트 관리 역량</t>
        </is>
      </c>
      <c r="J436" s="16" t="inlineStr">
        <is>
          <t>실무 1년 이상 및 전문 자격</t>
        </is>
      </c>
      <c r="K436" s="15" t="inlineStr">
        <is>
          <t>★★☆☆☆</t>
        </is>
      </c>
      <c r="L436" s="20" t="inlineStr">
        <is>
          <t>+15.0%</t>
        </is>
      </c>
    </row>
    <row r="437">
      <c r="A437" s="17" t="inlineStr">
        <is>
          <t>TR-0436</t>
        </is>
      </c>
      <c r="B437" s="17" t="inlineStr">
        <is>
          <t>5245</t>
        </is>
      </c>
      <c r="C437" s="18" t="inlineStr">
        <is>
          <t>Service Station Attendants</t>
        </is>
      </c>
      <c r="D437" s="17" t="inlineStr">
        <is>
          <t>5230</t>
        </is>
      </c>
      <c r="E437" s="18" t="inlineStr">
        <is>
          <t>Cashiers and Ticket Clerks</t>
        </is>
      </c>
      <c r="F437" s="18" t="inlineStr">
        <is>
          <t>B2B영업 / 마케팅 / GTM</t>
        </is>
      </c>
      <c r="G437" s="17" t="inlineStr">
        <is>
          <t>horizontal_transfer</t>
        </is>
      </c>
      <c r="H437" s="18" t="inlineStr">
        <is>
          <t>receiving, verifying, payment</t>
        </is>
      </c>
      <c r="I437" s="18" t="inlineStr">
        <is>
          <t>심화 Cashiers and Ticket Clerks 실무, 프로젝트 관리 역량</t>
        </is>
      </c>
      <c r="J437" s="18" t="inlineStr">
        <is>
          <t>실무 1년 이상 및 전문 자격</t>
        </is>
      </c>
      <c r="K437" s="17" t="inlineStr">
        <is>
          <t>★★☆☆☆</t>
        </is>
      </c>
      <c r="L437" s="21" t="inlineStr">
        <is>
          <t>+15.0%</t>
        </is>
      </c>
    </row>
    <row r="438">
      <c r="A438" s="15" t="inlineStr">
        <is>
          <t>TR-0437</t>
        </is>
      </c>
      <c r="B438" s="15" t="inlineStr">
        <is>
          <t>5245</t>
        </is>
      </c>
      <c r="C438" s="16" t="inlineStr">
        <is>
          <t>Service Station Attendants</t>
        </is>
      </c>
      <c r="D438" s="15" t="inlineStr">
        <is>
          <t>5246</t>
        </is>
      </c>
      <c r="E438" s="16" t="inlineStr">
        <is>
          <t>Food Service Counter Attendants</t>
        </is>
      </c>
      <c r="F438" s="16" t="inlineStr">
        <is>
          <t>B2B영업 / 마케팅 / GTM</t>
        </is>
      </c>
      <c r="G438" s="15" t="inlineStr">
        <is>
          <t>horizontal_transfer</t>
        </is>
      </c>
      <c r="H438" s="16" t="inlineStr">
        <is>
          <t>serving, food, customers</t>
        </is>
      </c>
      <c r="I438" s="16" t="inlineStr">
        <is>
          <t>심화 Food Service Counter Attendants 실무, 프로젝트 관리 역량</t>
        </is>
      </c>
      <c r="J438" s="16" t="inlineStr">
        <is>
          <t>실무 1년 이상 및 전문 자격</t>
        </is>
      </c>
      <c r="K438" s="15" t="inlineStr">
        <is>
          <t>★★☆☆☆</t>
        </is>
      </c>
      <c r="L438" s="20" t="inlineStr">
        <is>
          <t>+15.0%</t>
        </is>
      </c>
    </row>
    <row r="439">
      <c r="A439" s="17" t="inlineStr">
        <is>
          <t>TR-0438</t>
        </is>
      </c>
      <c r="B439" s="17" t="inlineStr">
        <is>
          <t>5246</t>
        </is>
      </c>
      <c r="C439" s="18" t="inlineStr">
        <is>
          <t>Food Service Counter Attendants</t>
        </is>
      </c>
      <c r="D439" s="17" t="inlineStr">
        <is>
          <t>5120</t>
        </is>
      </c>
      <c r="E439" s="18" t="inlineStr">
        <is>
          <t>Cooks</t>
        </is>
      </c>
      <c r="F439" s="18" t="inlineStr">
        <is>
          <t>B2B영업 / 마케팅 / GTM</t>
        </is>
      </c>
      <c r="G439" s="17" t="inlineStr">
        <is>
          <t>horizontal_transfer</t>
        </is>
      </c>
      <c r="H439" s="18" t="inlineStr">
        <is>
          <t>planning, meals, preparing</t>
        </is>
      </c>
      <c r="I439" s="18" t="inlineStr">
        <is>
          <t>심화 Cooks 실무, 프로젝트 관리 역량</t>
        </is>
      </c>
      <c r="J439" s="18" t="inlineStr">
        <is>
          <t>실무 1년 이상 및 전문 자격</t>
        </is>
      </c>
      <c r="K439" s="17" t="inlineStr">
        <is>
          <t>★★☆☆☆</t>
        </is>
      </c>
      <c r="L439" s="21" t="inlineStr">
        <is>
          <t>+15.0%</t>
        </is>
      </c>
    </row>
    <row r="440">
      <c r="A440" s="15" t="inlineStr">
        <is>
          <t>TR-0439</t>
        </is>
      </c>
      <c r="B440" s="15" t="inlineStr">
        <is>
          <t>5246</t>
        </is>
      </c>
      <c r="C440" s="16" t="inlineStr">
        <is>
          <t>Food Service Counter Attendants</t>
        </is>
      </c>
      <c r="D440" s="15" t="inlineStr">
        <is>
          <t>5131</t>
        </is>
      </c>
      <c r="E440" s="16" t="inlineStr">
        <is>
          <t>Waiters</t>
        </is>
      </c>
      <c r="F440" s="16" t="inlineStr">
        <is>
          <t>B2B영업 / 마케팅 / GTM</t>
        </is>
      </c>
      <c r="G440" s="15" t="inlineStr">
        <is>
          <t>horizontal_transfer</t>
        </is>
      </c>
      <c r="H440" s="16" t="inlineStr">
        <is>
          <t>setting, tables, with</t>
        </is>
      </c>
      <c r="I440" s="16" t="inlineStr">
        <is>
          <t>심화 Waiters 실무, 프로젝트 관리 역량</t>
        </is>
      </c>
      <c r="J440" s="16" t="inlineStr">
        <is>
          <t>실무 1년 이상 및 전문 자격</t>
        </is>
      </c>
      <c r="K440" s="15" t="inlineStr">
        <is>
          <t>★★☆☆☆</t>
        </is>
      </c>
      <c r="L440" s="20" t="inlineStr">
        <is>
          <t>+15.0%</t>
        </is>
      </c>
    </row>
    <row r="441">
      <c r="A441" s="17" t="inlineStr">
        <is>
          <t>TR-0440</t>
        </is>
      </c>
      <c r="B441" s="17" t="inlineStr">
        <is>
          <t>5246</t>
        </is>
      </c>
      <c r="C441" s="18" t="inlineStr">
        <is>
          <t>Food Service Counter Attendants</t>
        </is>
      </c>
      <c r="D441" s="17" t="inlineStr">
        <is>
          <t>5132</t>
        </is>
      </c>
      <c r="E441" s="18" t="inlineStr">
        <is>
          <t>Bartenders</t>
        </is>
      </c>
      <c r="F441" s="18" t="inlineStr">
        <is>
          <t>B2B영업 / 마케팅 / GTM</t>
        </is>
      </c>
      <c r="G441" s="17" t="inlineStr">
        <is>
          <t>horizontal_transfer</t>
        </is>
      </c>
      <c r="H441" s="18" t="inlineStr">
        <is>
          <t>taking, beverage, orders</t>
        </is>
      </c>
      <c r="I441" s="18" t="inlineStr">
        <is>
          <t>심화 Bartenders 실무, 프로젝트 관리 역량</t>
        </is>
      </c>
      <c r="J441" s="18" t="inlineStr">
        <is>
          <t>실무 1년 이상 및 전문 자격</t>
        </is>
      </c>
      <c r="K441" s="17" t="inlineStr">
        <is>
          <t>★★☆☆☆</t>
        </is>
      </c>
      <c r="L441" s="21" t="inlineStr">
        <is>
          <t>+15.0%</t>
        </is>
      </c>
    </row>
    <row r="442">
      <c r="A442" s="15" t="inlineStr">
        <is>
          <t>TR-0441</t>
        </is>
      </c>
      <c r="B442" s="15" t="inlineStr">
        <is>
          <t>5246</t>
        </is>
      </c>
      <c r="C442" s="16" t="inlineStr">
        <is>
          <t>Food Service Counter Attendants</t>
        </is>
      </c>
      <c r="D442" s="15" t="inlineStr">
        <is>
          <t>5211</t>
        </is>
      </c>
      <c r="E442" s="16" t="inlineStr">
        <is>
          <t>Stall and Market Salespersons</t>
        </is>
      </c>
      <c r="F442" s="16" t="inlineStr">
        <is>
          <t>B2B영업 / 마케팅 / GTM</t>
        </is>
      </c>
      <c r="G442" s="15" t="inlineStr">
        <is>
          <t>horizontal_transfer</t>
        </is>
      </c>
      <c r="H442" s="16" t="inlineStr">
        <is>
          <t>obtaining, permission, stand</t>
        </is>
      </c>
      <c r="I442" s="16" t="inlineStr">
        <is>
          <t>심화 Stall and Market Salespersons 실무, 프로젝트 관리 역량</t>
        </is>
      </c>
      <c r="J442" s="16" t="inlineStr">
        <is>
          <t>실무 1년 이상 및 전문 자격</t>
        </is>
      </c>
      <c r="K442" s="15" t="inlineStr">
        <is>
          <t>★★☆☆☆</t>
        </is>
      </c>
      <c r="L442" s="20" t="inlineStr">
        <is>
          <t>+15.0%</t>
        </is>
      </c>
    </row>
    <row r="443">
      <c r="A443" s="17" t="inlineStr">
        <is>
          <t>TR-0442</t>
        </is>
      </c>
      <c r="B443" s="17" t="inlineStr">
        <is>
          <t>5246</t>
        </is>
      </c>
      <c r="C443" s="18" t="inlineStr">
        <is>
          <t>Food Service Counter Attendants</t>
        </is>
      </c>
      <c r="D443" s="17" t="inlineStr">
        <is>
          <t>9411</t>
        </is>
      </c>
      <c r="E443" s="18" t="inlineStr">
        <is>
          <t>Fast Food Preparers</t>
        </is>
      </c>
      <c r="F443" s="18" t="inlineStr">
        <is>
          <t>B2B영업 / 마케팅 / GTM</t>
        </is>
      </c>
      <c r="G443" s="17" t="inlineStr">
        <is>
          <t>horizontal_transfer</t>
        </is>
      </c>
      <c r="H443" s="18" t="inlineStr">
        <is>
          <t>preparing, simple, prepared</t>
        </is>
      </c>
      <c r="I443" s="18" t="inlineStr">
        <is>
          <t>심화 Fast Food Preparers 실무, 프로젝트 관리 역량</t>
        </is>
      </c>
      <c r="J443" s="18" t="inlineStr">
        <is>
          <t>실무 1년 이상 및 전문 자격</t>
        </is>
      </c>
      <c r="K443" s="17" t="inlineStr">
        <is>
          <t>★★☆☆☆</t>
        </is>
      </c>
      <c r="L443" s="21" t="inlineStr">
        <is>
          <t>+15.0%</t>
        </is>
      </c>
    </row>
    <row r="444">
      <c r="A444" s="15" t="inlineStr">
        <is>
          <t>TR-0443</t>
        </is>
      </c>
      <c r="B444" s="15" t="inlineStr">
        <is>
          <t>5311</t>
        </is>
      </c>
      <c r="C444" s="16" t="inlineStr">
        <is>
          <t>Child Care Workers</t>
        </is>
      </c>
      <c r="D444" s="15" t="inlineStr">
        <is>
          <t>2342</t>
        </is>
      </c>
      <c r="E444" s="16" t="inlineStr">
        <is>
          <t>Early Childhood Educators</t>
        </is>
      </c>
      <c r="F444" s="16" t="inlineStr">
        <is>
          <t>바이오 / 제약 / 임상헬스케어</t>
        </is>
      </c>
      <c r="G444" s="15" t="inlineStr">
        <is>
          <t>vertical_promotion</t>
        </is>
      </c>
      <c r="H444" s="16" t="inlineStr">
        <is>
          <t>planning, organizing, individual</t>
        </is>
      </c>
      <c r="I444" s="16" t="inlineStr">
        <is>
          <t>심화 Early Childhood Educators 실무, 프로젝트 관리 역량</t>
        </is>
      </c>
      <c r="J444" s="16" t="inlineStr">
        <is>
          <t>실무 4년 이상 및 전문 자격</t>
        </is>
      </c>
      <c r="K444" s="15" t="inlineStr">
        <is>
          <t>★★★★☆</t>
        </is>
      </c>
      <c r="L444" s="20" t="inlineStr">
        <is>
          <t>+35.0%</t>
        </is>
      </c>
    </row>
    <row r="445">
      <c r="A445" s="17" t="inlineStr">
        <is>
          <t>TR-0444</t>
        </is>
      </c>
      <c r="B445" s="17" t="inlineStr">
        <is>
          <t>5321</t>
        </is>
      </c>
      <c r="C445" s="18" t="inlineStr">
        <is>
          <t>Health Care Assistants</t>
        </is>
      </c>
      <c r="D445" s="17" t="inlineStr">
        <is>
          <t>2221</t>
        </is>
      </c>
      <c r="E445" s="18" t="inlineStr">
        <is>
          <t>Nursing Professionals</t>
        </is>
      </c>
      <c r="F445" s="18" t="inlineStr">
        <is>
          <t>바이오 / 제약 / 임상헬스케어</t>
        </is>
      </c>
      <c r="G445" s="17" t="inlineStr">
        <is>
          <t>vertical_promotion</t>
        </is>
      </c>
      <c r="H445" s="18" t="inlineStr">
        <is>
          <t>planning, evaluating, nursing</t>
        </is>
      </c>
      <c r="I445" s="18" t="inlineStr">
        <is>
          <t>심화 Nursing Professionals 실무, 프로젝트 관리 역량</t>
        </is>
      </c>
      <c r="J445" s="18" t="inlineStr">
        <is>
          <t>실무 4년 이상 및 전문 자격</t>
        </is>
      </c>
      <c r="K445" s="17" t="inlineStr">
        <is>
          <t>★★★★☆</t>
        </is>
      </c>
      <c r="L445" s="21" t="inlineStr">
        <is>
          <t>+35.0%</t>
        </is>
      </c>
    </row>
    <row r="446">
      <c r="A446" s="15" t="inlineStr">
        <is>
          <t>TR-0445</t>
        </is>
      </c>
      <c r="B446" s="15" t="inlineStr">
        <is>
          <t>5321</t>
        </is>
      </c>
      <c r="C446" s="16" t="inlineStr">
        <is>
          <t>Health Care Assistants</t>
        </is>
      </c>
      <c r="D446" s="15" t="inlineStr">
        <is>
          <t>3221</t>
        </is>
      </c>
      <c r="E446" s="16" t="inlineStr">
        <is>
          <t>Nursing Associate Professionals</t>
        </is>
      </c>
      <c r="F446" s="16" t="inlineStr">
        <is>
          <t>바이오 / 제약 / 임상헬스케어</t>
        </is>
      </c>
      <c r="G446" s="15" t="inlineStr">
        <is>
          <t>vertical_promotion</t>
        </is>
      </c>
      <c r="H446" s="16" t="inlineStr">
        <is>
          <t>nursing, personal, care</t>
        </is>
      </c>
      <c r="I446" s="16" t="inlineStr">
        <is>
          <t>심화 Nursing Associate Professionals 실무, 프로젝트 관리 역량</t>
        </is>
      </c>
      <c r="J446" s="16" t="inlineStr">
        <is>
          <t>실무 2년 이상 및 전문 자격</t>
        </is>
      </c>
      <c r="K446" s="15" t="inlineStr">
        <is>
          <t>★★★☆☆</t>
        </is>
      </c>
      <c r="L446" s="20" t="inlineStr">
        <is>
          <t>+25.0%</t>
        </is>
      </c>
    </row>
    <row r="447">
      <c r="A447" s="17" t="inlineStr">
        <is>
          <t>TR-0446</t>
        </is>
      </c>
      <c r="B447" s="17" t="inlineStr">
        <is>
          <t>5321</t>
        </is>
      </c>
      <c r="C447" s="18" t="inlineStr">
        <is>
          <t>Health Care Assistants</t>
        </is>
      </c>
      <c r="D447" s="17" t="inlineStr">
        <is>
          <t>3258</t>
        </is>
      </c>
      <c r="E447" s="18" t="inlineStr">
        <is>
          <t>Ambulance Workers</t>
        </is>
      </c>
      <c r="F447" s="18" t="inlineStr">
        <is>
          <t>바이오 / 제약 / 임상헬스케어</t>
        </is>
      </c>
      <c r="G447" s="17" t="inlineStr">
        <is>
          <t>vertical_promotion</t>
        </is>
      </c>
      <c r="H447" s="18" t="inlineStr">
        <is>
          <t>assessing, health, status</t>
        </is>
      </c>
      <c r="I447" s="18" t="inlineStr">
        <is>
          <t>심화 Ambulance Workers 실무, 프로젝트 관리 역량</t>
        </is>
      </c>
      <c r="J447" s="18" t="inlineStr">
        <is>
          <t>실무 2년 이상 및 전문 자격</t>
        </is>
      </c>
      <c r="K447" s="17" t="inlineStr">
        <is>
          <t>★★★☆☆</t>
        </is>
      </c>
      <c r="L447" s="21" t="inlineStr">
        <is>
          <t>+25.0%</t>
        </is>
      </c>
    </row>
    <row r="448">
      <c r="A448" s="15" t="inlineStr">
        <is>
          <t>TR-0447</t>
        </is>
      </c>
      <c r="B448" s="15" t="inlineStr">
        <is>
          <t>5321</t>
        </is>
      </c>
      <c r="C448" s="16" t="inlineStr">
        <is>
          <t>Health Care Assistants</t>
        </is>
      </c>
      <c r="D448" s="15" t="inlineStr">
        <is>
          <t>5322</t>
        </is>
      </c>
      <c r="E448" s="16" t="inlineStr">
        <is>
          <t>Home-based Personal Care Workers</t>
        </is>
      </c>
      <c r="F448" s="16" t="inlineStr">
        <is>
          <t>바이오 / 제약 / 임상헬스케어</t>
        </is>
      </c>
      <c r="G448" s="15" t="inlineStr">
        <is>
          <t>horizontal_transfer</t>
        </is>
      </c>
      <c r="H448" s="16" t="inlineStr">
        <is>
          <t>assisting, clients, with</t>
        </is>
      </c>
      <c r="I448" s="16" t="inlineStr">
        <is>
          <t>심화 Home-based Personal Care Workers 실무, 프로젝트 관리 역량</t>
        </is>
      </c>
      <c r="J448" s="16" t="inlineStr">
        <is>
          <t>실무 1년 이상 및 전문 자격</t>
        </is>
      </c>
      <c r="K448" s="15" t="inlineStr">
        <is>
          <t>★★☆☆☆</t>
        </is>
      </c>
      <c r="L448" s="20" t="inlineStr">
        <is>
          <t>+15.0%</t>
        </is>
      </c>
    </row>
    <row r="449">
      <c r="A449" s="17" t="inlineStr">
        <is>
          <t>TR-0448</t>
        </is>
      </c>
      <c r="B449" s="17" t="inlineStr">
        <is>
          <t>5322</t>
        </is>
      </c>
      <c r="C449" s="18" t="inlineStr">
        <is>
          <t>Home-based Personal Care Workers</t>
        </is>
      </c>
      <c r="D449" s="17" t="inlineStr">
        <is>
          <t>2221</t>
        </is>
      </c>
      <c r="E449" s="18" t="inlineStr">
        <is>
          <t>Nursing Professionals</t>
        </is>
      </c>
      <c r="F449" s="18" t="inlineStr">
        <is>
          <t>바이오 / 제약 / 임상헬스케어</t>
        </is>
      </c>
      <c r="G449" s="17" t="inlineStr">
        <is>
          <t>vertical_promotion</t>
        </is>
      </c>
      <c r="H449" s="18" t="inlineStr">
        <is>
          <t>planning, evaluating, nursing</t>
        </is>
      </c>
      <c r="I449" s="18" t="inlineStr">
        <is>
          <t>심화 Nursing Professionals 실무, 프로젝트 관리 역량</t>
        </is>
      </c>
      <c r="J449" s="18" t="inlineStr">
        <is>
          <t>실무 4년 이상 및 전문 자격</t>
        </is>
      </c>
      <c r="K449" s="17" t="inlineStr">
        <is>
          <t>★★★★☆</t>
        </is>
      </c>
      <c r="L449" s="21" t="inlineStr">
        <is>
          <t>+35.0%</t>
        </is>
      </c>
    </row>
    <row r="450">
      <c r="A450" s="15" t="inlineStr">
        <is>
          <t>TR-0449</t>
        </is>
      </c>
      <c r="B450" s="15" t="inlineStr">
        <is>
          <t>5322</t>
        </is>
      </c>
      <c r="C450" s="16" t="inlineStr">
        <is>
          <t>Home-based Personal Care Workers</t>
        </is>
      </c>
      <c r="D450" s="15" t="inlineStr">
        <is>
          <t>2635</t>
        </is>
      </c>
      <c r="E450" s="16" t="inlineStr">
        <is>
          <t>Social Work and Counselling Professionals</t>
        </is>
      </c>
      <c r="F450" s="16" t="inlineStr">
        <is>
          <t>바이오 / 제약 / 임상헬스케어</t>
        </is>
      </c>
      <c r="G450" s="15" t="inlineStr">
        <is>
          <t>vertical_promotion</t>
        </is>
      </c>
      <c r="H450" s="16" t="inlineStr">
        <is>
          <t>interviewing, clients, individually</t>
        </is>
      </c>
      <c r="I450" s="16" t="inlineStr">
        <is>
          <t>심화 Social Work and Counselling Professionals 실무, 프로젝트 관리 역량</t>
        </is>
      </c>
      <c r="J450" s="16" t="inlineStr">
        <is>
          <t>실무 4년 이상 및 전문 자격</t>
        </is>
      </c>
      <c r="K450" s="15" t="inlineStr">
        <is>
          <t>★★★★☆</t>
        </is>
      </c>
      <c r="L450" s="20" t="inlineStr">
        <is>
          <t>+35.0%</t>
        </is>
      </c>
    </row>
    <row r="451">
      <c r="A451" s="17" t="inlineStr">
        <is>
          <t>TR-0450</t>
        </is>
      </c>
      <c r="B451" s="17" t="inlineStr">
        <is>
          <t>5322</t>
        </is>
      </c>
      <c r="C451" s="18" t="inlineStr">
        <is>
          <t>Home-based Personal Care Workers</t>
        </is>
      </c>
      <c r="D451" s="17" t="inlineStr">
        <is>
          <t>3221</t>
        </is>
      </c>
      <c r="E451" s="18" t="inlineStr">
        <is>
          <t>Nursing Associate Professionals</t>
        </is>
      </c>
      <c r="F451" s="18" t="inlineStr">
        <is>
          <t>바이오 / 제약 / 임상헬스케어</t>
        </is>
      </c>
      <c r="G451" s="17" t="inlineStr">
        <is>
          <t>vertical_promotion</t>
        </is>
      </c>
      <c r="H451" s="18" t="inlineStr">
        <is>
          <t>nursing, personal, care</t>
        </is>
      </c>
      <c r="I451" s="18" t="inlineStr">
        <is>
          <t>심화 Nursing Associate Professionals 실무, 프로젝트 관리 역량</t>
        </is>
      </c>
      <c r="J451" s="18" t="inlineStr">
        <is>
          <t>실무 2년 이상 및 전문 자격</t>
        </is>
      </c>
      <c r="K451" s="17" t="inlineStr">
        <is>
          <t>★★★☆☆</t>
        </is>
      </c>
      <c r="L451" s="21" t="inlineStr">
        <is>
          <t>+25.0%</t>
        </is>
      </c>
    </row>
    <row r="452">
      <c r="A452" s="15" t="inlineStr">
        <is>
          <t>TR-0451</t>
        </is>
      </c>
      <c r="B452" s="15" t="inlineStr">
        <is>
          <t>5322</t>
        </is>
      </c>
      <c r="C452" s="16" t="inlineStr">
        <is>
          <t>Home-based Personal Care Workers</t>
        </is>
      </c>
      <c r="D452" s="15" t="inlineStr">
        <is>
          <t>3412</t>
        </is>
      </c>
      <c r="E452" s="16" t="inlineStr">
        <is>
          <t>Social Work Associate Professionals</t>
        </is>
      </c>
      <c r="F452" s="16" t="inlineStr">
        <is>
          <t>바이오 / 제약 / 임상헬스케어</t>
        </is>
      </c>
      <c r="G452" s="15" t="inlineStr">
        <is>
          <t>vertical_promotion</t>
        </is>
      </c>
      <c r="H452" s="16" t="inlineStr">
        <is>
          <t>collecting, information, relevant</t>
        </is>
      </c>
      <c r="I452" s="16" t="inlineStr">
        <is>
          <t>심화 Social Work Associate Professionals 실무, 프로젝트 관리 역량</t>
        </is>
      </c>
      <c r="J452" s="16" t="inlineStr">
        <is>
          <t>실무 2년 이상 및 전문 자격</t>
        </is>
      </c>
      <c r="K452" s="15" t="inlineStr">
        <is>
          <t>★★★☆☆</t>
        </is>
      </c>
      <c r="L452" s="20" t="inlineStr">
        <is>
          <t>+25.0%</t>
        </is>
      </c>
    </row>
    <row r="453">
      <c r="A453" s="17" t="inlineStr">
        <is>
          <t>TR-0452</t>
        </is>
      </c>
      <c r="B453" s="17" t="inlineStr">
        <is>
          <t>5322</t>
        </is>
      </c>
      <c r="C453" s="18" t="inlineStr">
        <is>
          <t>Home-based Personal Care Workers</t>
        </is>
      </c>
      <c r="D453" s="17" t="inlineStr">
        <is>
          <t>5321</t>
        </is>
      </c>
      <c r="E453" s="18" t="inlineStr">
        <is>
          <t>Health Care Assistants</t>
        </is>
      </c>
      <c r="F453" s="18" t="inlineStr">
        <is>
          <t>바이오 / 제약 / 임상헬스케어</t>
        </is>
      </c>
      <c r="G453" s="17" t="inlineStr">
        <is>
          <t>horizontal_transfer</t>
        </is>
      </c>
      <c r="H453" s="18" t="inlineStr">
        <is>
          <t>care, support, treatment</t>
        </is>
      </c>
      <c r="I453" s="18" t="inlineStr">
        <is>
          <t>심화 Health Care Assistants 실무, 프로젝트 관리 역량</t>
        </is>
      </c>
      <c r="J453" s="18" t="inlineStr">
        <is>
          <t>실무 1년 이상 및 전문 자격</t>
        </is>
      </c>
      <c r="K453" s="17" t="inlineStr">
        <is>
          <t>★★☆☆☆</t>
        </is>
      </c>
      <c r="L453" s="21" t="inlineStr">
        <is>
          <t>+15.0%</t>
        </is>
      </c>
    </row>
    <row r="454">
      <c r="A454" s="15" t="inlineStr">
        <is>
          <t>TR-0453</t>
        </is>
      </c>
      <c r="B454" s="15" t="inlineStr">
        <is>
          <t>5329</t>
        </is>
      </c>
      <c r="C454" s="16" t="inlineStr">
        <is>
          <t>Personal Care Workers in Health Services Not Elsewhere Classified</t>
        </is>
      </c>
      <c r="D454" s="15" t="inlineStr">
        <is>
          <t>3213</t>
        </is>
      </c>
      <c r="E454" s="16" t="inlineStr">
        <is>
          <t>Pharmaceutical Technicians and Assistants</t>
        </is>
      </c>
      <c r="F454" s="16" t="inlineStr">
        <is>
          <t>바이오 / 제약 / 임상헬스케어</t>
        </is>
      </c>
      <c r="G454" s="15" t="inlineStr">
        <is>
          <t>vertical_promotion</t>
        </is>
      </c>
      <c r="H454" s="16" t="inlineStr">
        <is>
          <t>preparing, medications, other</t>
        </is>
      </c>
      <c r="I454" s="16" t="inlineStr">
        <is>
          <t>심화 Pharmaceutical Technicians and Assistants 실무, 프로젝트 관리 역량</t>
        </is>
      </c>
      <c r="J454" s="16" t="inlineStr">
        <is>
          <t>실무 2년 이상 및 전문 자격</t>
        </is>
      </c>
      <c r="K454" s="15" t="inlineStr">
        <is>
          <t>★★★☆☆</t>
        </is>
      </c>
      <c r="L454" s="20" t="inlineStr">
        <is>
          <t>+25.0%</t>
        </is>
      </c>
    </row>
    <row r="455">
      <c r="A455" s="17" t="inlineStr">
        <is>
          <t>TR-0454</t>
        </is>
      </c>
      <c r="B455" s="17" t="inlineStr">
        <is>
          <t>5329</t>
        </is>
      </c>
      <c r="C455" s="18" t="inlineStr">
        <is>
          <t>Personal Care Workers in Health Services Not Elsewhere Classified</t>
        </is>
      </c>
      <c r="D455" s="17" t="inlineStr">
        <is>
          <t>3214</t>
        </is>
      </c>
      <c r="E455" s="18" t="inlineStr">
        <is>
          <t>Medical and Dental Prosthetic Technicians</t>
        </is>
      </c>
      <c r="F455" s="18" t="inlineStr">
        <is>
          <t>바이오 / 제약 / 임상헬스케어</t>
        </is>
      </c>
      <c r="G455" s="17" t="inlineStr">
        <is>
          <t>vertical_promotion</t>
        </is>
      </c>
      <c r="H455" s="18" t="inlineStr">
        <is>
          <t>examining, interviewing, measuring</t>
        </is>
      </c>
      <c r="I455" s="18" t="inlineStr">
        <is>
          <t>심화 Medical and Dental Prosthetic Technicians 실무, 프로젝트 관리 역량</t>
        </is>
      </c>
      <c r="J455" s="18" t="inlineStr">
        <is>
          <t>실무 2년 이상 및 전문 자격</t>
        </is>
      </c>
      <c r="K455" s="17" t="inlineStr">
        <is>
          <t>★★★☆☆</t>
        </is>
      </c>
      <c r="L455" s="21" t="inlineStr">
        <is>
          <t>+25.0%</t>
        </is>
      </c>
    </row>
    <row r="456">
      <c r="A456" s="15" t="inlineStr">
        <is>
          <t>TR-0455</t>
        </is>
      </c>
      <c r="B456" s="15" t="inlineStr">
        <is>
          <t>5329</t>
        </is>
      </c>
      <c r="C456" s="16" t="inlineStr">
        <is>
          <t>Personal Care Workers in Health Services Not Elsewhere Classified</t>
        </is>
      </c>
      <c r="D456" s="15" t="inlineStr">
        <is>
          <t>3251</t>
        </is>
      </c>
      <c r="E456" s="16" t="inlineStr">
        <is>
          <t>Dental Assistants and Therapists</t>
        </is>
      </c>
      <c r="F456" s="16" t="inlineStr">
        <is>
          <t>바이오 / 제약 / 임상헬스케어</t>
        </is>
      </c>
      <c r="G456" s="15" t="inlineStr">
        <is>
          <t>vertical_promotion</t>
        </is>
      </c>
      <c r="H456" s="16" t="inlineStr">
        <is>
          <t>advising, communities, individuals</t>
        </is>
      </c>
      <c r="I456" s="16" t="inlineStr">
        <is>
          <t>심화 Dental Assistants and Therapists 실무, 프로젝트 관리 역량</t>
        </is>
      </c>
      <c r="J456" s="16" t="inlineStr">
        <is>
          <t>실무 2년 이상 및 전문 자격</t>
        </is>
      </c>
      <c r="K456" s="15" t="inlineStr">
        <is>
          <t>★★★☆☆</t>
        </is>
      </c>
      <c r="L456" s="20" t="inlineStr">
        <is>
          <t>+25.0%</t>
        </is>
      </c>
    </row>
    <row r="457">
      <c r="A457" s="17" t="inlineStr">
        <is>
          <t>TR-0456</t>
        </is>
      </c>
      <c r="B457" s="17" t="inlineStr">
        <is>
          <t>5411</t>
        </is>
      </c>
      <c r="C457" s="18" t="inlineStr">
        <is>
          <t>Fire Fighters</t>
        </is>
      </c>
      <c r="D457" s="17" t="inlineStr">
        <is>
          <t>3112</t>
        </is>
      </c>
      <c r="E457" s="18" t="inlineStr">
        <is>
          <t>Civil Engineering Technicians</t>
        </is>
      </c>
      <c r="F457" s="18" t="inlineStr">
        <is>
          <t>탄소중립 / 산업안전 / ESG</t>
        </is>
      </c>
      <c r="G457" s="17" t="inlineStr">
        <is>
          <t>vertical_promotion</t>
        </is>
      </c>
      <c r="H457" s="18" t="inlineStr">
        <is>
          <t>assisting, with, field</t>
        </is>
      </c>
      <c r="I457" s="18" t="inlineStr">
        <is>
          <t>심화 Civil Engineering Technicians 실무, 프로젝트 관리 역량</t>
        </is>
      </c>
      <c r="J457" s="18" t="inlineStr">
        <is>
          <t>실무 2년 이상 및 전문 자격</t>
        </is>
      </c>
      <c r="K457" s="17" t="inlineStr">
        <is>
          <t>★★★☆☆</t>
        </is>
      </c>
      <c r="L457" s="21" t="inlineStr">
        <is>
          <t>+25.0%</t>
        </is>
      </c>
    </row>
    <row r="458">
      <c r="A458" s="15" t="inlineStr">
        <is>
          <t>TR-0457</t>
        </is>
      </c>
      <c r="B458" s="15" t="inlineStr">
        <is>
          <t>5411</t>
        </is>
      </c>
      <c r="C458" s="16" t="inlineStr">
        <is>
          <t>Fire Fighters</t>
        </is>
      </c>
      <c r="D458" s="15" t="inlineStr">
        <is>
          <t>3119</t>
        </is>
      </c>
      <c r="E458" s="16" t="inlineStr">
        <is>
          <t>Physical and Engineering Science Technicians Not Elsewhere Classified</t>
        </is>
      </c>
      <c r="F458" s="16" t="inlineStr">
        <is>
          <t>탄소중립 / 산업안전 / ESG</t>
        </is>
      </c>
      <c r="G458" s="15" t="inlineStr">
        <is>
          <t>vertical_promotion</t>
        </is>
      </c>
      <c r="H458" s="16" t="inlineStr">
        <is>
          <t>such, cases, would</t>
        </is>
      </c>
      <c r="I458" s="16" t="inlineStr">
        <is>
          <t>심화 Physical and Engineering Science Technicians Not Elsewhere Classified 실무, 프로젝트 관리 역량</t>
        </is>
      </c>
      <c r="J458" s="16" t="inlineStr">
        <is>
          <t>실무 2년 이상 및 전문 자격</t>
        </is>
      </c>
      <c r="K458" s="15" t="inlineStr">
        <is>
          <t>★★★☆☆</t>
        </is>
      </c>
      <c r="L458" s="20" t="inlineStr">
        <is>
          <t>+25.0%</t>
        </is>
      </c>
    </row>
    <row r="459">
      <c r="A459" s="17" t="inlineStr">
        <is>
          <t>TR-0458</t>
        </is>
      </c>
      <c r="B459" s="17" t="inlineStr">
        <is>
          <t>5412</t>
        </is>
      </c>
      <c r="C459" s="18" t="inlineStr">
        <is>
          <t>Police Officers</t>
        </is>
      </c>
      <c r="D459" s="17" t="inlineStr">
        <is>
          <t>1112</t>
        </is>
      </c>
      <c r="E459" s="18" t="inlineStr">
        <is>
          <t>Senior Government Officials</t>
        </is>
      </c>
      <c r="F459" s="18" t="inlineStr">
        <is>
          <t>탄소중립 / 산업안전 / ESG</t>
        </is>
      </c>
      <c r="G459" s="17" t="inlineStr">
        <is>
          <t>vertical_promotion</t>
        </is>
      </c>
      <c r="H459" s="18" t="inlineStr">
        <is>
          <t>advising, national, state</t>
        </is>
      </c>
      <c r="I459" s="18" t="inlineStr">
        <is>
          <t>심화 Senior Government Officials 실무, 프로젝트 관리 역량</t>
        </is>
      </c>
      <c r="J459" s="18" t="inlineStr">
        <is>
          <t>실무 6년 이상 및 전문 자격</t>
        </is>
      </c>
      <c r="K459" s="17" t="inlineStr">
        <is>
          <t>★★★★★</t>
        </is>
      </c>
      <c r="L459" s="21" t="inlineStr">
        <is>
          <t>+45.0%</t>
        </is>
      </c>
    </row>
    <row r="460">
      <c r="A460" s="15" t="inlineStr">
        <is>
          <t>TR-0459</t>
        </is>
      </c>
      <c r="B460" s="15" t="inlineStr">
        <is>
          <t>5412</t>
        </is>
      </c>
      <c r="C460" s="16" t="inlineStr">
        <is>
          <t>Police Officers</t>
        </is>
      </c>
      <c r="D460" s="15" t="inlineStr">
        <is>
          <t>3355</t>
        </is>
      </c>
      <c r="E460" s="16" t="inlineStr">
        <is>
          <t>Police Inspectors and Detectives</t>
        </is>
      </c>
      <c r="F460" s="16" t="inlineStr">
        <is>
          <t>탄소중립 / 산업안전 / ESG</t>
        </is>
      </c>
      <c r="G460" s="15" t="inlineStr">
        <is>
          <t>vertical_promotion</t>
        </is>
      </c>
      <c r="H460" s="16" t="inlineStr">
        <is>
          <t>establishing, contacts, sources</t>
        </is>
      </c>
      <c r="I460" s="16" t="inlineStr">
        <is>
          <t>심화 Police Inspectors and Detectives 실무, 프로젝트 관리 역량</t>
        </is>
      </c>
      <c r="J460" s="16" t="inlineStr">
        <is>
          <t>실무 2년 이상 및 전문 자격</t>
        </is>
      </c>
      <c r="K460" s="15" t="inlineStr">
        <is>
          <t>★★★☆☆</t>
        </is>
      </c>
      <c r="L460" s="20" t="inlineStr">
        <is>
          <t>+25.0%</t>
        </is>
      </c>
    </row>
    <row r="461">
      <c r="A461" s="17" t="inlineStr">
        <is>
          <t>TR-0460</t>
        </is>
      </c>
      <c r="B461" s="17" t="inlineStr">
        <is>
          <t>5414</t>
        </is>
      </c>
      <c r="C461" s="18" t="inlineStr">
        <is>
          <t>Security Guards</t>
        </is>
      </c>
      <c r="D461" s="17" t="inlineStr">
        <is>
          <t>5419</t>
        </is>
      </c>
      <c r="E461" s="18" t="inlineStr">
        <is>
          <t>Protective Services Workers Not Elsewhere Classified</t>
        </is>
      </c>
      <c r="F461" s="18" t="inlineStr">
        <is>
          <t>탄소중립 / 산업안전 / ESG</t>
        </is>
      </c>
      <c r="G461" s="17" t="inlineStr">
        <is>
          <t>horizontal_transfer</t>
        </is>
      </c>
      <c r="H461" s="18" t="inlineStr">
        <is>
          <t>patrolling, beaches, swimming</t>
        </is>
      </c>
      <c r="I461" s="18" t="inlineStr">
        <is>
          <t>심화 Protective Services Workers Not Elsewhere Classified 실무, 프로젝트 관리 역량</t>
        </is>
      </c>
      <c r="J461" s="18" t="inlineStr">
        <is>
          <t>실무 1년 이상 및 전문 자격</t>
        </is>
      </c>
      <c r="K461" s="17" t="inlineStr">
        <is>
          <t>★★☆☆☆</t>
        </is>
      </c>
      <c r="L461" s="21" t="inlineStr">
        <is>
          <t>+15.0%</t>
        </is>
      </c>
    </row>
    <row r="462">
      <c r="A462" s="15" t="inlineStr">
        <is>
          <t>TR-0461</t>
        </is>
      </c>
      <c r="B462" s="15" t="inlineStr">
        <is>
          <t>5419</t>
        </is>
      </c>
      <c r="C462" s="16" t="inlineStr">
        <is>
          <t>Protective Services Workers Not Elsewhere Classified</t>
        </is>
      </c>
      <c r="D462" s="15" t="inlineStr">
        <is>
          <t>5414</t>
        </is>
      </c>
      <c r="E462" s="16" t="inlineStr">
        <is>
          <t>Security Guards</t>
        </is>
      </c>
      <c r="F462" s="16" t="inlineStr">
        <is>
          <t>탄소중립 / 산업안전 / ESG</t>
        </is>
      </c>
      <c r="G462" s="15" t="inlineStr">
        <is>
          <t>horizontal_transfer</t>
        </is>
      </c>
      <c r="H462" s="16" t="inlineStr">
        <is>
          <t>patrolling, premises, checking</t>
        </is>
      </c>
      <c r="I462" s="16" t="inlineStr">
        <is>
          <t>심화 Security Guards 실무, 프로젝트 관리 역량</t>
        </is>
      </c>
      <c r="J462" s="16" t="inlineStr">
        <is>
          <t>실무 1년 이상 및 전문 자격</t>
        </is>
      </c>
      <c r="K462" s="15" t="inlineStr">
        <is>
          <t>★★☆☆☆</t>
        </is>
      </c>
      <c r="L462" s="20" t="inlineStr">
        <is>
          <t>+15.0%</t>
        </is>
      </c>
    </row>
    <row r="463">
      <c r="A463" s="17" t="inlineStr">
        <is>
          <t>TR-0462</t>
        </is>
      </c>
      <c r="B463" s="17" t="inlineStr">
        <is>
          <t>6111</t>
        </is>
      </c>
      <c r="C463" s="18" t="inlineStr">
        <is>
          <t>Field Crop and Vegetable Growers</t>
        </is>
      </c>
      <c r="D463" s="17" t="inlineStr">
        <is>
          <t>1311</t>
        </is>
      </c>
      <c r="E463" s="18" t="inlineStr">
        <is>
          <t>Agricultural and Forestry Production Managers</t>
        </is>
      </c>
      <c r="F463" s="18" t="inlineStr">
        <is>
          <t>탄소중립 / 산업안전 / ESG</t>
        </is>
      </c>
      <c r="G463" s="17" t="inlineStr">
        <is>
          <t>vertical_promotion</t>
        </is>
      </c>
      <c r="H463" s="18" t="inlineStr">
        <is>
          <t>monitoring, agricultural, forestry</t>
        </is>
      </c>
      <c r="I463" s="18" t="inlineStr">
        <is>
          <t>심화 Agricultural and Forestry Production Managers 실무, 프로젝트 관리 역량</t>
        </is>
      </c>
      <c r="J463" s="18" t="inlineStr">
        <is>
          <t>실무 6년 이상 및 전문 자격</t>
        </is>
      </c>
      <c r="K463" s="17" t="inlineStr">
        <is>
          <t>★★★★★</t>
        </is>
      </c>
      <c r="L463" s="21" t="inlineStr">
        <is>
          <t>+45.0%</t>
        </is>
      </c>
    </row>
    <row r="464">
      <c r="A464" s="15" t="inlineStr">
        <is>
          <t>TR-0463</t>
        </is>
      </c>
      <c r="B464" s="15" t="inlineStr">
        <is>
          <t>6111</t>
        </is>
      </c>
      <c r="C464" s="16" t="inlineStr">
        <is>
          <t>Field Crop and Vegetable Growers</t>
        </is>
      </c>
      <c r="D464" s="15" t="inlineStr">
        <is>
          <t>9211</t>
        </is>
      </c>
      <c r="E464" s="16" t="inlineStr">
        <is>
          <t>Crop Farm Labourers</t>
        </is>
      </c>
      <c r="F464" s="16" t="inlineStr">
        <is>
          <t>탄소중립 / 산업안전 / ESG</t>
        </is>
      </c>
      <c r="G464" s="15" t="inlineStr">
        <is>
          <t>horizontal_transfer</t>
        </is>
      </c>
      <c r="H464" s="16" t="inlineStr">
        <is>
          <t>digging, shovelling, clear</t>
        </is>
      </c>
      <c r="I464" s="16" t="inlineStr">
        <is>
          <t>심화 Crop Farm Labourers 실무, 프로젝트 관리 역량</t>
        </is>
      </c>
      <c r="J464" s="16" t="inlineStr">
        <is>
          <t>실무 1년 이상 및 전문 자격</t>
        </is>
      </c>
      <c r="K464" s="15" t="inlineStr">
        <is>
          <t>★★☆☆☆</t>
        </is>
      </c>
      <c r="L464" s="20" t="inlineStr">
        <is>
          <t>+15.0%</t>
        </is>
      </c>
    </row>
    <row r="465">
      <c r="A465" s="17" t="inlineStr">
        <is>
          <t>TR-0464</t>
        </is>
      </c>
      <c r="B465" s="17" t="inlineStr">
        <is>
          <t>6112</t>
        </is>
      </c>
      <c r="C465" s="18" t="inlineStr">
        <is>
          <t>Tree and Shrub Crop Growers</t>
        </is>
      </c>
      <c r="D465" s="17" t="inlineStr">
        <is>
          <t>1311</t>
        </is>
      </c>
      <c r="E465" s="18" t="inlineStr">
        <is>
          <t>Agricultural and Forestry Production Managers</t>
        </is>
      </c>
      <c r="F465" s="18" t="inlineStr">
        <is>
          <t>탄소중립 / 산업안전 / ESG</t>
        </is>
      </c>
      <c r="G465" s="17" t="inlineStr">
        <is>
          <t>vertical_promotion</t>
        </is>
      </c>
      <c r="H465" s="18" t="inlineStr">
        <is>
          <t>monitoring, agricultural, forestry</t>
        </is>
      </c>
      <c r="I465" s="18" t="inlineStr">
        <is>
          <t>심화 Agricultural and Forestry Production Managers 실무, 프로젝트 관리 역량</t>
        </is>
      </c>
      <c r="J465" s="18" t="inlineStr">
        <is>
          <t>실무 6년 이상 및 전문 자격</t>
        </is>
      </c>
      <c r="K465" s="17" t="inlineStr">
        <is>
          <t>★★★★★</t>
        </is>
      </c>
      <c r="L465" s="21" t="inlineStr">
        <is>
          <t>+45.0%</t>
        </is>
      </c>
    </row>
    <row r="466">
      <c r="A466" s="15" t="inlineStr">
        <is>
          <t>TR-0465</t>
        </is>
      </c>
      <c r="B466" s="15" t="inlineStr">
        <is>
          <t>6112</t>
        </is>
      </c>
      <c r="C466" s="16" t="inlineStr">
        <is>
          <t>Tree and Shrub Crop Growers</t>
        </is>
      </c>
      <c r="D466" s="15" t="inlineStr">
        <is>
          <t>9211</t>
        </is>
      </c>
      <c r="E466" s="16" t="inlineStr">
        <is>
          <t>Crop Farm Labourers</t>
        </is>
      </c>
      <c r="F466" s="16" t="inlineStr">
        <is>
          <t>탄소중립 / 산업안전 / ESG</t>
        </is>
      </c>
      <c r="G466" s="15" t="inlineStr">
        <is>
          <t>horizontal_transfer</t>
        </is>
      </c>
      <c r="H466" s="16" t="inlineStr">
        <is>
          <t>digging, shovelling, clear</t>
        </is>
      </c>
      <c r="I466" s="16" t="inlineStr">
        <is>
          <t>심화 Crop Farm Labourers 실무, 프로젝트 관리 역량</t>
        </is>
      </c>
      <c r="J466" s="16" t="inlineStr">
        <is>
          <t>실무 1년 이상 및 전문 자격</t>
        </is>
      </c>
      <c r="K466" s="15" t="inlineStr">
        <is>
          <t>★★☆☆☆</t>
        </is>
      </c>
      <c r="L466" s="20" t="inlineStr">
        <is>
          <t>+15.0%</t>
        </is>
      </c>
    </row>
    <row r="467">
      <c r="A467" s="17" t="inlineStr">
        <is>
          <t>TR-0466</t>
        </is>
      </c>
      <c r="B467" s="17" t="inlineStr">
        <is>
          <t>6113</t>
        </is>
      </c>
      <c r="C467" s="18" t="inlineStr">
        <is>
          <t>Gardeners, Horticultural and Nursery Growers</t>
        </is>
      </c>
      <c r="D467" s="17" t="inlineStr">
        <is>
          <t>2132</t>
        </is>
      </c>
      <c r="E467" s="18" t="inlineStr">
        <is>
          <t>Farming, Forestry and Fisheries Advisers</t>
        </is>
      </c>
      <c r="F467" s="18" t="inlineStr">
        <is>
          <t>탄소중립 / 산업안전 / ESG</t>
        </is>
      </c>
      <c r="G467" s="17" t="inlineStr">
        <is>
          <t>vertical_promotion</t>
        </is>
      </c>
      <c r="H467" s="18" t="inlineStr">
        <is>
          <t>collecting, analysing, data</t>
        </is>
      </c>
      <c r="I467" s="18" t="inlineStr">
        <is>
          <t>심화 Farming, Forestry and Fisheries Advisers 실무, 프로젝트 관리 역량</t>
        </is>
      </c>
      <c r="J467" s="18" t="inlineStr">
        <is>
          <t>실무 4년 이상 및 전문 자격</t>
        </is>
      </c>
      <c r="K467" s="17" t="inlineStr">
        <is>
          <t>★★★★☆</t>
        </is>
      </c>
      <c r="L467" s="21" t="inlineStr">
        <is>
          <t>+35.0%</t>
        </is>
      </c>
    </row>
    <row r="468">
      <c r="A468" s="15" t="inlineStr">
        <is>
          <t>TR-0467</t>
        </is>
      </c>
      <c r="B468" s="15" t="inlineStr">
        <is>
          <t>6113</t>
        </is>
      </c>
      <c r="C468" s="16" t="inlineStr">
        <is>
          <t>Gardeners, Horticultural and Nursery Growers</t>
        </is>
      </c>
      <c r="D468" s="15" t="inlineStr">
        <is>
          <t>9214</t>
        </is>
      </c>
      <c r="E468" s="16" t="inlineStr">
        <is>
          <t>Garden and Horticultural Labourers</t>
        </is>
      </c>
      <c r="F468" s="16" t="inlineStr">
        <is>
          <t>탄소중립 / 산업안전 / ESG</t>
        </is>
      </c>
      <c r="G468" s="15" t="inlineStr">
        <is>
          <t>horizontal_transfer</t>
        </is>
      </c>
      <c r="H468" s="16" t="inlineStr">
        <is>
          <t>loading, unloading, moving</t>
        </is>
      </c>
      <c r="I468" s="16" t="inlineStr">
        <is>
          <t>심화 Garden and Horticultural Labourers 실무, 프로젝트 관리 역량</t>
        </is>
      </c>
      <c r="J468" s="16" t="inlineStr">
        <is>
          <t>실무 1년 이상 및 전문 자격</t>
        </is>
      </c>
      <c r="K468" s="15" t="inlineStr">
        <is>
          <t>★★☆☆☆</t>
        </is>
      </c>
      <c r="L468" s="20" t="inlineStr">
        <is>
          <t>+15.0%</t>
        </is>
      </c>
    </row>
    <row r="469">
      <c r="A469" s="17" t="inlineStr">
        <is>
          <t>TR-0468</t>
        </is>
      </c>
      <c r="B469" s="17" t="inlineStr">
        <is>
          <t>6114</t>
        </is>
      </c>
      <c r="C469" s="18" t="inlineStr">
        <is>
          <t>Mixed Crop Growers</t>
        </is>
      </c>
      <c r="D469" s="17" t="inlineStr">
        <is>
          <t>1311</t>
        </is>
      </c>
      <c r="E469" s="18" t="inlineStr">
        <is>
          <t>Agricultural and Forestry Production Managers</t>
        </is>
      </c>
      <c r="F469" s="18" t="inlineStr">
        <is>
          <t>탄소중립 / 산업안전 / ESG</t>
        </is>
      </c>
      <c r="G469" s="17" t="inlineStr">
        <is>
          <t>vertical_promotion</t>
        </is>
      </c>
      <c r="H469" s="18" t="inlineStr">
        <is>
          <t>monitoring, agricultural, forestry</t>
        </is>
      </c>
      <c r="I469" s="18" t="inlineStr">
        <is>
          <t>심화 Agricultural and Forestry Production Managers 실무, 프로젝트 관리 역량</t>
        </is>
      </c>
      <c r="J469" s="18" t="inlineStr">
        <is>
          <t>실무 6년 이상 및 전문 자격</t>
        </is>
      </c>
      <c r="K469" s="17" t="inlineStr">
        <is>
          <t>★★★★★</t>
        </is>
      </c>
      <c r="L469" s="21" t="inlineStr">
        <is>
          <t>+45.0%</t>
        </is>
      </c>
    </row>
    <row r="470">
      <c r="A470" s="15" t="inlineStr">
        <is>
          <t>TR-0469</t>
        </is>
      </c>
      <c r="B470" s="15" t="inlineStr">
        <is>
          <t>6114</t>
        </is>
      </c>
      <c r="C470" s="16" t="inlineStr">
        <is>
          <t>Mixed Crop Growers</t>
        </is>
      </c>
      <c r="D470" s="15" t="inlineStr">
        <is>
          <t>9211</t>
        </is>
      </c>
      <c r="E470" s="16" t="inlineStr">
        <is>
          <t>Crop Farm Labourers</t>
        </is>
      </c>
      <c r="F470" s="16" t="inlineStr">
        <is>
          <t>탄소중립 / 산업안전 / ESG</t>
        </is>
      </c>
      <c r="G470" s="15" t="inlineStr">
        <is>
          <t>horizontal_transfer</t>
        </is>
      </c>
      <c r="H470" s="16" t="inlineStr">
        <is>
          <t>digging, shovelling, clear</t>
        </is>
      </c>
      <c r="I470" s="16" t="inlineStr">
        <is>
          <t>심화 Crop Farm Labourers 실무, 프로젝트 관리 역량</t>
        </is>
      </c>
      <c r="J470" s="16" t="inlineStr">
        <is>
          <t>실무 1년 이상 및 전문 자격</t>
        </is>
      </c>
      <c r="K470" s="15" t="inlineStr">
        <is>
          <t>★★☆☆☆</t>
        </is>
      </c>
      <c r="L470" s="20" t="inlineStr">
        <is>
          <t>+15.0%</t>
        </is>
      </c>
    </row>
    <row r="471">
      <c r="A471" s="17" t="inlineStr">
        <is>
          <t>TR-0470</t>
        </is>
      </c>
      <c r="B471" s="17" t="inlineStr">
        <is>
          <t>6121</t>
        </is>
      </c>
      <c r="C471" s="18" t="inlineStr">
        <is>
          <t>Livestock and Dairy Producers</t>
        </is>
      </c>
      <c r="D471" s="17" t="inlineStr">
        <is>
          <t>1311</t>
        </is>
      </c>
      <c r="E471" s="18" t="inlineStr">
        <is>
          <t>Agricultural and Forestry Production Managers</t>
        </is>
      </c>
      <c r="F471" s="18" t="inlineStr">
        <is>
          <t>탄소중립 / 산업안전 / ESG</t>
        </is>
      </c>
      <c r="G471" s="17" t="inlineStr">
        <is>
          <t>vertical_promotion</t>
        </is>
      </c>
      <c r="H471" s="18" t="inlineStr">
        <is>
          <t>monitoring, agricultural, forestry</t>
        </is>
      </c>
      <c r="I471" s="18" t="inlineStr">
        <is>
          <t>심화 Agricultural and Forestry Production Managers 실무, 프로젝트 관리 역량</t>
        </is>
      </c>
      <c r="J471" s="18" t="inlineStr">
        <is>
          <t>실무 6년 이상 및 전문 자격</t>
        </is>
      </c>
      <c r="K471" s="17" t="inlineStr">
        <is>
          <t>★★★★★</t>
        </is>
      </c>
      <c r="L471" s="21" t="inlineStr">
        <is>
          <t>+45.0%</t>
        </is>
      </c>
    </row>
    <row r="472">
      <c r="A472" s="15" t="inlineStr">
        <is>
          <t>TR-0471</t>
        </is>
      </c>
      <c r="B472" s="15" t="inlineStr">
        <is>
          <t>6129</t>
        </is>
      </c>
      <c r="C472" s="16" t="inlineStr">
        <is>
          <t>Animal Producers Not Elsewhere Classified</t>
        </is>
      </c>
      <c r="D472" s="15" t="inlineStr">
        <is>
          <t>5164</t>
        </is>
      </c>
      <c r="E472" s="16" t="inlineStr">
        <is>
          <t>Pet Groomers and Animal Care Workers</t>
        </is>
      </c>
      <c r="F472" s="16" t="inlineStr">
        <is>
          <t>탄소중립 / 산업안전 / ESG</t>
        </is>
      </c>
      <c r="G472" s="15" t="inlineStr">
        <is>
          <t>horizontal_transfer</t>
        </is>
      </c>
      <c r="H472" s="16" t="inlineStr">
        <is>
          <t>bathing, feeding, animals</t>
        </is>
      </c>
      <c r="I472" s="16" t="inlineStr">
        <is>
          <t>심화 Pet Groomers and Animal Care Workers 실무, 프로젝트 관리 역량</t>
        </is>
      </c>
      <c r="J472" s="16" t="inlineStr">
        <is>
          <t>실무 1년 이상 및 전문 자격</t>
        </is>
      </c>
      <c r="K472" s="15" t="inlineStr">
        <is>
          <t>★★☆☆☆</t>
        </is>
      </c>
      <c r="L472" s="20" t="inlineStr">
        <is>
          <t>+15.0%</t>
        </is>
      </c>
    </row>
    <row r="473">
      <c r="A473" s="17" t="inlineStr">
        <is>
          <t>TR-0472</t>
        </is>
      </c>
      <c r="B473" s="17" t="inlineStr">
        <is>
          <t>6129</t>
        </is>
      </c>
      <c r="C473" s="18" t="inlineStr">
        <is>
          <t>Animal Producers Not Elsewhere Classified</t>
        </is>
      </c>
      <c r="D473" s="17" t="inlineStr">
        <is>
          <t>5419</t>
        </is>
      </c>
      <c r="E473" s="18" t="inlineStr">
        <is>
          <t>Protective Services Workers Not Elsewhere Classified</t>
        </is>
      </c>
      <c r="F473" s="18" t="inlineStr">
        <is>
          <t>탄소중립 / 산업안전 / ESG</t>
        </is>
      </c>
      <c r="G473" s="17" t="inlineStr">
        <is>
          <t>horizontal_transfer</t>
        </is>
      </c>
      <c r="H473" s="18" t="inlineStr">
        <is>
          <t>patrolling, beaches, swimming</t>
        </is>
      </c>
      <c r="I473" s="18" t="inlineStr">
        <is>
          <t>심화 Protective Services Workers Not Elsewhere Classified 실무, 프로젝트 관리 역량</t>
        </is>
      </c>
      <c r="J473" s="18" t="inlineStr">
        <is>
          <t>실무 1년 이상 및 전문 자격</t>
        </is>
      </c>
      <c r="K473" s="17" t="inlineStr">
        <is>
          <t>★★☆☆☆</t>
        </is>
      </c>
      <c r="L473" s="21" t="inlineStr">
        <is>
          <t>+15.0%</t>
        </is>
      </c>
    </row>
    <row r="474">
      <c r="A474" s="15" t="inlineStr">
        <is>
          <t>TR-0473</t>
        </is>
      </c>
      <c r="B474" s="15" t="inlineStr">
        <is>
          <t>6129</t>
        </is>
      </c>
      <c r="C474" s="16" t="inlineStr">
        <is>
          <t>Animal Producers Not Elsewhere Classified</t>
        </is>
      </c>
      <c r="D474" s="15" t="inlineStr">
        <is>
          <t>6122</t>
        </is>
      </c>
      <c r="E474" s="16" t="inlineStr">
        <is>
          <t>Poultry Producers</t>
        </is>
      </c>
      <c r="F474" s="16" t="inlineStr">
        <is>
          <t>탄소중립 / 산업안전 / ESG</t>
        </is>
      </c>
      <c r="G474" s="15" t="inlineStr">
        <is>
          <t>horizontal_transfer</t>
        </is>
      </c>
      <c r="H474" s="16" t="inlineStr">
        <is>
          <t>monitoring, market, activity</t>
        </is>
      </c>
      <c r="I474" s="16" t="inlineStr">
        <is>
          <t>심화 Poultry Producers 실무, 프로젝트 관리 역량</t>
        </is>
      </c>
      <c r="J474" s="16" t="inlineStr">
        <is>
          <t>실무 1년 이상 및 전문 자격</t>
        </is>
      </c>
      <c r="K474" s="15" t="inlineStr">
        <is>
          <t>★★☆☆☆</t>
        </is>
      </c>
      <c r="L474" s="20" t="inlineStr">
        <is>
          <t>+15.0%</t>
        </is>
      </c>
    </row>
    <row r="475">
      <c r="A475" s="17" t="inlineStr">
        <is>
          <t>TR-0474</t>
        </is>
      </c>
      <c r="B475" s="17" t="inlineStr">
        <is>
          <t>6130</t>
        </is>
      </c>
      <c r="C475" s="18" t="inlineStr">
        <is>
          <t>Mixed Crop and Animal Producers</t>
        </is>
      </c>
      <c r="D475" s="17" t="inlineStr">
        <is>
          <t>1311</t>
        </is>
      </c>
      <c r="E475" s="18" t="inlineStr">
        <is>
          <t>Agricultural and Forestry Production Managers</t>
        </is>
      </c>
      <c r="F475" s="18" t="inlineStr">
        <is>
          <t>탄소중립 / 산업안전 / ESG</t>
        </is>
      </c>
      <c r="G475" s="17" t="inlineStr">
        <is>
          <t>vertical_promotion</t>
        </is>
      </c>
      <c r="H475" s="18" t="inlineStr">
        <is>
          <t>monitoring, agricultural, forestry</t>
        </is>
      </c>
      <c r="I475" s="18" t="inlineStr">
        <is>
          <t>심화 Agricultural and Forestry Production Managers 실무, 프로젝트 관리 역량</t>
        </is>
      </c>
      <c r="J475" s="18" t="inlineStr">
        <is>
          <t>실무 6년 이상 및 전문 자격</t>
        </is>
      </c>
      <c r="K475" s="17" t="inlineStr">
        <is>
          <t>★★★★★</t>
        </is>
      </c>
      <c r="L475" s="21" t="inlineStr">
        <is>
          <t>+45.0%</t>
        </is>
      </c>
    </row>
    <row r="476">
      <c r="A476" s="15" t="inlineStr">
        <is>
          <t>TR-0475</t>
        </is>
      </c>
      <c r="B476" s="15" t="inlineStr">
        <is>
          <t>6130</t>
        </is>
      </c>
      <c r="C476" s="16" t="inlineStr">
        <is>
          <t>Mixed Crop and Animal Producers</t>
        </is>
      </c>
      <c r="D476" s="15" t="inlineStr">
        <is>
          <t>9213</t>
        </is>
      </c>
      <c r="E476" s="16" t="inlineStr">
        <is>
          <t>Mixed Crop and Livestock Farm Labourers</t>
        </is>
      </c>
      <c r="F476" s="16" t="inlineStr">
        <is>
          <t>탄소중립 / 산업안전 / ESG</t>
        </is>
      </c>
      <c r="G476" s="15" t="inlineStr">
        <is>
          <t>horizontal_transfer</t>
        </is>
      </c>
      <c r="H476" s="16" t="inlineStr">
        <is>
          <t>digging, shovelling, clear</t>
        </is>
      </c>
      <c r="I476" s="16" t="inlineStr">
        <is>
          <t>심화 Mixed Crop and Livestock Farm Labourers 실무, 프로젝트 관리 역량</t>
        </is>
      </c>
      <c r="J476" s="16" t="inlineStr">
        <is>
          <t>실무 1년 이상 및 전문 자격</t>
        </is>
      </c>
      <c r="K476" s="15" t="inlineStr">
        <is>
          <t>★★☆☆☆</t>
        </is>
      </c>
      <c r="L476" s="20" t="inlineStr">
        <is>
          <t>+15.0%</t>
        </is>
      </c>
    </row>
    <row r="477">
      <c r="A477" s="17" t="inlineStr">
        <is>
          <t>TR-0476</t>
        </is>
      </c>
      <c r="B477" s="17" t="inlineStr">
        <is>
          <t>6210</t>
        </is>
      </c>
      <c r="C477" s="18" t="inlineStr">
        <is>
          <t>Forestry and Related Workers</t>
        </is>
      </c>
      <c r="D477" s="17" t="inlineStr">
        <is>
          <t>2132</t>
        </is>
      </c>
      <c r="E477" s="18" t="inlineStr">
        <is>
          <t>Farming, Forestry and Fisheries Advisers</t>
        </is>
      </c>
      <c r="F477" s="18" t="inlineStr">
        <is>
          <t>탄소중립 / 산업안전 / ESG</t>
        </is>
      </c>
      <c r="G477" s="17" t="inlineStr">
        <is>
          <t>vertical_promotion</t>
        </is>
      </c>
      <c r="H477" s="18" t="inlineStr">
        <is>
          <t>collecting, analysing, data</t>
        </is>
      </c>
      <c r="I477" s="18" t="inlineStr">
        <is>
          <t>심화 Farming, Forestry and Fisheries Advisers 실무, 프로젝트 관리 역량</t>
        </is>
      </c>
      <c r="J477" s="18" t="inlineStr">
        <is>
          <t>실무 4년 이상 및 전문 자격</t>
        </is>
      </c>
      <c r="K477" s="17" t="inlineStr">
        <is>
          <t>★★★★☆</t>
        </is>
      </c>
      <c r="L477" s="21" t="inlineStr">
        <is>
          <t>+35.0%</t>
        </is>
      </c>
    </row>
    <row r="478">
      <c r="A478" s="15" t="inlineStr">
        <is>
          <t>TR-0477</t>
        </is>
      </c>
      <c r="B478" s="15" t="inlineStr">
        <is>
          <t>6210</t>
        </is>
      </c>
      <c r="C478" s="16" t="inlineStr">
        <is>
          <t>Forestry and Related Workers</t>
        </is>
      </c>
      <c r="D478" s="15" t="inlineStr">
        <is>
          <t>3143</t>
        </is>
      </c>
      <c r="E478" s="16" t="inlineStr">
        <is>
          <t>Forestry Technicians</t>
        </is>
      </c>
      <c r="F478" s="16" t="inlineStr">
        <is>
          <t>탄소중립 / 산업안전 / ESG</t>
        </is>
      </c>
      <c r="G478" s="15" t="inlineStr">
        <is>
          <t>vertical_promotion</t>
        </is>
      </c>
      <c r="H478" s="16" t="inlineStr">
        <is>
          <t>conducting, forest, inventories</t>
        </is>
      </c>
      <c r="I478" s="16" t="inlineStr">
        <is>
          <t>심화 Forestry Technicians 실무, 프로젝트 관리 역량</t>
        </is>
      </c>
      <c r="J478" s="16" t="inlineStr">
        <is>
          <t>실무 2년 이상 및 전문 자격</t>
        </is>
      </c>
      <c r="K478" s="15" t="inlineStr">
        <is>
          <t>★★★☆☆</t>
        </is>
      </c>
      <c r="L478" s="20" t="inlineStr">
        <is>
          <t>+25.0%</t>
        </is>
      </c>
    </row>
    <row r="479">
      <c r="A479" s="17" t="inlineStr">
        <is>
          <t>TR-0478</t>
        </is>
      </c>
      <c r="B479" s="17" t="inlineStr">
        <is>
          <t>6210</t>
        </is>
      </c>
      <c r="C479" s="18" t="inlineStr">
        <is>
          <t>Forestry and Related Workers</t>
        </is>
      </c>
      <c r="D479" s="17" t="inlineStr">
        <is>
          <t>8341</t>
        </is>
      </c>
      <c r="E479" s="18" t="inlineStr">
        <is>
          <t>Mobile Farm and Forestry Plant Operators</t>
        </is>
      </c>
      <c r="F479" s="18" t="inlineStr">
        <is>
          <t>탄소중립 / 산업안전 / ESG</t>
        </is>
      </c>
      <c r="G479" s="17" t="inlineStr">
        <is>
          <t>horizontal_transfer</t>
        </is>
      </c>
      <c r="H479" s="18" t="inlineStr">
        <is>
          <t>driving, tending, tractor</t>
        </is>
      </c>
      <c r="I479" s="18" t="inlineStr">
        <is>
          <t>심화 Mobile Farm and Forestry Plant Operators 실무, 프로젝트 관리 역량</t>
        </is>
      </c>
      <c r="J479" s="18" t="inlineStr">
        <is>
          <t>실무 1년 이상 및 전문 자격</t>
        </is>
      </c>
      <c r="K479" s="17" t="inlineStr">
        <is>
          <t>★★☆☆☆</t>
        </is>
      </c>
      <c r="L479" s="21" t="inlineStr">
        <is>
          <t>+15.0%</t>
        </is>
      </c>
    </row>
    <row r="480">
      <c r="A480" s="15" t="inlineStr">
        <is>
          <t>TR-0479</t>
        </is>
      </c>
      <c r="B480" s="15" t="inlineStr">
        <is>
          <t>6210</t>
        </is>
      </c>
      <c r="C480" s="16" t="inlineStr">
        <is>
          <t>Forestry and Related Workers</t>
        </is>
      </c>
      <c r="D480" s="15" t="inlineStr">
        <is>
          <t>9215</t>
        </is>
      </c>
      <c r="E480" s="16" t="inlineStr">
        <is>
          <t>Forestry Labourers</t>
        </is>
      </c>
      <c r="F480" s="16" t="inlineStr">
        <is>
          <t>탄소중립 / 산업안전 / ESG</t>
        </is>
      </c>
      <c r="G480" s="15" t="inlineStr">
        <is>
          <t>horizontal_transfer</t>
        </is>
      </c>
      <c r="H480" s="16" t="inlineStr">
        <is>
          <t>digging, holes, tree</t>
        </is>
      </c>
      <c r="I480" s="16" t="inlineStr">
        <is>
          <t>심화 Forestry Labourers 실무, 프로젝트 관리 역량</t>
        </is>
      </c>
      <c r="J480" s="16" t="inlineStr">
        <is>
          <t>실무 1년 이상 및 전문 자격</t>
        </is>
      </c>
      <c r="K480" s="15" t="inlineStr">
        <is>
          <t>★★☆☆☆</t>
        </is>
      </c>
      <c r="L480" s="20" t="inlineStr">
        <is>
          <t>+15.0%</t>
        </is>
      </c>
    </row>
    <row r="481">
      <c r="A481" s="17" t="inlineStr">
        <is>
          <t>TR-0480</t>
        </is>
      </c>
      <c r="B481" s="17" t="inlineStr">
        <is>
          <t>6221</t>
        </is>
      </c>
      <c r="C481" s="18" t="inlineStr">
        <is>
          <t>Aquaculture Workers</t>
        </is>
      </c>
      <c r="D481" s="17" t="inlineStr">
        <is>
          <t>1312</t>
        </is>
      </c>
      <c r="E481" s="18" t="inlineStr">
        <is>
          <t>Aquaculture and Fisheries Production Managers</t>
        </is>
      </c>
      <c r="F481" s="18" t="inlineStr">
        <is>
          <t>탄소중립 / 산업안전 / ESG</t>
        </is>
      </c>
      <c r="G481" s="17" t="inlineStr">
        <is>
          <t>vertical_promotion</t>
        </is>
      </c>
      <c r="H481" s="18" t="inlineStr">
        <is>
          <t>monitoring, aquaculture, fishery</t>
        </is>
      </c>
      <c r="I481" s="18" t="inlineStr">
        <is>
          <t>심화 Aquaculture and Fisheries Production Managers 실무, 프로젝트 관리 역량</t>
        </is>
      </c>
      <c r="J481" s="18" t="inlineStr">
        <is>
          <t>실무 6년 이상 및 전문 자격</t>
        </is>
      </c>
      <c r="K481" s="17" t="inlineStr">
        <is>
          <t>★★★★★</t>
        </is>
      </c>
      <c r="L481" s="21" t="inlineStr">
        <is>
          <t>+45.0%</t>
        </is>
      </c>
    </row>
    <row r="482">
      <c r="A482" s="15" t="inlineStr">
        <is>
          <t>TR-0481</t>
        </is>
      </c>
      <c r="B482" s="15" t="inlineStr">
        <is>
          <t>6221</t>
        </is>
      </c>
      <c r="C482" s="16" t="inlineStr">
        <is>
          <t>Aquaculture Workers</t>
        </is>
      </c>
      <c r="D482" s="15" t="inlineStr">
        <is>
          <t>9216</t>
        </is>
      </c>
      <c r="E482" s="16" t="inlineStr">
        <is>
          <t>Fishery and Aquaculture Labourers</t>
        </is>
      </c>
      <c r="F482" s="16" t="inlineStr">
        <is>
          <t>탄소중립 / 산업안전 / ESG</t>
        </is>
      </c>
      <c r="G482" s="15" t="inlineStr">
        <is>
          <t>horizontal_transfer</t>
        </is>
      </c>
      <c r="H482" s="16" t="inlineStr">
        <is>
          <t>cleaning, feeding, fish</t>
        </is>
      </c>
      <c r="I482" s="16" t="inlineStr">
        <is>
          <t>심화 Fishery and Aquaculture Labourers 실무, 프로젝트 관리 역량</t>
        </is>
      </c>
      <c r="J482" s="16" t="inlineStr">
        <is>
          <t>실무 1년 이상 및 전문 자격</t>
        </is>
      </c>
      <c r="K482" s="15" t="inlineStr">
        <is>
          <t>★★☆☆☆</t>
        </is>
      </c>
      <c r="L482" s="20" t="inlineStr">
        <is>
          <t>+15.0%</t>
        </is>
      </c>
    </row>
    <row r="483">
      <c r="A483" s="17" t="inlineStr">
        <is>
          <t>TR-0482</t>
        </is>
      </c>
      <c r="B483" s="17" t="inlineStr">
        <is>
          <t>6222</t>
        </is>
      </c>
      <c r="C483" s="18" t="inlineStr">
        <is>
          <t>Inland and Coastal Waters Fishery Workers</t>
        </is>
      </c>
      <c r="D483" s="17" t="inlineStr">
        <is>
          <t>1312</t>
        </is>
      </c>
      <c r="E483" s="18" t="inlineStr">
        <is>
          <t>Aquaculture and Fisheries Production Managers</t>
        </is>
      </c>
      <c r="F483" s="18" t="inlineStr">
        <is>
          <t>탄소중립 / 산업안전 / ESG</t>
        </is>
      </c>
      <c r="G483" s="17" t="inlineStr">
        <is>
          <t>vertical_promotion</t>
        </is>
      </c>
      <c r="H483" s="18" t="inlineStr">
        <is>
          <t>monitoring, aquaculture, fishery</t>
        </is>
      </c>
      <c r="I483" s="18" t="inlineStr">
        <is>
          <t>심화 Aquaculture and Fisheries Production Managers 실무, 프로젝트 관리 역량</t>
        </is>
      </c>
      <c r="J483" s="18" t="inlineStr">
        <is>
          <t>실무 6년 이상 및 전문 자격</t>
        </is>
      </c>
      <c r="K483" s="17" t="inlineStr">
        <is>
          <t>★★★★★</t>
        </is>
      </c>
      <c r="L483" s="21" t="inlineStr">
        <is>
          <t>+45.0%</t>
        </is>
      </c>
    </row>
    <row r="484">
      <c r="A484" s="15" t="inlineStr">
        <is>
          <t>TR-0483</t>
        </is>
      </c>
      <c r="B484" s="15" t="inlineStr">
        <is>
          <t>6222</t>
        </is>
      </c>
      <c r="C484" s="16" t="inlineStr">
        <is>
          <t>Inland and Coastal Waters Fishery Workers</t>
        </is>
      </c>
      <c r="D484" s="15" t="inlineStr">
        <is>
          <t>6223</t>
        </is>
      </c>
      <c r="E484" s="16" t="inlineStr">
        <is>
          <t>Deep-sea Fishery Workers</t>
        </is>
      </c>
      <c r="F484" s="16" t="inlineStr">
        <is>
          <t>탄소중립 / 산업안전 / ESG</t>
        </is>
      </c>
      <c r="G484" s="15" t="inlineStr">
        <is>
          <t>horizontal_transfer</t>
        </is>
      </c>
      <c r="H484" s="16" t="inlineStr">
        <is>
          <t>preparing, repairing, nets</t>
        </is>
      </c>
      <c r="I484" s="16" t="inlineStr">
        <is>
          <t>심화 Deep-sea Fishery Workers 실무, 프로젝트 관리 역량</t>
        </is>
      </c>
      <c r="J484" s="16" t="inlineStr">
        <is>
          <t>실무 1년 이상 및 전문 자격</t>
        </is>
      </c>
      <c r="K484" s="15" t="inlineStr">
        <is>
          <t>★★☆☆☆</t>
        </is>
      </c>
      <c r="L484" s="20" t="inlineStr">
        <is>
          <t>+15.0%</t>
        </is>
      </c>
    </row>
    <row r="485">
      <c r="A485" s="17" t="inlineStr">
        <is>
          <t>TR-0484</t>
        </is>
      </c>
      <c r="B485" s="17" t="inlineStr">
        <is>
          <t>6222</t>
        </is>
      </c>
      <c r="C485" s="18" t="inlineStr">
        <is>
          <t>Inland and Coastal Waters Fishery Workers</t>
        </is>
      </c>
      <c r="D485" s="17" t="inlineStr">
        <is>
          <t>7541</t>
        </is>
      </c>
      <c r="E485" s="18" t="inlineStr">
        <is>
          <t>Underwater Divers</t>
        </is>
      </c>
      <c r="F485" s="18" t="inlineStr">
        <is>
          <t>탄소중립 / 산업안전 / ESG</t>
        </is>
      </c>
      <c r="G485" s="17" t="inlineStr">
        <is>
          <t>horizontal_transfer</t>
        </is>
      </c>
      <c r="H485" s="18" t="inlineStr">
        <is>
          <t>taking, safety, precautions</t>
        </is>
      </c>
      <c r="I485" s="18" t="inlineStr">
        <is>
          <t>심화 Underwater Divers 실무, 프로젝트 관리 역량</t>
        </is>
      </c>
      <c r="J485" s="18" t="inlineStr">
        <is>
          <t>실무 1년 이상 및 전문 자격</t>
        </is>
      </c>
      <c r="K485" s="17" t="inlineStr">
        <is>
          <t>★★☆☆☆</t>
        </is>
      </c>
      <c r="L485" s="21" t="inlineStr">
        <is>
          <t>+15.0%</t>
        </is>
      </c>
    </row>
    <row r="486">
      <c r="A486" s="15" t="inlineStr">
        <is>
          <t>TR-0485</t>
        </is>
      </c>
      <c r="B486" s="15" t="inlineStr">
        <is>
          <t>6222</t>
        </is>
      </c>
      <c r="C486" s="16" t="inlineStr">
        <is>
          <t>Inland and Coastal Waters Fishery Workers</t>
        </is>
      </c>
      <c r="D486" s="15" t="inlineStr">
        <is>
          <t>9216</t>
        </is>
      </c>
      <c r="E486" s="16" t="inlineStr">
        <is>
          <t>Fishery and Aquaculture Labourers</t>
        </is>
      </c>
      <c r="F486" s="16" t="inlineStr">
        <is>
          <t>탄소중립 / 산업안전 / ESG</t>
        </is>
      </c>
      <c r="G486" s="15" t="inlineStr">
        <is>
          <t>horizontal_transfer</t>
        </is>
      </c>
      <c r="H486" s="16" t="inlineStr">
        <is>
          <t>cleaning, feeding, fish</t>
        </is>
      </c>
      <c r="I486" s="16" t="inlineStr">
        <is>
          <t>심화 Fishery and Aquaculture Labourers 실무, 프로젝트 관리 역량</t>
        </is>
      </c>
      <c r="J486" s="16" t="inlineStr">
        <is>
          <t>실무 1년 이상 및 전문 자격</t>
        </is>
      </c>
      <c r="K486" s="15" t="inlineStr">
        <is>
          <t>★★☆☆☆</t>
        </is>
      </c>
      <c r="L486" s="20" t="inlineStr">
        <is>
          <t>+15.0%</t>
        </is>
      </c>
    </row>
    <row r="487">
      <c r="A487" s="17" t="inlineStr">
        <is>
          <t>TR-0486</t>
        </is>
      </c>
      <c r="B487" s="17" t="inlineStr">
        <is>
          <t>6223</t>
        </is>
      </c>
      <c r="C487" s="18" t="inlineStr">
        <is>
          <t>Deep-sea Fishery Workers</t>
        </is>
      </c>
      <c r="D487" s="17" t="inlineStr">
        <is>
          <t>1312</t>
        </is>
      </c>
      <c r="E487" s="18" t="inlineStr">
        <is>
          <t>Aquaculture and Fisheries Production Managers</t>
        </is>
      </c>
      <c r="F487" s="18" t="inlineStr">
        <is>
          <t>탄소중립 / 산업안전 / ESG</t>
        </is>
      </c>
      <c r="G487" s="17" t="inlineStr">
        <is>
          <t>vertical_promotion</t>
        </is>
      </c>
      <c r="H487" s="18" t="inlineStr">
        <is>
          <t>monitoring, aquaculture, fishery</t>
        </is>
      </c>
      <c r="I487" s="18" t="inlineStr">
        <is>
          <t>심화 Aquaculture and Fisheries Production Managers 실무, 프로젝트 관리 역량</t>
        </is>
      </c>
      <c r="J487" s="18" t="inlineStr">
        <is>
          <t>실무 6년 이상 및 전문 자격</t>
        </is>
      </c>
      <c r="K487" s="17" t="inlineStr">
        <is>
          <t>★★★★★</t>
        </is>
      </c>
      <c r="L487" s="21" t="inlineStr">
        <is>
          <t>+45.0%</t>
        </is>
      </c>
    </row>
    <row r="488">
      <c r="A488" s="15" t="inlineStr">
        <is>
          <t>TR-0487</t>
        </is>
      </c>
      <c r="B488" s="15" t="inlineStr">
        <is>
          <t>6223</t>
        </is>
      </c>
      <c r="C488" s="16" t="inlineStr">
        <is>
          <t>Deep-sea Fishery Workers</t>
        </is>
      </c>
      <c r="D488" s="15" t="inlineStr">
        <is>
          <t>6222</t>
        </is>
      </c>
      <c r="E488" s="16" t="inlineStr">
        <is>
          <t>Inland and Coastal Waters Fishery Workers</t>
        </is>
      </c>
      <c r="F488" s="16" t="inlineStr">
        <is>
          <t>탄소중립 / 산업안전 / ESG</t>
        </is>
      </c>
      <c r="G488" s="15" t="inlineStr">
        <is>
          <t>horizontal_transfer</t>
        </is>
      </c>
      <c r="H488" s="16" t="inlineStr">
        <is>
          <t>preparing, repairing, nets</t>
        </is>
      </c>
      <c r="I488" s="16" t="inlineStr">
        <is>
          <t>심화 Inland and Coastal Waters Fishery Workers 실무, 프로젝트 관리 역량</t>
        </is>
      </c>
      <c r="J488" s="16" t="inlineStr">
        <is>
          <t>실무 1년 이상 및 전문 자격</t>
        </is>
      </c>
      <c r="K488" s="15" t="inlineStr">
        <is>
          <t>★★☆☆☆</t>
        </is>
      </c>
      <c r="L488" s="20" t="inlineStr">
        <is>
          <t>+15.0%</t>
        </is>
      </c>
    </row>
    <row r="489">
      <c r="A489" s="17" t="inlineStr">
        <is>
          <t>TR-0488</t>
        </is>
      </c>
      <c r="B489" s="17" t="inlineStr">
        <is>
          <t>6223</t>
        </is>
      </c>
      <c r="C489" s="18" t="inlineStr">
        <is>
          <t>Deep-sea Fishery Workers</t>
        </is>
      </c>
      <c r="D489" s="17" t="inlineStr">
        <is>
          <t>9216</t>
        </is>
      </c>
      <c r="E489" s="18" t="inlineStr">
        <is>
          <t>Fishery and Aquaculture Labourers</t>
        </is>
      </c>
      <c r="F489" s="18" t="inlineStr">
        <is>
          <t>탄소중립 / 산업안전 / ESG</t>
        </is>
      </c>
      <c r="G489" s="17" t="inlineStr">
        <is>
          <t>horizontal_transfer</t>
        </is>
      </c>
      <c r="H489" s="18" t="inlineStr">
        <is>
          <t>cleaning, feeding, fish</t>
        </is>
      </c>
      <c r="I489" s="18" t="inlineStr">
        <is>
          <t>심화 Fishery and Aquaculture Labourers 실무, 프로젝트 관리 역량</t>
        </is>
      </c>
      <c r="J489" s="18" t="inlineStr">
        <is>
          <t>실무 1년 이상 및 전문 자격</t>
        </is>
      </c>
      <c r="K489" s="17" t="inlineStr">
        <is>
          <t>★★☆☆☆</t>
        </is>
      </c>
      <c r="L489" s="21" t="inlineStr">
        <is>
          <t>+15.0%</t>
        </is>
      </c>
    </row>
    <row r="490">
      <c r="A490" s="15" t="inlineStr">
        <is>
          <t>TR-0489</t>
        </is>
      </c>
      <c r="B490" s="15" t="inlineStr">
        <is>
          <t>6310</t>
        </is>
      </c>
      <c r="C490" s="16" t="inlineStr">
        <is>
          <t>Subsistence Crop Farmers</t>
        </is>
      </c>
      <c r="D490" s="15" t="inlineStr">
        <is>
          <t>9211</t>
        </is>
      </c>
      <c r="E490" s="16" t="inlineStr">
        <is>
          <t>Crop Farm Labourers</t>
        </is>
      </c>
      <c r="F490" s="16" t="inlineStr">
        <is>
          <t>탄소중립 / 산업안전 / ESG</t>
        </is>
      </c>
      <c r="G490" s="15" t="inlineStr">
        <is>
          <t>horizontal_transfer</t>
        </is>
      </c>
      <c r="H490" s="16" t="inlineStr">
        <is>
          <t>digging, shovelling, clear</t>
        </is>
      </c>
      <c r="I490" s="16" t="inlineStr">
        <is>
          <t>심화 Crop Farm Labourers 실무, 프로젝트 관리 역량</t>
        </is>
      </c>
      <c r="J490" s="16" t="inlineStr">
        <is>
          <t>실무 1년 이상 및 전문 자격</t>
        </is>
      </c>
      <c r="K490" s="15" t="inlineStr">
        <is>
          <t>★★☆☆☆</t>
        </is>
      </c>
      <c r="L490" s="20" t="inlineStr">
        <is>
          <t>+15.0%</t>
        </is>
      </c>
    </row>
    <row r="491">
      <c r="A491" s="17" t="inlineStr">
        <is>
          <t>TR-0490</t>
        </is>
      </c>
      <c r="B491" s="17" t="inlineStr">
        <is>
          <t>6310</t>
        </is>
      </c>
      <c r="C491" s="18" t="inlineStr">
        <is>
          <t>Subsistence Crop Farmers</t>
        </is>
      </c>
      <c r="D491" s="17" t="inlineStr">
        <is>
          <t>9624</t>
        </is>
      </c>
      <c r="E491" s="18" t="inlineStr">
        <is>
          <t>Water and Firewood Collectors</t>
        </is>
      </c>
      <c r="F491" s="18" t="inlineStr">
        <is>
          <t>탄소중립 / 산업안전 / ESG</t>
        </is>
      </c>
      <c r="G491" s="17" t="inlineStr">
        <is>
          <t>horizontal_transfer</t>
        </is>
      </c>
      <c r="H491" s="18" t="inlineStr">
        <is>
          <t>cutting, collecting, wood</t>
        </is>
      </c>
      <c r="I491" s="18" t="inlineStr">
        <is>
          <t>심화 Water and Firewood Collectors 실무, 프로젝트 관리 역량</t>
        </is>
      </c>
      <c r="J491" s="18" t="inlineStr">
        <is>
          <t>실무 1년 이상 및 전문 자격</t>
        </is>
      </c>
      <c r="K491" s="17" t="inlineStr">
        <is>
          <t>★★☆☆☆</t>
        </is>
      </c>
      <c r="L491" s="21" t="inlineStr">
        <is>
          <t>+15.0%</t>
        </is>
      </c>
    </row>
    <row r="492">
      <c r="A492" s="15" t="inlineStr">
        <is>
          <t>TR-0491</t>
        </is>
      </c>
      <c r="B492" s="15" t="inlineStr">
        <is>
          <t>6320</t>
        </is>
      </c>
      <c r="C492" s="16" t="inlineStr">
        <is>
          <t>Subsistence Livestock Farmers</t>
        </is>
      </c>
      <c r="D492" s="15" t="inlineStr">
        <is>
          <t>9212</t>
        </is>
      </c>
      <c r="E492" s="16" t="inlineStr">
        <is>
          <t>Livestock Farm Labourers</t>
        </is>
      </c>
      <c r="F492" s="16" t="inlineStr">
        <is>
          <t>탄소중립 / 산업안전 / ESG</t>
        </is>
      </c>
      <c r="G492" s="15" t="inlineStr">
        <is>
          <t>horizontal_transfer</t>
        </is>
      </c>
      <c r="H492" s="16" t="inlineStr">
        <is>
          <t>digging, shovelling, clear</t>
        </is>
      </c>
      <c r="I492" s="16" t="inlineStr">
        <is>
          <t>심화 Livestock Farm Labourers 실무, 프로젝트 관리 역량</t>
        </is>
      </c>
      <c r="J492" s="16" t="inlineStr">
        <is>
          <t>실무 1년 이상 및 전문 자격</t>
        </is>
      </c>
      <c r="K492" s="15" t="inlineStr">
        <is>
          <t>★★☆☆☆</t>
        </is>
      </c>
      <c r="L492" s="20" t="inlineStr">
        <is>
          <t>+15.0%</t>
        </is>
      </c>
    </row>
    <row r="493">
      <c r="A493" s="17" t="inlineStr">
        <is>
          <t>TR-0492</t>
        </is>
      </c>
      <c r="B493" s="17" t="inlineStr">
        <is>
          <t>6320</t>
        </is>
      </c>
      <c r="C493" s="18" t="inlineStr">
        <is>
          <t>Subsistence Livestock Farmers</t>
        </is>
      </c>
      <c r="D493" s="17" t="inlineStr">
        <is>
          <t>9213</t>
        </is>
      </c>
      <c r="E493" s="18" t="inlineStr">
        <is>
          <t>Mixed Crop and Livestock Farm Labourers</t>
        </is>
      </c>
      <c r="F493" s="18" t="inlineStr">
        <is>
          <t>탄소중립 / 산업안전 / ESG</t>
        </is>
      </c>
      <c r="G493" s="17" t="inlineStr">
        <is>
          <t>horizontal_transfer</t>
        </is>
      </c>
      <c r="H493" s="18" t="inlineStr">
        <is>
          <t>digging, shovelling, clear</t>
        </is>
      </c>
      <c r="I493" s="18" t="inlineStr">
        <is>
          <t>심화 Mixed Crop and Livestock Farm Labourers 실무, 프로젝트 관리 역량</t>
        </is>
      </c>
      <c r="J493" s="18" t="inlineStr">
        <is>
          <t>실무 1년 이상 및 전문 자격</t>
        </is>
      </c>
      <c r="K493" s="17" t="inlineStr">
        <is>
          <t>★★☆☆☆</t>
        </is>
      </c>
      <c r="L493" s="21" t="inlineStr">
        <is>
          <t>+15.0%</t>
        </is>
      </c>
    </row>
    <row r="494">
      <c r="A494" s="15" t="inlineStr">
        <is>
          <t>TR-0493</t>
        </is>
      </c>
      <c r="B494" s="15" t="inlineStr">
        <is>
          <t>6320</t>
        </is>
      </c>
      <c r="C494" s="16" t="inlineStr">
        <is>
          <t>Subsistence Livestock Farmers</t>
        </is>
      </c>
      <c r="D494" s="15" t="inlineStr">
        <is>
          <t>9624</t>
        </is>
      </c>
      <c r="E494" s="16" t="inlineStr">
        <is>
          <t>Water and Firewood Collectors</t>
        </is>
      </c>
      <c r="F494" s="16" t="inlineStr">
        <is>
          <t>탄소중립 / 산업안전 / ESG</t>
        </is>
      </c>
      <c r="G494" s="15" t="inlineStr">
        <is>
          <t>horizontal_transfer</t>
        </is>
      </c>
      <c r="H494" s="16" t="inlineStr">
        <is>
          <t>cutting, collecting, wood</t>
        </is>
      </c>
      <c r="I494" s="16" t="inlineStr">
        <is>
          <t>심화 Water and Firewood Collectors 실무, 프로젝트 관리 역량</t>
        </is>
      </c>
      <c r="J494" s="16" t="inlineStr">
        <is>
          <t>실무 1년 이상 및 전문 자격</t>
        </is>
      </c>
      <c r="K494" s="15" t="inlineStr">
        <is>
          <t>★★☆☆☆</t>
        </is>
      </c>
      <c r="L494" s="20" t="inlineStr">
        <is>
          <t>+15.0%</t>
        </is>
      </c>
    </row>
    <row r="495">
      <c r="A495" s="17" t="inlineStr">
        <is>
          <t>TR-0494</t>
        </is>
      </c>
      <c r="B495" s="17" t="inlineStr">
        <is>
          <t>6340</t>
        </is>
      </c>
      <c r="C495" s="18" t="inlineStr">
        <is>
          <t>Subsistence Fishers, Hunters, Trappers and Gatherers</t>
        </is>
      </c>
      <c r="D495" s="17" t="inlineStr">
        <is>
          <t>6310</t>
        </is>
      </c>
      <c r="E495" s="18" t="inlineStr">
        <is>
          <t>Subsistence Crop Farmers</t>
        </is>
      </c>
      <c r="F495" s="18" t="inlineStr">
        <is>
          <t>탄소중립 / 산업안전 / ESG</t>
        </is>
      </c>
      <c r="G495" s="17" t="inlineStr">
        <is>
          <t>horizontal_transfer</t>
        </is>
      </c>
      <c r="H495" s="18" t="inlineStr">
        <is>
          <t>preparing, soil, sowing</t>
        </is>
      </c>
      <c r="I495" s="18" t="inlineStr">
        <is>
          <t>심화 Subsistence Crop Farmers 실무, 프로젝트 관리 역량</t>
        </is>
      </c>
      <c r="J495" s="18" t="inlineStr">
        <is>
          <t>실무 1년 이상 및 전문 자격</t>
        </is>
      </c>
      <c r="K495" s="17" t="inlineStr">
        <is>
          <t>★★☆☆☆</t>
        </is>
      </c>
      <c r="L495" s="21" t="inlineStr">
        <is>
          <t>+15.0%</t>
        </is>
      </c>
    </row>
    <row r="496">
      <c r="A496" s="15" t="inlineStr">
        <is>
          <t>TR-0495</t>
        </is>
      </c>
      <c r="B496" s="15" t="inlineStr">
        <is>
          <t>6340</t>
        </is>
      </c>
      <c r="C496" s="16" t="inlineStr">
        <is>
          <t>Subsistence Fishers, Hunters, Trappers and Gatherers</t>
        </is>
      </c>
      <c r="D496" s="15" t="inlineStr">
        <is>
          <t>6320</t>
        </is>
      </c>
      <c r="E496" s="16" t="inlineStr">
        <is>
          <t>Subsistence Livestock Farmers</t>
        </is>
      </c>
      <c r="F496" s="16" t="inlineStr">
        <is>
          <t>탄소중립 / 산업안전 / ESG</t>
        </is>
      </c>
      <c r="G496" s="15" t="inlineStr">
        <is>
          <t>horizontal_transfer</t>
        </is>
      </c>
      <c r="H496" s="16" t="inlineStr">
        <is>
          <t>cultivating, pastures, managing</t>
        </is>
      </c>
      <c r="I496" s="16" t="inlineStr">
        <is>
          <t>심화 Subsistence Livestock Farmers 실무, 프로젝트 관리 역량</t>
        </is>
      </c>
      <c r="J496" s="16" t="inlineStr">
        <is>
          <t>실무 1년 이상 및 전문 자격</t>
        </is>
      </c>
      <c r="K496" s="15" t="inlineStr">
        <is>
          <t>★★☆☆☆</t>
        </is>
      </c>
      <c r="L496" s="20" t="inlineStr">
        <is>
          <t>+15.0%</t>
        </is>
      </c>
    </row>
    <row r="497">
      <c r="A497" s="17" t="inlineStr">
        <is>
          <t>TR-0496</t>
        </is>
      </c>
      <c r="B497" s="17" t="inlineStr">
        <is>
          <t>6340</t>
        </is>
      </c>
      <c r="C497" s="18" t="inlineStr">
        <is>
          <t>Subsistence Fishers, Hunters, Trappers and Gatherers</t>
        </is>
      </c>
      <c r="D497" s="17" t="inlineStr">
        <is>
          <t>9212</t>
        </is>
      </c>
      <c r="E497" s="18" t="inlineStr">
        <is>
          <t>Livestock Farm Labourers</t>
        </is>
      </c>
      <c r="F497" s="18" t="inlineStr">
        <is>
          <t>탄소중립 / 산업안전 / ESG</t>
        </is>
      </c>
      <c r="G497" s="17" t="inlineStr">
        <is>
          <t>horizontal_transfer</t>
        </is>
      </c>
      <c r="H497" s="18" t="inlineStr">
        <is>
          <t>digging, shovelling, clear</t>
        </is>
      </c>
      <c r="I497" s="18" t="inlineStr">
        <is>
          <t>심화 Livestock Farm Labourers 실무, 프로젝트 관리 역량</t>
        </is>
      </c>
      <c r="J497" s="18" t="inlineStr">
        <is>
          <t>실무 1년 이상 및 전문 자격</t>
        </is>
      </c>
      <c r="K497" s="17" t="inlineStr">
        <is>
          <t>★★☆☆☆</t>
        </is>
      </c>
      <c r="L497" s="21" t="inlineStr">
        <is>
          <t>+15.0%</t>
        </is>
      </c>
    </row>
    <row r="498">
      <c r="A498" s="15" t="inlineStr">
        <is>
          <t>TR-0497</t>
        </is>
      </c>
      <c r="B498" s="15" t="inlineStr">
        <is>
          <t>6340</t>
        </is>
      </c>
      <c r="C498" s="16" t="inlineStr">
        <is>
          <t>Subsistence Fishers, Hunters, Trappers and Gatherers</t>
        </is>
      </c>
      <c r="D498" s="15" t="inlineStr">
        <is>
          <t>9624</t>
        </is>
      </c>
      <c r="E498" s="16" t="inlineStr">
        <is>
          <t>Water and Firewood Collectors</t>
        </is>
      </c>
      <c r="F498" s="16" t="inlineStr">
        <is>
          <t>탄소중립 / 산업안전 / ESG</t>
        </is>
      </c>
      <c r="G498" s="15" t="inlineStr">
        <is>
          <t>horizontal_transfer</t>
        </is>
      </c>
      <c r="H498" s="16" t="inlineStr">
        <is>
          <t>cutting, collecting, wood</t>
        </is>
      </c>
      <c r="I498" s="16" t="inlineStr">
        <is>
          <t>심화 Water and Firewood Collectors 실무, 프로젝트 관리 역량</t>
        </is>
      </c>
      <c r="J498" s="16" t="inlineStr">
        <is>
          <t>실무 1년 이상 및 전문 자격</t>
        </is>
      </c>
      <c r="K498" s="15" t="inlineStr">
        <is>
          <t>★★☆☆☆</t>
        </is>
      </c>
      <c r="L498" s="20" t="inlineStr">
        <is>
          <t>+15.0%</t>
        </is>
      </c>
    </row>
    <row r="499">
      <c r="A499" s="17" t="inlineStr">
        <is>
          <t>TR-0498</t>
        </is>
      </c>
      <c r="B499" s="17" t="inlineStr">
        <is>
          <t>7111</t>
        </is>
      </c>
      <c r="C499" s="18" t="inlineStr">
        <is>
          <t>House Builders</t>
        </is>
      </c>
      <c r="D499" s="17" t="inlineStr">
        <is>
          <t>1323</t>
        </is>
      </c>
      <c r="E499" s="18" t="inlineStr">
        <is>
          <t>Construction Managers</t>
        </is>
      </c>
      <c r="F499" s="18" t="inlineStr">
        <is>
          <t>스마트건축 / 토목 / 인프라</t>
        </is>
      </c>
      <c r="G499" s="17" t="inlineStr">
        <is>
          <t>vertical_promotion</t>
        </is>
      </c>
      <c r="H499" s="18" t="inlineStr">
        <is>
          <t>interpreting, architectural, drawings</t>
        </is>
      </c>
      <c r="I499" s="18" t="inlineStr">
        <is>
          <t>심화 Construction Managers 실무, 프로젝트 관리 역량</t>
        </is>
      </c>
      <c r="J499" s="18" t="inlineStr">
        <is>
          <t>실무 6년 이상 및 전문 자격</t>
        </is>
      </c>
      <c r="K499" s="17" t="inlineStr">
        <is>
          <t>★★★★★</t>
        </is>
      </c>
      <c r="L499" s="21" t="inlineStr">
        <is>
          <t>+45.0%</t>
        </is>
      </c>
    </row>
    <row r="500">
      <c r="A500" s="15" t="inlineStr">
        <is>
          <t>TR-0499</t>
        </is>
      </c>
      <c r="B500" s="15" t="inlineStr">
        <is>
          <t>7111</t>
        </is>
      </c>
      <c r="C500" s="16" t="inlineStr">
        <is>
          <t>House Builders</t>
        </is>
      </c>
      <c r="D500" s="15" t="inlineStr">
        <is>
          <t>3123</t>
        </is>
      </c>
      <c r="E500" s="16" t="inlineStr">
        <is>
          <t>Construction Supervisors</t>
        </is>
      </c>
      <c r="F500" s="16" t="inlineStr">
        <is>
          <t>스마트건축 / 토목 / 인프라</t>
        </is>
      </c>
      <c r="G500" s="15" t="inlineStr">
        <is>
          <t>vertical_promotion</t>
        </is>
      </c>
      <c r="H500" s="16" t="inlineStr">
        <is>
          <t>reading, specifications, determine</t>
        </is>
      </c>
      <c r="I500" s="16" t="inlineStr">
        <is>
          <t>심화 Construction Supervisors 실무, 프로젝트 관리 역량</t>
        </is>
      </c>
      <c r="J500" s="16" t="inlineStr">
        <is>
          <t>실무 2년 이상 및 전문 자격</t>
        </is>
      </c>
      <c r="K500" s="15" t="inlineStr">
        <is>
          <t>★★★☆☆</t>
        </is>
      </c>
      <c r="L500" s="20" t="inlineStr">
        <is>
          <t>+25.0%</t>
        </is>
      </c>
    </row>
    <row r="501">
      <c r="A501" s="17" t="inlineStr">
        <is>
          <t>TR-0500</t>
        </is>
      </c>
      <c r="B501" s="17" t="inlineStr">
        <is>
          <t>7112</t>
        </is>
      </c>
      <c r="C501" s="18" t="inlineStr">
        <is>
          <t>Bricklayers and Related Workers</t>
        </is>
      </c>
      <c r="D501" s="17" t="inlineStr">
        <is>
          <t>7113</t>
        </is>
      </c>
      <c r="E501" s="18" t="inlineStr">
        <is>
          <t>Stonemasons, Stone Cutters, Splitters and Carvers</t>
        </is>
      </c>
      <c r="F501" s="18" t="inlineStr">
        <is>
          <t>스마트건축 / 토목 / 인프라</t>
        </is>
      </c>
      <c r="G501" s="17" t="inlineStr">
        <is>
          <t>horizontal_transfer</t>
        </is>
      </c>
      <c r="H501" s="18" t="inlineStr">
        <is>
          <t>driving, wedges, into</t>
        </is>
      </c>
      <c r="I501" s="18" t="inlineStr">
        <is>
          <t>심화 Stonemasons, Stone Cutters, Splitters and Carvers 실무, 프로젝트 관리 역량</t>
        </is>
      </c>
      <c r="J501" s="18" t="inlineStr">
        <is>
          <t>실무 1년 이상 및 전문 자격</t>
        </is>
      </c>
      <c r="K501" s="17" t="inlineStr">
        <is>
          <t>★★☆☆☆</t>
        </is>
      </c>
      <c r="L501" s="21" t="inlineStr">
        <is>
          <t>+15.0%</t>
        </is>
      </c>
    </row>
    <row r="502">
      <c r="A502" s="15" t="inlineStr">
        <is>
          <t>TR-0501</t>
        </is>
      </c>
      <c r="B502" s="15" t="inlineStr">
        <is>
          <t>7113</t>
        </is>
      </c>
      <c r="C502" s="16" t="inlineStr">
        <is>
          <t>Stonemasons, Stone Cutters, Splitters and Carvers</t>
        </is>
      </c>
      <c r="D502" s="15" t="inlineStr">
        <is>
          <t>7122</t>
        </is>
      </c>
      <c r="E502" s="16" t="inlineStr">
        <is>
          <t>Floor Layers and Tile Setters</t>
        </is>
      </c>
      <c r="F502" s="16" t="inlineStr">
        <is>
          <t>스마트건축 / 토목 / 인프라</t>
        </is>
      </c>
      <c r="G502" s="15" t="inlineStr">
        <is>
          <t>horizontal_transfer</t>
        </is>
      </c>
      <c r="H502" s="16" t="inlineStr">
        <is>
          <t>preparing, floor, areas</t>
        </is>
      </c>
      <c r="I502" s="16" t="inlineStr">
        <is>
          <t>심화 Floor Layers and Tile Setters 실무, 프로젝트 관리 역량</t>
        </is>
      </c>
      <c r="J502" s="16" t="inlineStr">
        <is>
          <t>실무 1년 이상 및 전문 자격</t>
        </is>
      </c>
      <c r="K502" s="15" t="inlineStr">
        <is>
          <t>★★☆☆☆</t>
        </is>
      </c>
      <c r="L502" s="20" t="inlineStr">
        <is>
          <t>+15.0%</t>
        </is>
      </c>
    </row>
    <row r="503">
      <c r="A503" s="17" t="inlineStr">
        <is>
          <t>TR-0502</t>
        </is>
      </c>
      <c r="B503" s="17" t="inlineStr">
        <is>
          <t>7113</t>
        </is>
      </c>
      <c r="C503" s="18" t="inlineStr">
        <is>
          <t>Stonemasons, Stone Cutters, Splitters and Carvers</t>
        </is>
      </c>
      <c r="D503" s="17" t="inlineStr">
        <is>
          <t>8112</t>
        </is>
      </c>
      <c r="E503" s="18" t="inlineStr">
        <is>
          <t>Mineral and Stone Processing Plant Operators</t>
        </is>
      </c>
      <c r="F503" s="18" t="inlineStr">
        <is>
          <t>스마트건축 / 토목 / 인프라</t>
        </is>
      </c>
      <c r="G503" s="17" t="inlineStr">
        <is>
          <t>horizontal_transfer</t>
        </is>
      </c>
      <c r="H503" s="18" t="inlineStr">
        <is>
          <t>setting, operating, stationary</t>
        </is>
      </c>
      <c r="I503" s="18" t="inlineStr">
        <is>
          <t>심화 Mineral and Stone Processing Plant Operators 실무, 프로젝트 관리 역량</t>
        </is>
      </c>
      <c r="J503" s="18" t="inlineStr">
        <is>
          <t>실무 1년 이상 및 전문 자격</t>
        </is>
      </c>
      <c r="K503" s="17" t="inlineStr">
        <is>
          <t>★★☆☆☆</t>
        </is>
      </c>
      <c r="L503" s="21" t="inlineStr">
        <is>
          <t>+15.0%</t>
        </is>
      </c>
    </row>
    <row r="504">
      <c r="A504" s="15" t="inlineStr">
        <is>
          <t>TR-0503</t>
        </is>
      </c>
      <c r="B504" s="15" t="inlineStr">
        <is>
          <t>7114</t>
        </is>
      </c>
      <c r="C504" s="16" t="inlineStr">
        <is>
          <t>Concrete Placers, Concrete Finishers and Related Workers</t>
        </is>
      </c>
      <c r="D504" s="15" t="inlineStr">
        <is>
          <t>8114</t>
        </is>
      </c>
      <c r="E504" s="16" t="inlineStr">
        <is>
          <t>Cement, Stone and Other Mineral Products Machine Operators</t>
        </is>
      </c>
      <c r="F504" s="16" t="inlineStr">
        <is>
          <t>스마트건축 / 토목 / 인프라</t>
        </is>
      </c>
      <c r="G504" s="15" t="inlineStr">
        <is>
          <t>horizontal_transfer</t>
        </is>
      </c>
      <c r="H504" s="16" t="inlineStr">
        <is>
          <t>operating, extrusion, moulding</t>
        </is>
      </c>
      <c r="I504" s="16" t="inlineStr">
        <is>
          <t>심화 Cement, Stone and Other Mineral Products Machine Operators 실무, 프로젝트 관리 역량</t>
        </is>
      </c>
      <c r="J504" s="16" t="inlineStr">
        <is>
          <t>실무 1년 이상 및 전문 자격</t>
        </is>
      </c>
      <c r="K504" s="15" t="inlineStr">
        <is>
          <t>★★☆☆☆</t>
        </is>
      </c>
      <c r="L504" s="20" t="inlineStr">
        <is>
          <t>+15.0%</t>
        </is>
      </c>
    </row>
    <row r="505">
      <c r="A505" s="17" t="inlineStr">
        <is>
          <t>TR-0504</t>
        </is>
      </c>
      <c r="B505" s="17" t="inlineStr">
        <is>
          <t>7114</t>
        </is>
      </c>
      <c r="C505" s="18" t="inlineStr">
        <is>
          <t>Concrete Placers, Concrete Finishers and Related Workers</t>
        </is>
      </c>
      <c r="D505" s="17" t="inlineStr">
        <is>
          <t>8342</t>
        </is>
      </c>
      <c r="E505" s="18" t="inlineStr">
        <is>
          <t>Earthmoving and Related Plant Operators</t>
        </is>
      </c>
      <c r="F505" s="18" t="inlineStr">
        <is>
          <t>스마트건축 / 토목 / 인프라</t>
        </is>
      </c>
      <c r="G505" s="17" t="inlineStr">
        <is>
          <t>horizontal_transfer</t>
        </is>
      </c>
      <c r="H505" s="18" t="inlineStr">
        <is>
          <t>operating, monitoring, excavating</t>
        </is>
      </c>
      <c r="I505" s="18" t="inlineStr">
        <is>
          <t>심화 Earthmoving and Related Plant Operators 실무, 프로젝트 관리 역량</t>
        </is>
      </c>
      <c r="J505" s="18" t="inlineStr">
        <is>
          <t>실무 1년 이상 및 전문 자격</t>
        </is>
      </c>
      <c r="K505" s="17" t="inlineStr">
        <is>
          <t>★★☆☆☆</t>
        </is>
      </c>
      <c r="L505" s="21" t="inlineStr">
        <is>
          <t>+15.0%</t>
        </is>
      </c>
    </row>
    <row r="506">
      <c r="A506" s="15" t="inlineStr">
        <is>
          <t>TR-0505</t>
        </is>
      </c>
      <c r="B506" s="15" t="inlineStr">
        <is>
          <t>7115</t>
        </is>
      </c>
      <c r="C506" s="16" t="inlineStr">
        <is>
          <t>Carpenters and Joiners</t>
        </is>
      </c>
      <c r="D506" s="15" t="inlineStr">
        <is>
          <t>7522</t>
        </is>
      </c>
      <c r="E506" s="16" t="inlineStr">
        <is>
          <t>Cabinet-makers and Related Workers</t>
        </is>
      </c>
      <c r="F506" s="16" t="inlineStr">
        <is>
          <t>스마트건축 / 토목 / 인프라</t>
        </is>
      </c>
      <c r="G506" s="15" t="inlineStr">
        <is>
          <t>horizontal_transfer</t>
        </is>
      </c>
      <c r="H506" s="16" t="inlineStr">
        <is>
          <t>operating, woodworking, machines</t>
        </is>
      </c>
      <c r="I506" s="16" t="inlineStr">
        <is>
          <t>심화 Cabinet-makers and Related Workers 실무, 프로젝트 관리 역량</t>
        </is>
      </c>
      <c r="J506" s="16" t="inlineStr">
        <is>
          <t>실무 1년 이상 및 전문 자격</t>
        </is>
      </c>
      <c r="K506" s="15" t="inlineStr">
        <is>
          <t>★★☆☆☆</t>
        </is>
      </c>
      <c r="L506" s="20" t="inlineStr">
        <is>
          <t>+15.0%</t>
        </is>
      </c>
    </row>
    <row r="507">
      <c r="A507" s="17" t="inlineStr">
        <is>
          <t>TR-0506</t>
        </is>
      </c>
      <c r="B507" s="17" t="inlineStr">
        <is>
          <t>7119</t>
        </is>
      </c>
      <c r="C507" s="18" t="inlineStr">
        <is>
          <t>Building Frame and Related Trades Workers Not Elsewhere Classified</t>
        </is>
      </c>
      <c r="D507" s="17" t="inlineStr">
        <is>
          <t>9313</t>
        </is>
      </c>
      <c r="E507" s="18" t="inlineStr">
        <is>
          <t>Building Construction Labourers</t>
        </is>
      </c>
      <c r="F507" s="18" t="inlineStr">
        <is>
          <t>스마트건축 / 토목 / 인프라</t>
        </is>
      </c>
      <c r="G507" s="17" t="inlineStr">
        <is>
          <t>horizontal_transfer</t>
        </is>
      </c>
      <c r="H507" s="18" t="inlineStr">
        <is>
          <t>cleaning, used, building</t>
        </is>
      </c>
      <c r="I507" s="18" t="inlineStr">
        <is>
          <t>심화 Building Construction Labourers 실무, 프로젝트 관리 역량</t>
        </is>
      </c>
      <c r="J507" s="18" t="inlineStr">
        <is>
          <t>실무 1년 이상 및 전문 자격</t>
        </is>
      </c>
      <c r="K507" s="17" t="inlineStr">
        <is>
          <t>★★☆☆☆</t>
        </is>
      </c>
      <c r="L507" s="21" t="inlineStr">
        <is>
          <t>+15.0%</t>
        </is>
      </c>
    </row>
    <row r="508">
      <c r="A508" s="15" t="inlineStr">
        <is>
          <t>TR-0507</t>
        </is>
      </c>
      <c r="B508" s="15" t="inlineStr">
        <is>
          <t>7125</t>
        </is>
      </c>
      <c r="C508" s="16" t="inlineStr">
        <is>
          <t>Glaziers</t>
        </is>
      </c>
      <c r="D508" s="15" t="inlineStr">
        <is>
          <t>7315</t>
        </is>
      </c>
      <c r="E508" s="16" t="inlineStr">
        <is>
          <t>Glass Makers, Cutters, Grinders and Finishers</t>
        </is>
      </c>
      <c r="F508" s="16" t="inlineStr">
        <is>
          <t>스마트건축 / 토목 / 인프라</t>
        </is>
      </c>
      <c r="G508" s="15" t="inlineStr">
        <is>
          <t>horizontal_transfer</t>
        </is>
      </c>
      <c r="H508" s="16" t="inlineStr">
        <is>
          <t>heating, glass, pliable</t>
        </is>
      </c>
      <c r="I508" s="16" t="inlineStr">
        <is>
          <t>심화 Glass Makers, Cutters, Grinders and Finishers 실무, 프로젝트 관리 역량</t>
        </is>
      </c>
      <c r="J508" s="16" t="inlineStr">
        <is>
          <t>실무 1년 이상 및 전문 자격</t>
        </is>
      </c>
      <c r="K508" s="15" t="inlineStr">
        <is>
          <t>★★☆☆☆</t>
        </is>
      </c>
      <c r="L508" s="20" t="inlineStr">
        <is>
          <t>+15.0%</t>
        </is>
      </c>
    </row>
    <row r="509">
      <c r="A509" s="17" t="inlineStr">
        <is>
          <t>TR-0508</t>
        </is>
      </c>
      <c r="B509" s="17" t="inlineStr">
        <is>
          <t>7126</t>
        </is>
      </c>
      <c r="C509" s="18" t="inlineStr">
        <is>
          <t>Plumbers and Pipe Fitters</t>
        </is>
      </c>
      <c r="D509" s="17" t="inlineStr">
        <is>
          <t>7127</t>
        </is>
      </c>
      <c r="E509" s="18" t="inlineStr">
        <is>
          <t>Air Conditioning and Refrigeration Mechanics</t>
        </is>
      </c>
      <c r="F509" s="18" t="inlineStr">
        <is>
          <t>스마트건축 / 토목 / 인프라</t>
        </is>
      </c>
      <c r="G509" s="17" t="inlineStr">
        <is>
          <t>horizontal_transfer</t>
        </is>
      </c>
      <c r="H509" s="18" t="inlineStr">
        <is>
          <t>interpreting, blueprints, drawings</t>
        </is>
      </c>
      <c r="I509" s="18" t="inlineStr">
        <is>
          <t>심화 Air Conditioning and Refrigeration Mechanics 실무, 프로젝트 관리 역량</t>
        </is>
      </c>
      <c r="J509" s="18" t="inlineStr">
        <is>
          <t>실무 1년 이상 및 전문 자격</t>
        </is>
      </c>
      <c r="K509" s="17" t="inlineStr">
        <is>
          <t>★★☆☆☆</t>
        </is>
      </c>
      <c r="L509" s="21" t="inlineStr">
        <is>
          <t>+15.0%</t>
        </is>
      </c>
    </row>
    <row r="510">
      <c r="A510" s="15" t="inlineStr">
        <is>
          <t>TR-0509</t>
        </is>
      </c>
      <c r="B510" s="15" t="inlineStr">
        <is>
          <t>7127</t>
        </is>
      </c>
      <c r="C510" s="16" t="inlineStr">
        <is>
          <t>Air Conditioning and Refrigeration Mechanics</t>
        </is>
      </c>
      <c r="D510" s="15" t="inlineStr">
        <is>
          <t>7126</t>
        </is>
      </c>
      <c r="E510" s="16" t="inlineStr">
        <is>
          <t>Plumbers and Pipe Fitters</t>
        </is>
      </c>
      <c r="F510" s="16" t="inlineStr">
        <is>
          <t>스마트건축 / 토목 / 인프라</t>
        </is>
      </c>
      <c r="G510" s="15" t="inlineStr">
        <is>
          <t>horizontal_transfer</t>
        </is>
      </c>
      <c r="H510" s="16" t="inlineStr">
        <is>
          <t>examining, blueprints, drawings</t>
        </is>
      </c>
      <c r="I510" s="16" t="inlineStr">
        <is>
          <t>심화 Plumbers and Pipe Fitters 실무, 프로젝트 관리 역량</t>
        </is>
      </c>
      <c r="J510" s="16" t="inlineStr">
        <is>
          <t>실무 1년 이상 및 전문 자격</t>
        </is>
      </c>
      <c r="K510" s="15" t="inlineStr">
        <is>
          <t>★★☆☆☆</t>
        </is>
      </c>
      <c r="L510" s="20" t="inlineStr">
        <is>
          <t>+15.0%</t>
        </is>
      </c>
    </row>
    <row r="511">
      <c r="A511" s="17" t="inlineStr">
        <is>
          <t>TR-0510</t>
        </is>
      </c>
      <c r="B511" s="17" t="inlineStr">
        <is>
          <t>7132</t>
        </is>
      </c>
      <c r="C511" s="18" t="inlineStr">
        <is>
          <t>Spray Painters and Varnishers</t>
        </is>
      </c>
      <c r="D511" s="17" t="inlineStr">
        <is>
          <t>7131</t>
        </is>
      </c>
      <c r="E511" s="18" t="inlineStr">
        <is>
          <t>Painters and Related Workers</t>
        </is>
      </c>
      <c r="F511" s="18" t="inlineStr">
        <is>
          <t>스마트건축 / 토목 / 인프라</t>
        </is>
      </c>
      <c r="G511" s="17" t="inlineStr">
        <is>
          <t>horizontal_transfer</t>
        </is>
      </c>
      <c r="H511" s="18" t="inlineStr">
        <is>
          <t>cleaning, preparing, walls</t>
        </is>
      </c>
      <c r="I511" s="18" t="inlineStr">
        <is>
          <t>심화 Painters and Related Workers 실무, 프로젝트 관리 역량</t>
        </is>
      </c>
      <c r="J511" s="18" t="inlineStr">
        <is>
          <t>실무 1년 이상 및 전문 자격</t>
        </is>
      </c>
      <c r="K511" s="17" t="inlineStr">
        <is>
          <t>★★☆☆☆</t>
        </is>
      </c>
      <c r="L511" s="21" t="inlineStr">
        <is>
          <t>+15.0%</t>
        </is>
      </c>
    </row>
    <row r="512">
      <c r="A512" s="15" t="inlineStr">
        <is>
          <t>TR-0511</t>
        </is>
      </c>
      <c r="B512" s="15" t="inlineStr">
        <is>
          <t>7132</t>
        </is>
      </c>
      <c r="C512" s="16" t="inlineStr">
        <is>
          <t>Spray Painters and Varnishers</t>
        </is>
      </c>
      <c r="D512" s="15" t="inlineStr">
        <is>
          <t>7316</t>
        </is>
      </c>
      <c r="E512" s="16" t="inlineStr">
        <is>
          <t>Sign Writers, Decorative Painters, Engravers and Etchers</t>
        </is>
      </c>
      <c r="F512" s="16" t="inlineStr">
        <is>
          <t>스마트건축 / 토목 / 인프라</t>
        </is>
      </c>
      <c r="G512" s="15" t="inlineStr">
        <is>
          <t>horizontal_transfer</t>
        </is>
      </c>
      <c r="H512" s="16" t="inlineStr">
        <is>
          <t>painting, decorative, freehand</t>
        </is>
      </c>
      <c r="I512" s="16" t="inlineStr">
        <is>
          <t>심화 Sign Writers, Decorative Painters, Engravers and Etchers 실무, 프로젝트 관리 역량</t>
        </is>
      </c>
      <c r="J512" s="16" t="inlineStr">
        <is>
          <t>실무 1년 이상 및 전문 자격</t>
        </is>
      </c>
      <c r="K512" s="15" t="inlineStr">
        <is>
          <t>★★☆☆☆</t>
        </is>
      </c>
      <c r="L512" s="20" t="inlineStr">
        <is>
          <t>+15.0%</t>
        </is>
      </c>
    </row>
    <row r="513">
      <c r="A513" s="17" t="inlineStr">
        <is>
          <t>TR-0512</t>
        </is>
      </c>
      <c r="B513" s="17" t="inlineStr">
        <is>
          <t>7132</t>
        </is>
      </c>
      <c r="C513" s="18" t="inlineStr">
        <is>
          <t>Spray Painters and Varnishers</t>
        </is>
      </c>
      <c r="D513" s="17" t="inlineStr">
        <is>
          <t>7521</t>
        </is>
      </c>
      <c r="E513" s="18" t="inlineStr">
        <is>
          <t>Wood Treaters</t>
        </is>
      </c>
      <c r="F513" s="18" t="inlineStr">
        <is>
          <t>스마트건축 / 토목 / 인프라</t>
        </is>
      </c>
      <c r="G513" s="17" t="inlineStr">
        <is>
          <t>horizontal_transfer</t>
        </is>
      </c>
      <c r="H513" s="18" t="inlineStr">
        <is>
          <t>operating, tending, kilns</t>
        </is>
      </c>
      <c r="I513" s="18" t="inlineStr">
        <is>
          <t>심화 Wood Treaters 실무, 프로젝트 관리 역량</t>
        </is>
      </c>
      <c r="J513" s="18" t="inlineStr">
        <is>
          <t>실무 1년 이상 및 전문 자격</t>
        </is>
      </c>
      <c r="K513" s="17" t="inlineStr">
        <is>
          <t>★★☆☆☆</t>
        </is>
      </c>
      <c r="L513" s="21" t="inlineStr">
        <is>
          <t>+15.0%</t>
        </is>
      </c>
    </row>
    <row r="514">
      <c r="A514" s="15" t="inlineStr">
        <is>
          <t>TR-0513</t>
        </is>
      </c>
      <c r="B514" s="15" t="inlineStr">
        <is>
          <t>7132</t>
        </is>
      </c>
      <c r="C514" s="16" t="inlineStr">
        <is>
          <t>Spray Painters and Varnishers</t>
        </is>
      </c>
      <c r="D514" s="15" t="inlineStr">
        <is>
          <t>8122</t>
        </is>
      </c>
      <c r="E514" s="16" t="inlineStr">
        <is>
          <t>Metal Finishing, Plating and Coating Machine Operators</t>
        </is>
      </c>
      <c r="F514" s="16" t="inlineStr">
        <is>
          <t>스마트건축 / 토목 / 인프라</t>
        </is>
      </c>
      <c r="G514" s="15" t="inlineStr">
        <is>
          <t>horizontal_transfer</t>
        </is>
      </c>
      <c r="H514" s="16" t="inlineStr">
        <is>
          <t>operating, monitoring, equipment</t>
        </is>
      </c>
      <c r="I514" s="16" t="inlineStr">
        <is>
          <t>심화 Metal Finishing, Plating and Coating Machine Operators 실무, 프로젝트 관리 역량</t>
        </is>
      </c>
      <c r="J514" s="16" t="inlineStr">
        <is>
          <t>실무 1년 이상 및 전문 자격</t>
        </is>
      </c>
      <c r="K514" s="15" t="inlineStr">
        <is>
          <t>★★☆☆☆</t>
        </is>
      </c>
      <c r="L514" s="20" t="inlineStr">
        <is>
          <t>+15.0%</t>
        </is>
      </c>
    </row>
    <row r="515">
      <c r="A515" s="17" t="inlineStr">
        <is>
          <t>TR-0514</t>
        </is>
      </c>
      <c r="B515" s="17" t="inlineStr">
        <is>
          <t>7133</t>
        </is>
      </c>
      <c r="C515" s="18" t="inlineStr">
        <is>
          <t>Building Structure Cleaners</t>
        </is>
      </c>
      <c r="D515" s="17" t="inlineStr">
        <is>
          <t>9129</t>
        </is>
      </c>
      <c r="E515" s="18" t="inlineStr">
        <is>
          <t>Other Cleaning Workers</t>
        </is>
      </c>
      <c r="F515" s="18" t="inlineStr">
        <is>
          <t>스마트건축 / 토목 / 인프라</t>
        </is>
      </c>
      <c r="G515" s="17" t="inlineStr">
        <is>
          <t>horizontal_transfer</t>
        </is>
      </c>
      <c r="H515" s="18" t="inlineStr">
        <is>
          <t>such, instances, would</t>
        </is>
      </c>
      <c r="I515" s="18" t="inlineStr">
        <is>
          <t>심화 Other Cleaning Workers 실무, 프로젝트 관리 역량</t>
        </is>
      </c>
      <c r="J515" s="18" t="inlineStr">
        <is>
          <t>실무 1년 이상 및 전문 자격</t>
        </is>
      </c>
      <c r="K515" s="17" t="inlineStr">
        <is>
          <t>★★☆☆☆</t>
        </is>
      </c>
      <c r="L515" s="21" t="inlineStr">
        <is>
          <t>+15.0%</t>
        </is>
      </c>
    </row>
    <row r="516">
      <c r="A516" s="15" t="inlineStr">
        <is>
          <t>TR-0515</t>
        </is>
      </c>
      <c r="B516" s="15" t="inlineStr">
        <is>
          <t>7214</t>
        </is>
      </c>
      <c r="C516" s="16" t="inlineStr">
        <is>
          <t>Structural Metal Preparers and Erectors</t>
        </is>
      </c>
      <c r="D516" s="15" t="inlineStr">
        <is>
          <t>7223</t>
        </is>
      </c>
      <c r="E516" s="16" t="inlineStr">
        <is>
          <t>Metal Working Machine Tool Setters and  Operators</t>
        </is>
      </c>
      <c r="F516" s="16" t="inlineStr">
        <is>
          <t>모빌리티 / 자율주행 / 로보틱스</t>
        </is>
      </c>
      <c r="G516" s="15" t="inlineStr">
        <is>
          <t>horizontal_transfer</t>
        </is>
      </c>
      <c r="H516" s="16" t="inlineStr">
        <is>
          <t>setting, more, types</t>
        </is>
      </c>
      <c r="I516" s="16" t="inlineStr">
        <is>
          <t>심화 Metal Working Machine Tool Setters and  Operators 실무, 프로젝트 관리 역량</t>
        </is>
      </c>
      <c r="J516" s="16" t="inlineStr">
        <is>
          <t>실무 1년 이상 및 전문 자격</t>
        </is>
      </c>
      <c r="K516" s="15" t="inlineStr">
        <is>
          <t>★★☆☆☆</t>
        </is>
      </c>
      <c r="L516" s="20" t="inlineStr">
        <is>
          <t>+15.0%</t>
        </is>
      </c>
    </row>
    <row r="517">
      <c r="A517" s="17" t="inlineStr">
        <is>
          <t>TR-0516</t>
        </is>
      </c>
      <c r="B517" s="17" t="inlineStr">
        <is>
          <t>7215</t>
        </is>
      </c>
      <c r="C517" s="18" t="inlineStr">
        <is>
          <t>Riggers and Cable Splicers</t>
        </is>
      </c>
      <c r="D517" s="17" t="inlineStr">
        <is>
          <t>8189</t>
        </is>
      </c>
      <c r="E517" s="18" t="inlineStr">
        <is>
          <t>Stationary Plant and Machine Operators Not Elsewhere Classified</t>
        </is>
      </c>
      <c r="F517" s="18" t="inlineStr">
        <is>
          <t>모빌리티 / 자율주행 / 로보틱스</t>
        </is>
      </c>
      <c r="G517" s="17" t="inlineStr">
        <is>
          <t>horizontal_transfer</t>
        </is>
      </c>
      <c r="H517" s="18" t="inlineStr">
        <is>
          <t>Stationary Plant and Machine Operators Not Elsewhere Classified 실무, 표준 프로세스 준수, 데이터/지표 분석</t>
        </is>
      </c>
      <c r="I517" s="18" t="inlineStr">
        <is>
          <t>심화 Stationary Plant and Machine Operators Not Elsewhere Classified 실무, 프로젝트 관리 역량</t>
        </is>
      </c>
      <c r="J517" s="18" t="inlineStr">
        <is>
          <t>실무 1년 이상 및 전문 자격</t>
        </is>
      </c>
      <c r="K517" s="17" t="inlineStr">
        <is>
          <t>★★☆☆☆</t>
        </is>
      </c>
      <c r="L517" s="21" t="inlineStr">
        <is>
          <t>+15.0%</t>
        </is>
      </c>
    </row>
    <row r="518">
      <c r="A518" s="15" t="inlineStr">
        <is>
          <t>TR-0517</t>
        </is>
      </c>
      <c r="B518" s="15" t="inlineStr">
        <is>
          <t>7215</t>
        </is>
      </c>
      <c r="C518" s="16" t="inlineStr">
        <is>
          <t>Riggers and Cable Splicers</t>
        </is>
      </c>
      <c r="D518" s="15" t="inlineStr">
        <is>
          <t>8343</t>
        </is>
      </c>
      <c r="E518" s="16" t="inlineStr">
        <is>
          <t>Crane, hoist and related plant operators</t>
        </is>
      </c>
      <c r="F518" s="16" t="inlineStr">
        <is>
          <t>모빌리티 / 자율주행 / 로보틱스</t>
        </is>
      </c>
      <c r="G518" s="15" t="inlineStr">
        <is>
          <t>horizontal_transfer</t>
        </is>
      </c>
      <c r="H518" s="16" t="inlineStr">
        <is>
          <t>operating, monitoring, stationary</t>
        </is>
      </c>
      <c r="I518" s="16" t="inlineStr">
        <is>
          <t>심화 Crane, hoist and related plant operators 실무, 프로젝트 관리 역량</t>
        </is>
      </c>
      <c r="J518" s="16" t="inlineStr">
        <is>
          <t>실무 1년 이상 및 전문 자격</t>
        </is>
      </c>
      <c r="K518" s="15" t="inlineStr">
        <is>
          <t>★★☆☆☆</t>
        </is>
      </c>
      <c r="L518" s="20" t="inlineStr">
        <is>
          <t>+15.0%</t>
        </is>
      </c>
    </row>
    <row r="519">
      <c r="A519" s="17" t="inlineStr">
        <is>
          <t>TR-0518</t>
        </is>
      </c>
      <c r="B519" s="17" t="inlineStr">
        <is>
          <t>7221</t>
        </is>
      </c>
      <c r="C519" s="18" t="inlineStr">
        <is>
          <t>Blacksmiths, Hammersmiths and Forging Press Workers</t>
        </is>
      </c>
      <c r="D519" s="17" t="inlineStr">
        <is>
          <t>7223</t>
        </is>
      </c>
      <c r="E519" s="18" t="inlineStr">
        <is>
          <t>Metal Working Machine Tool Setters and  Operators</t>
        </is>
      </c>
      <c r="F519" s="18" t="inlineStr">
        <is>
          <t>모빌리티 / 자율주행 / 로보틱스</t>
        </is>
      </c>
      <c r="G519" s="17" t="inlineStr">
        <is>
          <t>horizontal_transfer</t>
        </is>
      </c>
      <c r="H519" s="18" t="inlineStr">
        <is>
          <t>setting, more, types</t>
        </is>
      </c>
      <c r="I519" s="18" t="inlineStr">
        <is>
          <t>심화 Metal Working Machine Tool Setters and  Operators 실무, 프로젝트 관리 역량</t>
        </is>
      </c>
      <c r="J519" s="18" t="inlineStr">
        <is>
          <t>실무 1년 이상 및 전문 자격</t>
        </is>
      </c>
      <c r="K519" s="17" t="inlineStr">
        <is>
          <t>★★☆☆☆</t>
        </is>
      </c>
      <c r="L519" s="21" t="inlineStr">
        <is>
          <t>+15.0%</t>
        </is>
      </c>
    </row>
    <row r="520">
      <c r="A520" s="15" t="inlineStr">
        <is>
          <t>TR-0519</t>
        </is>
      </c>
      <c r="B520" s="15" t="inlineStr">
        <is>
          <t>7222</t>
        </is>
      </c>
      <c r="C520" s="16" t="inlineStr">
        <is>
          <t>Toolmakers and Related Workers</t>
        </is>
      </c>
      <c r="D520" s="15" t="inlineStr">
        <is>
          <t>7223</t>
        </is>
      </c>
      <c r="E520" s="16" t="inlineStr">
        <is>
          <t>Metal Working Machine Tool Setters and  Operators</t>
        </is>
      </c>
      <c r="F520" s="16" t="inlineStr">
        <is>
          <t>모빌리티 / 자율주행 / 로보틱스</t>
        </is>
      </c>
      <c r="G520" s="15" t="inlineStr">
        <is>
          <t>horizontal_transfer</t>
        </is>
      </c>
      <c r="H520" s="16" t="inlineStr">
        <is>
          <t>setting, more, types</t>
        </is>
      </c>
      <c r="I520" s="16" t="inlineStr">
        <is>
          <t>심화 Metal Working Machine Tool Setters and  Operators 실무, 프로젝트 관리 역량</t>
        </is>
      </c>
      <c r="J520" s="16" t="inlineStr">
        <is>
          <t>실무 1년 이상 및 전문 자격</t>
        </is>
      </c>
      <c r="K520" s="15" t="inlineStr">
        <is>
          <t>★★☆☆☆</t>
        </is>
      </c>
      <c r="L520" s="20" t="inlineStr">
        <is>
          <t>+15.0%</t>
        </is>
      </c>
    </row>
    <row r="521">
      <c r="A521" s="17" t="inlineStr">
        <is>
          <t>TR-0520</t>
        </is>
      </c>
      <c r="B521" s="17" t="inlineStr">
        <is>
          <t>7224</t>
        </is>
      </c>
      <c r="C521" s="18" t="inlineStr">
        <is>
          <t>Metal Polishers, Wheel Grinders and Tool Sharpeners</t>
        </is>
      </c>
      <c r="D521" s="17" t="inlineStr">
        <is>
          <t>8122</t>
        </is>
      </c>
      <c r="E521" s="18" t="inlineStr">
        <is>
          <t>Metal Finishing, Plating and Coating Machine Operators</t>
        </is>
      </c>
      <c r="F521" s="18" t="inlineStr">
        <is>
          <t>모빌리티 / 자율주행 / 로보틱스</t>
        </is>
      </c>
      <c r="G521" s="17" t="inlineStr">
        <is>
          <t>horizontal_transfer</t>
        </is>
      </c>
      <c r="H521" s="18" t="inlineStr">
        <is>
          <t>operating, monitoring, equipment</t>
        </is>
      </c>
      <c r="I521" s="18" t="inlineStr">
        <is>
          <t>심화 Metal Finishing, Plating and Coating Machine Operators 실무, 프로젝트 관리 역량</t>
        </is>
      </c>
      <c r="J521" s="18" t="inlineStr">
        <is>
          <t>실무 1년 이상 및 전문 자격</t>
        </is>
      </c>
      <c r="K521" s="17" t="inlineStr">
        <is>
          <t>★★☆☆☆</t>
        </is>
      </c>
      <c r="L521" s="21" t="inlineStr">
        <is>
          <t>+15.0%</t>
        </is>
      </c>
    </row>
    <row r="522">
      <c r="A522" s="15" t="inlineStr">
        <is>
          <t>TR-0521</t>
        </is>
      </c>
      <c r="B522" s="15" t="inlineStr">
        <is>
          <t>7231</t>
        </is>
      </c>
      <c r="C522" s="16" t="inlineStr">
        <is>
          <t>Motor Vehicle Mechanics and Repairers</t>
        </is>
      </c>
      <c r="D522" s="15" t="inlineStr">
        <is>
          <t>7234</t>
        </is>
      </c>
      <c r="E522" s="16" t="inlineStr">
        <is>
          <t>Bicycle and Related Repairers</t>
        </is>
      </c>
      <c r="F522" s="16" t="inlineStr">
        <is>
          <t>모빌리티 / 자율주행 / 로보틱스</t>
        </is>
      </c>
      <c r="G522" s="15" t="inlineStr">
        <is>
          <t>horizontal_transfer</t>
        </is>
      </c>
      <c r="H522" s="16" t="inlineStr">
        <is>
          <t>examining, servicing, repairing</t>
        </is>
      </c>
      <c r="I522" s="16" t="inlineStr">
        <is>
          <t>심화 Bicycle and Related Repairers 실무, 프로젝트 관리 역량</t>
        </is>
      </c>
      <c r="J522" s="16" t="inlineStr">
        <is>
          <t>실무 1년 이상 및 전문 자격</t>
        </is>
      </c>
      <c r="K522" s="15" t="inlineStr">
        <is>
          <t>★★☆☆☆</t>
        </is>
      </c>
      <c r="L522" s="20" t="inlineStr">
        <is>
          <t>+15.0%</t>
        </is>
      </c>
    </row>
    <row r="523">
      <c r="A523" s="17" t="inlineStr">
        <is>
          <t>TR-0522</t>
        </is>
      </c>
      <c r="B523" s="17" t="inlineStr">
        <is>
          <t>7231</t>
        </is>
      </c>
      <c r="C523" s="18" t="inlineStr">
        <is>
          <t>Motor Vehicle Mechanics and Repairers</t>
        </is>
      </c>
      <c r="D523" s="17" t="inlineStr">
        <is>
          <t>7412</t>
        </is>
      </c>
      <c r="E523" s="18" t="inlineStr">
        <is>
          <t>Electrical Mechanics and Fitters</t>
        </is>
      </c>
      <c r="F523" s="18" t="inlineStr">
        <is>
          <t>모빌리티 / 자율주행 / 로보틱스</t>
        </is>
      </c>
      <c r="G523" s="17" t="inlineStr">
        <is>
          <t>horizontal_transfer</t>
        </is>
      </c>
      <c r="H523" s="18" t="inlineStr">
        <is>
          <t>fitting, adjusting, repairing</t>
        </is>
      </c>
      <c r="I523" s="18" t="inlineStr">
        <is>
          <t>심화 Electrical Mechanics and Fitters 실무, 프로젝트 관리 역량</t>
        </is>
      </c>
      <c r="J523" s="18" t="inlineStr">
        <is>
          <t>실무 1년 이상 및 전문 자격</t>
        </is>
      </c>
      <c r="K523" s="17" t="inlineStr">
        <is>
          <t>★★☆☆☆</t>
        </is>
      </c>
      <c r="L523" s="21" t="inlineStr">
        <is>
          <t>+15.0%</t>
        </is>
      </c>
    </row>
    <row r="524">
      <c r="A524" s="15" t="inlineStr">
        <is>
          <t>TR-0523</t>
        </is>
      </c>
      <c r="B524" s="15" t="inlineStr">
        <is>
          <t>7231</t>
        </is>
      </c>
      <c r="C524" s="16" t="inlineStr">
        <is>
          <t>Motor Vehicle Mechanics and Repairers</t>
        </is>
      </c>
      <c r="D524" s="15" t="inlineStr">
        <is>
          <t>8211</t>
        </is>
      </c>
      <c r="E524" s="16" t="inlineStr">
        <is>
          <t>Mechanical Machinery Assemblers</t>
        </is>
      </c>
      <c r="F524" s="16" t="inlineStr">
        <is>
          <t>모빌리티 / 자율주행 / 로보틱스</t>
        </is>
      </c>
      <c r="G524" s="15" t="inlineStr">
        <is>
          <t>horizontal_transfer</t>
        </is>
      </c>
      <c r="H524" s="16" t="inlineStr">
        <is>
          <t>assembling, installing, prefabricated</t>
        </is>
      </c>
      <c r="I524" s="16" t="inlineStr">
        <is>
          <t>심화 Mechanical Machinery Assemblers 실무, 프로젝트 관리 역량</t>
        </is>
      </c>
      <c r="J524" s="16" t="inlineStr">
        <is>
          <t>실무 1년 이상 및 전문 자격</t>
        </is>
      </c>
      <c r="K524" s="15" t="inlineStr">
        <is>
          <t>★★☆☆☆</t>
        </is>
      </c>
      <c r="L524" s="20" t="inlineStr">
        <is>
          <t>+15.0%</t>
        </is>
      </c>
    </row>
    <row r="525">
      <c r="A525" s="17" t="inlineStr">
        <is>
          <t>TR-0524</t>
        </is>
      </c>
      <c r="B525" s="17" t="inlineStr">
        <is>
          <t>7232</t>
        </is>
      </c>
      <c r="C525" s="18" t="inlineStr">
        <is>
          <t>Aircraft Engine Mechanics and Repairers</t>
        </is>
      </c>
      <c r="D525" s="17" t="inlineStr">
        <is>
          <t>2144</t>
        </is>
      </c>
      <c r="E525" s="18" t="inlineStr">
        <is>
          <t>Mechanical Engineers</t>
        </is>
      </c>
      <c r="F525" s="18" t="inlineStr">
        <is>
          <t>모빌리티 / 자율주행 / 로보틱스</t>
        </is>
      </c>
      <c r="G525" s="17" t="inlineStr">
        <is>
          <t>vertical_promotion</t>
        </is>
      </c>
      <c r="H525" s="18" t="inlineStr">
        <is>
          <t>advising, designing, machinery</t>
        </is>
      </c>
      <c r="I525" s="18" t="inlineStr">
        <is>
          <t>심화 Mechanical Engineers 실무, 프로젝트 관리 역량</t>
        </is>
      </c>
      <c r="J525" s="18" t="inlineStr">
        <is>
          <t>실무 4년 이상 및 전문 자격</t>
        </is>
      </c>
      <c r="K525" s="17" t="inlineStr">
        <is>
          <t>★★★★☆</t>
        </is>
      </c>
      <c r="L525" s="21" t="inlineStr">
        <is>
          <t>+35.0%</t>
        </is>
      </c>
    </row>
    <row r="526">
      <c r="A526" s="15" t="inlineStr">
        <is>
          <t>TR-0525</t>
        </is>
      </c>
      <c r="B526" s="15" t="inlineStr">
        <is>
          <t>7232</t>
        </is>
      </c>
      <c r="C526" s="16" t="inlineStr">
        <is>
          <t>Aircraft Engine Mechanics and Repairers</t>
        </is>
      </c>
      <c r="D526" s="15" t="inlineStr">
        <is>
          <t>7421</t>
        </is>
      </c>
      <c r="E526" s="16" t="inlineStr">
        <is>
          <t>Electronics Mechanics and Servicers</t>
        </is>
      </c>
      <c r="F526" s="16" t="inlineStr">
        <is>
          <t>모빌리티 / 자율주행 / 로보틱스</t>
        </is>
      </c>
      <c r="G526" s="15" t="inlineStr">
        <is>
          <t>horizontal_transfer</t>
        </is>
      </c>
      <c r="H526" s="16" t="inlineStr">
        <is>
          <t>examining, testing, machines</t>
        </is>
      </c>
      <c r="I526" s="16" t="inlineStr">
        <is>
          <t>심화 Electronics Mechanics and Servicers 실무, 프로젝트 관리 역량</t>
        </is>
      </c>
      <c r="J526" s="16" t="inlineStr">
        <is>
          <t>실무 1년 이상 및 전문 자격</t>
        </is>
      </c>
      <c r="K526" s="15" t="inlineStr">
        <is>
          <t>★★☆☆☆</t>
        </is>
      </c>
      <c r="L526" s="20" t="inlineStr">
        <is>
          <t>+15.0%</t>
        </is>
      </c>
    </row>
    <row r="527">
      <c r="A527" s="17" t="inlineStr">
        <is>
          <t>TR-0526</t>
        </is>
      </c>
      <c r="B527" s="17" t="inlineStr">
        <is>
          <t>7232</t>
        </is>
      </c>
      <c r="C527" s="18" t="inlineStr">
        <is>
          <t>Aircraft Engine Mechanics and Repairers</t>
        </is>
      </c>
      <c r="D527" s="17" t="inlineStr">
        <is>
          <t>8211</t>
        </is>
      </c>
      <c r="E527" s="18" t="inlineStr">
        <is>
          <t>Mechanical Machinery Assemblers</t>
        </is>
      </c>
      <c r="F527" s="18" t="inlineStr">
        <is>
          <t>모빌리티 / 자율주행 / 로보틱스</t>
        </is>
      </c>
      <c r="G527" s="17" t="inlineStr">
        <is>
          <t>horizontal_transfer</t>
        </is>
      </c>
      <c r="H527" s="18" t="inlineStr">
        <is>
          <t>assembling, installing, prefabricated</t>
        </is>
      </c>
      <c r="I527" s="18" t="inlineStr">
        <is>
          <t>심화 Mechanical Machinery Assemblers 실무, 프로젝트 관리 역량</t>
        </is>
      </c>
      <c r="J527" s="18" t="inlineStr">
        <is>
          <t>실무 1년 이상 및 전문 자격</t>
        </is>
      </c>
      <c r="K527" s="17" t="inlineStr">
        <is>
          <t>★★☆☆☆</t>
        </is>
      </c>
      <c r="L527" s="21" t="inlineStr">
        <is>
          <t>+15.0%</t>
        </is>
      </c>
    </row>
    <row r="528">
      <c r="A528" s="15" t="inlineStr">
        <is>
          <t>TR-0527</t>
        </is>
      </c>
      <c r="B528" s="15" t="inlineStr">
        <is>
          <t>7233</t>
        </is>
      </c>
      <c r="C528" s="16" t="inlineStr">
        <is>
          <t>Agricultural and Industrial Machinery Mechanics and Repairers</t>
        </is>
      </c>
      <c r="D528" s="15" t="inlineStr">
        <is>
          <t>7127</t>
        </is>
      </c>
      <c r="E528" s="16" t="inlineStr">
        <is>
          <t>Air Conditioning and Refrigeration Mechanics</t>
        </is>
      </c>
      <c r="F528" s="16" t="inlineStr">
        <is>
          <t>모빌리티 / 자율주행 / 로보틱스</t>
        </is>
      </c>
      <c r="G528" s="15" t="inlineStr">
        <is>
          <t>horizontal_transfer</t>
        </is>
      </c>
      <c r="H528" s="16" t="inlineStr">
        <is>
          <t>interpreting, blueprints, drawings</t>
        </is>
      </c>
      <c r="I528" s="16" t="inlineStr">
        <is>
          <t>심화 Air Conditioning and Refrigeration Mechanics 실무, 프로젝트 관리 역량</t>
        </is>
      </c>
      <c r="J528" s="16" t="inlineStr">
        <is>
          <t>실무 1년 이상 및 전문 자격</t>
        </is>
      </c>
      <c r="K528" s="15" t="inlineStr">
        <is>
          <t>★★☆☆☆</t>
        </is>
      </c>
      <c r="L528" s="20" t="inlineStr">
        <is>
          <t>+15.0%</t>
        </is>
      </c>
    </row>
    <row r="529">
      <c r="A529" s="17" t="inlineStr">
        <is>
          <t>TR-0528</t>
        </is>
      </c>
      <c r="B529" s="17" t="inlineStr">
        <is>
          <t>7233</t>
        </is>
      </c>
      <c r="C529" s="18" t="inlineStr">
        <is>
          <t>Agricultural and Industrial Machinery Mechanics and Repairers</t>
        </is>
      </c>
      <c r="D529" s="17" t="inlineStr">
        <is>
          <t>7412</t>
        </is>
      </c>
      <c r="E529" s="18" t="inlineStr">
        <is>
          <t>Electrical Mechanics and Fitters</t>
        </is>
      </c>
      <c r="F529" s="18" t="inlineStr">
        <is>
          <t>모빌리티 / 자율주행 / 로보틱스</t>
        </is>
      </c>
      <c r="G529" s="17" t="inlineStr">
        <is>
          <t>horizontal_transfer</t>
        </is>
      </c>
      <c r="H529" s="18" t="inlineStr">
        <is>
          <t>fitting, adjusting, repairing</t>
        </is>
      </c>
      <c r="I529" s="18" t="inlineStr">
        <is>
          <t>심화 Electrical Mechanics and Fitters 실무, 프로젝트 관리 역량</t>
        </is>
      </c>
      <c r="J529" s="18" t="inlineStr">
        <is>
          <t>실무 1년 이상 및 전문 자격</t>
        </is>
      </c>
      <c r="K529" s="17" t="inlineStr">
        <is>
          <t>★★☆☆☆</t>
        </is>
      </c>
      <c r="L529" s="21" t="inlineStr">
        <is>
          <t>+15.0%</t>
        </is>
      </c>
    </row>
    <row r="530">
      <c r="A530" s="15" t="inlineStr">
        <is>
          <t>TR-0529</t>
        </is>
      </c>
      <c r="B530" s="15" t="inlineStr">
        <is>
          <t>7233</t>
        </is>
      </c>
      <c r="C530" s="16" t="inlineStr">
        <is>
          <t>Agricultural and Industrial Machinery Mechanics and Repairers</t>
        </is>
      </c>
      <c r="D530" s="15" t="inlineStr">
        <is>
          <t>8211</t>
        </is>
      </c>
      <c r="E530" s="16" t="inlineStr">
        <is>
          <t>Mechanical Machinery Assemblers</t>
        </is>
      </c>
      <c r="F530" s="16" t="inlineStr">
        <is>
          <t>모빌리티 / 자율주행 / 로보틱스</t>
        </is>
      </c>
      <c r="G530" s="15" t="inlineStr">
        <is>
          <t>horizontal_transfer</t>
        </is>
      </c>
      <c r="H530" s="16" t="inlineStr">
        <is>
          <t>assembling, installing, prefabricated</t>
        </is>
      </c>
      <c r="I530" s="16" t="inlineStr">
        <is>
          <t>심화 Mechanical Machinery Assemblers 실무, 프로젝트 관리 역량</t>
        </is>
      </c>
      <c r="J530" s="16" t="inlineStr">
        <is>
          <t>실무 1년 이상 및 전문 자격</t>
        </is>
      </c>
      <c r="K530" s="15" t="inlineStr">
        <is>
          <t>★★☆☆☆</t>
        </is>
      </c>
      <c r="L530" s="20" t="inlineStr">
        <is>
          <t>+15.0%</t>
        </is>
      </c>
    </row>
    <row r="531">
      <c r="A531" s="17" t="inlineStr">
        <is>
          <t>TR-0530</t>
        </is>
      </c>
      <c r="B531" s="17" t="inlineStr">
        <is>
          <t>7234</t>
        </is>
      </c>
      <c r="C531" s="18" t="inlineStr">
        <is>
          <t>Bicycle and Related Repairers</t>
        </is>
      </c>
      <c r="D531" s="17" t="inlineStr">
        <is>
          <t>7231</t>
        </is>
      </c>
      <c r="E531" s="18" t="inlineStr">
        <is>
          <t>Motor Vehicle Mechanics and Repairers</t>
        </is>
      </c>
      <c r="F531" s="18" t="inlineStr">
        <is>
          <t>모빌리티 / 자율주행 / 로보틱스</t>
        </is>
      </c>
      <c r="G531" s="17" t="inlineStr">
        <is>
          <t>horizontal_transfer</t>
        </is>
      </c>
      <c r="H531" s="18" t="inlineStr">
        <is>
          <t>detecting, diagnosing, faults</t>
        </is>
      </c>
      <c r="I531" s="18" t="inlineStr">
        <is>
          <t>심화 Motor Vehicle Mechanics and Repairers 실무, 프로젝트 관리 역량</t>
        </is>
      </c>
      <c r="J531" s="18" t="inlineStr">
        <is>
          <t>실무 1년 이상 및 전문 자격</t>
        </is>
      </c>
      <c r="K531" s="17" t="inlineStr">
        <is>
          <t>★★☆☆☆</t>
        </is>
      </c>
      <c r="L531" s="21" t="inlineStr">
        <is>
          <t>+15.0%</t>
        </is>
      </c>
    </row>
    <row r="532">
      <c r="A532" s="15" t="inlineStr">
        <is>
          <t>TR-0531</t>
        </is>
      </c>
      <c r="B532" s="15" t="inlineStr">
        <is>
          <t>7311</t>
        </is>
      </c>
      <c r="C532" s="16" t="inlineStr">
        <is>
          <t>Precision-instrument Makers and Repairers</t>
        </is>
      </c>
      <c r="D532" s="15" t="inlineStr">
        <is>
          <t>3214</t>
        </is>
      </c>
      <c r="E532" s="16" t="inlineStr">
        <is>
          <t>Medical and Dental Prosthetic Technicians</t>
        </is>
      </c>
      <c r="F532" s="16" t="inlineStr">
        <is>
          <t>디자인 / 디지털미디어 / 콘텐츠</t>
        </is>
      </c>
      <c r="G532" s="15" t="inlineStr">
        <is>
          <t>vertical_promotion</t>
        </is>
      </c>
      <c r="H532" s="16" t="inlineStr">
        <is>
          <t>examining, interviewing, measuring</t>
        </is>
      </c>
      <c r="I532" s="16" t="inlineStr">
        <is>
          <t>심화 Medical and Dental Prosthetic Technicians 실무, 프로젝트 관리 역량</t>
        </is>
      </c>
      <c r="J532" s="16" t="inlineStr">
        <is>
          <t>실무 2년 이상 및 전문 자격</t>
        </is>
      </c>
      <c r="K532" s="15" t="inlineStr">
        <is>
          <t>★★★☆☆</t>
        </is>
      </c>
      <c r="L532" s="20" t="inlineStr">
        <is>
          <t>+25.0%</t>
        </is>
      </c>
    </row>
    <row r="533">
      <c r="A533" s="17" t="inlineStr">
        <is>
          <t>TR-0532</t>
        </is>
      </c>
      <c r="B533" s="17" t="inlineStr">
        <is>
          <t>7311</t>
        </is>
      </c>
      <c r="C533" s="18" t="inlineStr">
        <is>
          <t>Precision-instrument Makers and Repairers</t>
        </is>
      </c>
      <c r="D533" s="17" t="inlineStr">
        <is>
          <t>7222</t>
        </is>
      </c>
      <c r="E533" s="18" t="inlineStr">
        <is>
          <t>Toolmakers and Related Workers</t>
        </is>
      </c>
      <c r="F533" s="18" t="inlineStr">
        <is>
          <t>디자인 / 디지털미디어 / 콘텐츠</t>
        </is>
      </c>
      <c r="G533" s="17" t="inlineStr">
        <is>
          <t>horizontal_transfer</t>
        </is>
      </c>
      <c r="H533" s="18" t="inlineStr">
        <is>
          <t>reading, interpreting, engineering</t>
        </is>
      </c>
      <c r="I533" s="18" t="inlineStr">
        <is>
          <t>심화 Toolmakers and Related Workers 실무, 프로젝트 관리 역량</t>
        </is>
      </c>
      <c r="J533" s="18" t="inlineStr">
        <is>
          <t>실무 1년 이상 및 전문 자격</t>
        </is>
      </c>
      <c r="K533" s="17" t="inlineStr">
        <is>
          <t>★★☆☆☆</t>
        </is>
      </c>
      <c r="L533" s="21" t="inlineStr">
        <is>
          <t>+15.0%</t>
        </is>
      </c>
    </row>
    <row r="534">
      <c r="A534" s="15" t="inlineStr">
        <is>
          <t>TR-0533</t>
        </is>
      </c>
      <c r="B534" s="15" t="inlineStr">
        <is>
          <t>7311</t>
        </is>
      </c>
      <c r="C534" s="16" t="inlineStr">
        <is>
          <t>Precision-instrument Makers and Repairers</t>
        </is>
      </c>
      <c r="D534" s="15" t="inlineStr">
        <is>
          <t>7223</t>
        </is>
      </c>
      <c r="E534" s="16" t="inlineStr">
        <is>
          <t>Metal Working Machine Tool Setters and  Operators</t>
        </is>
      </c>
      <c r="F534" s="16" t="inlineStr">
        <is>
          <t>디자인 / 디지털미디어 / 콘텐츠</t>
        </is>
      </c>
      <c r="G534" s="15" t="inlineStr">
        <is>
          <t>horizontal_transfer</t>
        </is>
      </c>
      <c r="H534" s="16" t="inlineStr">
        <is>
          <t>setting, more, types</t>
        </is>
      </c>
      <c r="I534" s="16" t="inlineStr">
        <is>
          <t>심화 Metal Working Machine Tool Setters and  Operators 실무, 프로젝트 관리 역량</t>
        </is>
      </c>
      <c r="J534" s="16" t="inlineStr">
        <is>
          <t>실무 1년 이상 및 전문 자격</t>
        </is>
      </c>
      <c r="K534" s="15" t="inlineStr">
        <is>
          <t>★★☆☆☆</t>
        </is>
      </c>
      <c r="L534" s="20" t="inlineStr">
        <is>
          <t>+15.0%</t>
        </is>
      </c>
    </row>
    <row r="535">
      <c r="A535" s="17" t="inlineStr">
        <is>
          <t>TR-0534</t>
        </is>
      </c>
      <c r="B535" s="17" t="inlineStr">
        <is>
          <t>7311</t>
        </is>
      </c>
      <c r="C535" s="18" t="inlineStr">
        <is>
          <t>Precision-instrument Makers and Repairers</t>
        </is>
      </c>
      <c r="D535" s="17" t="inlineStr">
        <is>
          <t>8212</t>
        </is>
      </c>
      <c r="E535" s="18" t="inlineStr">
        <is>
          <t>Electrical and Electronic Equipment Assemblers</t>
        </is>
      </c>
      <c r="F535" s="18" t="inlineStr">
        <is>
          <t>디자인 / 디지털미디어 / 콘텐츠</t>
        </is>
      </c>
      <c r="G535" s="17" t="inlineStr">
        <is>
          <t>horizontal_transfer</t>
        </is>
      </c>
      <c r="H535" s="18" t="inlineStr">
        <is>
          <t>assembling, component, parts</t>
        </is>
      </c>
      <c r="I535" s="18" t="inlineStr">
        <is>
          <t>심화 Electrical and Electronic Equipment Assemblers 실무, 프로젝트 관리 역량</t>
        </is>
      </c>
      <c r="J535" s="18" t="inlineStr">
        <is>
          <t>실무 1년 이상 및 전문 자격</t>
        </is>
      </c>
      <c r="K535" s="17" t="inlineStr">
        <is>
          <t>★★☆☆☆</t>
        </is>
      </c>
      <c r="L535" s="21" t="inlineStr">
        <is>
          <t>+15.0%</t>
        </is>
      </c>
    </row>
    <row r="536">
      <c r="A536" s="15" t="inlineStr">
        <is>
          <t>TR-0535</t>
        </is>
      </c>
      <c r="B536" s="15" t="inlineStr">
        <is>
          <t>7314</t>
        </is>
      </c>
      <c r="C536" s="16" t="inlineStr">
        <is>
          <t>Potters and Related Workers</t>
        </is>
      </c>
      <c r="D536" s="15" t="inlineStr">
        <is>
          <t>2651</t>
        </is>
      </c>
      <c r="E536" s="16" t="inlineStr">
        <is>
          <t>Visual Artists</t>
        </is>
      </c>
      <c r="F536" s="16" t="inlineStr">
        <is>
          <t>디자인 / 디지털미디어 / 콘텐츠</t>
        </is>
      </c>
      <c r="G536" s="15" t="inlineStr">
        <is>
          <t>vertical_promotion</t>
        </is>
      </c>
      <c r="H536" s="16" t="inlineStr">
        <is>
          <t>conceiving, developing, ideas</t>
        </is>
      </c>
      <c r="I536" s="16" t="inlineStr">
        <is>
          <t>심화 Visual Artists 실무, 프로젝트 관리 역량</t>
        </is>
      </c>
      <c r="J536" s="16" t="inlineStr">
        <is>
          <t>실무 4년 이상 및 전문 자격</t>
        </is>
      </c>
      <c r="K536" s="15" t="inlineStr">
        <is>
          <t>★★★★☆</t>
        </is>
      </c>
      <c r="L536" s="20" t="inlineStr">
        <is>
          <t>+35.0%</t>
        </is>
      </c>
    </row>
    <row r="537">
      <c r="A537" s="17" t="inlineStr">
        <is>
          <t>TR-0536</t>
        </is>
      </c>
      <c r="B537" s="17" t="inlineStr">
        <is>
          <t>7314</t>
        </is>
      </c>
      <c r="C537" s="18" t="inlineStr">
        <is>
          <t>Potters and Related Workers</t>
        </is>
      </c>
      <c r="D537" s="17" t="inlineStr">
        <is>
          <t>8181</t>
        </is>
      </c>
      <c r="E537" s="18" t="inlineStr">
        <is>
          <t>Glass and Ceramics Plant Operators</t>
        </is>
      </c>
      <c r="F537" s="18" t="inlineStr">
        <is>
          <t>디자인 / 디지털미디어 / 콘텐츠</t>
        </is>
      </c>
      <c r="G537" s="17" t="inlineStr">
        <is>
          <t>horizontal_transfer</t>
        </is>
      </c>
      <c r="H537" s="18" t="inlineStr">
        <is>
          <t>operating, monitoring, glass</t>
        </is>
      </c>
      <c r="I537" s="18" t="inlineStr">
        <is>
          <t>심화 Glass and Ceramics Plant Operators 실무, 프로젝트 관리 역량</t>
        </is>
      </c>
      <c r="J537" s="18" t="inlineStr">
        <is>
          <t>실무 1년 이상 및 전문 자격</t>
        </is>
      </c>
      <c r="K537" s="17" t="inlineStr">
        <is>
          <t>★★☆☆☆</t>
        </is>
      </c>
      <c r="L537" s="21" t="inlineStr">
        <is>
          <t>+15.0%</t>
        </is>
      </c>
    </row>
    <row r="538">
      <c r="A538" s="15" t="inlineStr">
        <is>
          <t>TR-0537</t>
        </is>
      </c>
      <c r="B538" s="15" t="inlineStr">
        <is>
          <t>7315</t>
        </is>
      </c>
      <c r="C538" s="16" t="inlineStr">
        <is>
          <t>Glass Makers, Cutters, Grinders and Finishers</t>
        </is>
      </c>
      <c r="D538" s="15" t="inlineStr">
        <is>
          <t>8181</t>
        </is>
      </c>
      <c r="E538" s="16" t="inlineStr">
        <is>
          <t>Glass and Ceramics Plant Operators</t>
        </is>
      </c>
      <c r="F538" s="16" t="inlineStr">
        <is>
          <t>디자인 / 디지털미디어 / 콘텐츠</t>
        </is>
      </c>
      <c r="G538" s="15" t="inlineStr">
        <is>
          <t>horizontal_transfer</t>
        </is>
      </c>
      <c r="H538" s="16" t="inlineStr">
        <is>
          <t>operating, monitoring, glass</t>
        </is>
      </c>
      <c r="I538" s="16" t="inlineStr">
        <is>
          <t>심화 Glass and Ceramics Plant Operators 실무, 프로젝트 관리 역량</t>
        </is>
      </c>
      <c r="J538" s="16" t="inlineStr">
        <is>
          <t>실무 1년 이상 및 전문 자격</t>
        </is>
      </c>
      <c r="K538" s="15" t="inlineStr">
        <is>
          <t>★★☆☆☆</t>
        </is>
      </c>
      <c r="L538" s="20" t="inlineStr">
        <is>
          <t>+15.0%</t>
        </is>
      </c>
    </row>
    <row r="539">
      <c r="A539" s="17" t="inlineStr">
        <is>
          <t>TR-0538</t>
        </is>
      </c>
      <c r="B539" s="17" t="inlineStr">
        <is>
          <t>7316</t>
        </is>
      </c>
      <c r="C539" s="18" t="inlineStr">
        <is>
          <t>Sign Writers, Decorative Painters, Engravers and Etchers</t>
        </is>
      </c>
      <c r="D539" s="17" t="inlineStr">
        <is>
          <t>7131</t>
        </is>
      </c>
      <c r="E539" s="18" t="inlineStr">
        <is>
          <t>Painters and Related Workers</t>
        </is>
      </c>
      <c r="F539" s="18" t="inlineStr">
        <is>
          <t>디자인 / 디지털미디어 / 콘텐츠</t>
        </is>
      </c>
      <c r="G539" s="17" t="inlineStr">
        <is>
          <t>horizontal_transfer</t>
        </is>
      </c>
      <c r="H539" s="18" t="inlineStr">
        <is>
          <t>cleaning, preparing, walls</t>
        </is>
      </c>
      <c r="I539" s="18" t="inlineStr">
        <is>
          <t>심화 Painters and Related Workers 실무, 프로젝트 관리 역량</t>
        </is>
      </c>
      <c r="J539" s="18" t="inlineStr">
        <is>
          <t>실무 1년 이상 및 전문 자격</t>
        </is>
      </c>
      <c r="K539" s="17" t="inlineStr">
        <is>
          <t>★★☆☆☆</t>
        </is>
      </c>
      <c r="L539" s="21" t="inlineStr">
        <is>
          <t>+15.0%</t>
        </is>
      </c>
    </row>
    <row r="540">
      <c r="A540" s="15" t="inlineStr">
        <is>
          <t>TR-0539</t>
        </is>
      </c>
      <c r="B540" s="15" t="inlineStr">
        <is>
          <t>7316</t>
        </is>
      </c>
      <c r="C540" s="16" t="inlineStr">
        <is>
          <t>Sign Writers, Decorative Painters, Engravers and Etchers</t>
        </is>
      </c>
      <c r="D540" s="15" t="inlineStr">
        <is>
          <t>7132</t>
        </is>
      </c>
      <c r="E540" s="16" t="inlineStr">
        <is>
          <t>Spray Painters and Varnishers</t>
        </is>
      </c>
      <c r="F540" s="16" t="inlineStr">
        <is>
          <t>디자인 / 디지털미디어 / 콘텐츠</t>
        </is>
      </c>
      <c r="G540" s="15" t="inlineStr">
        <is>
          <t>horizontal_transfer</t>
        </is>
      </c>
      <c r="H540" s="16" t="inlineStr">
        <is>
          <t>preparing, surfaces, coated</t>
        </is>
      </c>
      <c r="I540" s="16" t="inlineStr">
        <is>
          <t>심화 Spray Painters and Varnishers 실무, 프로젝트 관리 역량</t>
        </is>
      </c>
      <c r="J540" s="16" t="inlineStr">
        <is>
          <t>실무 1년 이상 및 전문 자격</t>
        </is>
      </c>
      <c r="K540" s="15" t="inlineStr">
        <is>
          <t>★★☆☆☆</t>
        </is>
      </c>
      <c r="L540" s="20" t="inlineStr">
        <is>
          <t>+15.0%</t>
        </is>
      </c>
    </row>
    <row r="541">
      <c r="A541" s="17" t="inlineStr">
        <is>
          <t>TR-0540</t>
        </is>
      </c>
      <c r="B541" s="17" t="inlineStr">
        <is>
          <t>7316</t>
        </is>
      </c>
      <c r="C541" s="18" t="inlineStr">
        <is>
          <t>Sign Writers, Decorative Painters, Engravers and Etchers</t>
        </is>
      </c>
      <c r="D541" s="17" t="inlineStr">
        <is>
          <t>8181</t>
        </is>
      </c>
      <c r="E541" s="18" t="inlineStr">
        <is>
          <t>Glass and Ceramics Plant Operators</t>
        </is>
      </c>
      <c r="F541" s="18" t="inlineStr">
        <is>
          <t>디자인 / 디지털미디어 / 콘텐츠</t>
        </is>
      </c>
      <c r="G541" s="17" t="inlineStr">
        <is>
          <t>horizontal_transfer</t>
        </is>
      </c>
      <c r="H541" s="18" t="inlineStr">
        <is>
          <t>operating, monitoring, glass</t>
        </is>
      </c>
      <c r="I541" s="18" t="inlineStr">
        <is>
          <t>심화 Glass and Ceramics Plant Operators 실무, 프로젝트 관리 역량</t>
        </is>
      </c>
      <c r="J541" s="18" t="inlineStr">
        <is>
          <t>실무 1년 이상 및 전문 자격</t>
        </is>
      </c>
      <c r="K541" s="17" t="inlineStr">
        <is>
          <t>★★☆☆☆</t>
        </is>
      </c>
      <c r="L541" s="21" t="inlineStr">
        <is>
          <t>+15.0%</t>
        </is>
      </c>
    </row>
    <row r="542">
      <c r="A542" s="15" t="inlineStr">
        <is>
          <t>TR-0541</t>
        </is>
      </c>
      <c r="B542" s="15" t="inlineStr">
        <is>
          <t>7317</t>
        </is>
      </c>
      <c r="C542" s="16" t="inlineStr">
        <is>
          <t>Handicraft Workers in Wood, Basketry and Related Materials</t>
        </is>
      </c>
      <c r="D542" s="15" t="inlineStr">
        <is>
          <t>7523</t>
        </is>
      </c>
      <c r="E542" s="16" t="inlineStr">
        <is>
          <t>Woodworking Machine Tool Setters and Operators</t>
        </is>
      </c>
      <c r="F542" s="16" t="inlineStr">
        <is>
          <t>디자인 / 디지털미디어 / 콘텐츠</t>
        </is>
      </c>
      <c r="G542" s="15" t="inlineStr">
        <is>
          <t>horizontal_transfer</t>
        </is>
      </c>
      <c r="H542" s="16" t="inlineStr">
        <is>
          <t>setting, programming, operating</t>
        </is>
      </c>
      <c r="I542" s="16" t="inlineStr">
        <is>
          <t>심화 Woodworking Machine Tool Setters and Operators 실무, 프로젝트 관리 역량</t>
        </is>
      </c>
      <c r="J542" s="16" t="inlineStr">
        <is>
          <t>실무 1년 이상 및 전문 자격</t>
        </is>
      </c>
      <c r="K542" s="15" t="inlineStr">
        <is>
          <t>★★☆☆☆</t>
        </is>
      </c>
      <c r="L542" s="20" t="inlineStr">
        <is>
          <t>+15.0%</t>
        </is>
      </c>
    </row>
    <row r="543">
      <c r="A543" s="17" t="inlineStr">
        <is>
          <t>TR-0542</t>
        </is>
      </c>
      <c r="B543" s="17" t="inlineStr">
        <is>
          <t>7318</t>
        </is>
      </c>
      <c r="C543" s="18" t="inlineStr">
        <is>
          <t>Handicraft Workers in Textile, Leather and Related Materials</t>
        </is>
      </c>
      <c r="D543" s="17" t="inlineStr">
        <is>
          <t>8151</t>
        </is>
      </c>
      <c r="E543" s="18" t="inlineStr">
        <is>
          <t>Fibre Preparing, Spinning and Winding Machine Operators</t>
        </is>
      </c>
      <c r="F543" s="18" t="inlineStr">
        <is>
          <t>디자인 / 디지털미디어 / 콘텐츠</t>
        </is>
      </c>
      <c r="G543" s="17" t="inlineStr">
        <is>
          <t>horizontal_transfer</t>
        </is>
      </c>
      <c r="H543" s="18" t="inlineStr">
        <is>
          <t>operating, monitoring, machines</t>
        </is>
      </c>
      <c r="I543" s="18" t="inlineStr">
        <is>
          <t>심화 Fibre Preparing, Spinning and Winding Machine Operators 실무, 프로젝트 관리 역량</t>
        </is>
      </c>
      <c r="J543" s="18" t="inlineStr">
        <is>
          <t>실무 1년 이상 및 전문 자격</t>
        </is>
      </c>
      <c r="K543" s="17" t="inlineStr">
        <is>
          <t>★★☆☆☆</t>
        </is>
      </c>
      <c r="L543" s="21" t="inlineStr">
        <is>
          <t>+15.0%</t>
        </is>
      </c>
    </row>
    <row r="544">
      <c r="A544" s="15" t="inlineStr">
        <is>
          <t>TR-0543</t>
        </is>
      </c>
      <c r="B544" s="15" t="inlineStr">
        <is>
          <t>7318</t>
        </is>
      </c>
      <c r="C544" s="16" t="inlineStr">
        <is>
          <t>Handicraft Workers in Textile, Leather and Related Materials</t>
        </is>
      </c>
      <c r="D544" s="15" t="inlineStr">
        <is>
          <t>8152</t>
        </is>
      </c>
      <c r="E544" s="16" t="inlineStr">
        <is>
          <t>Weaving and Knitting Machine Operators</t>
        </is>
      </c>
      <c r="F544" s="16" t="inlineStr">
        <is>
          <t>디자인 / 디지털미디어 / 콘텐츠</t>
        </is>
      </c>
      <c r="G544" s="15" t="inlineStr">
        <is>
          <t>horizontal_transfer</t>
        </is>
      </c>
      <c r="H544" s="16" t="inlineStr">
        <is>
          <t>setting, operating, batteries</t>
        </is>
      </c>
      <c r="I544" s="16" t="inlineStr">
        <is>
          <t>심화 Weaving and Knitting Machine Operators 실무, 프로젝트 관리 역량</t>
        </is>
      </c>
      <c r="J544" s="16" t="inlineStr">
        <is>
          <t>실무 1년 이상 및 전문 자격</t>
        </is>
      </c>
      <c r="K544" s="15" t="inlineStr">
        <is>
          <t>★★☆☆☆</t>
        </is>
      </c>
      <c r="L544" s="20" t="inlineStr">
        <is>
          <t>+15.0%</t>
        </is>
      </c>
    </row>
    <row r="545">
      <c r="A545" s="17" t="inlineStr">
        <is>
          <t>TR-0544</t>
        </is>
      </c>
      <c r="B545" s="17" t="inlineStr">
        <is>
          <t>7411</t>
        </is>
      </c>
      <c r="C545" s="18" t="inlineStr">
        <is>
          <t>Building and Related Electricians</t>
        </is>
      </c>
      <c r="D545" s="17" t="inlineStr">
        <is>
          <t>7412</t>
        </is>
      </c>
      <c r="E545" s="18" t="inlineStr">
        <is>
          <t>Electrical Mechanics and Fitters</t>
        </is>
      </c>
      <c r="F545" s="18" t="inlineStr">
        <is>
          <t>반도체 / 전자회로 / 하드웨어</t>
        </is>
      </c>
      <c r="G545" s="17" t="inlineStr">
        <is>
          <t>horizontal_transfer</t>
        </is>
      </c>
      <c r="H545" s="18" t="inlineStr">
        <is>
          <t>fitting, adjusting, repairing</t>
        </is>
      </c>
      <c r="I545" s="18" t="inlineStr">
        <is>
          <t>심화 Electrical Mechanics and Fitters 실무, 프로젝트 관리 역량</t>
        </is>
      </c>
      <c r="J545" s="18" t="inlineStr">
        <is>
          <t>실무 1년 이상 및 전문 자격</t>
        </is>
      </c>
      <c r="K545" s="17" t="inlineStr">
        <is>
          <t>★★☆☆☆</t>
        </is>
      </c>
      <c r="L545" s="21" t="inlineStr">
        <is>
          <t>+15.0%</t>
        </is>
      </c>
    </row>
    <row r="546">
      <c r="A546" s="15" t="inlineStr">
        <is>
          <t>TR-0545</t>
        </is>
      </c>
      <c r="B546" s="15" t="inlineStr">
        <is>
          <t>7411</t>
        </is>
      </c>
      <c r="C546" s="16" t="inlineStr">
        <is>
          <t>Building and Related Electricians</t>
        </is>
      </c>
      <c r="D546" s="15" t="inlineStr">
        <is>
          <t>7413</t>
        </is>
      </c>
      <c r="E546" s="16" t="inlineStr">
        <is>
          <t>Electrical Line Installers and Repairers</t>
        </is>
      </c>
      <c r="F546" s="16" t="inlineStr">
        <is>
          <t>반도체 / 전자회로 / 하드웨어</t>
        </is>
      </c>
      <c r="G546" s="15" t="inlineStr">
        <is>
          <t>horizontal_transfer</t>
        </is>
      </c>
      <c r="H546" s="16" t="inlineStr">
        <is>
          <t>installing, repairing, overhead</t>
        </is>
      </c>
      <c r="I546" s="16" t="inlineStr">
        <is>
          <t>심화 Electrical Line Installers and Repairers 실무, 프로젝트 관리 역량</t>
        </is>
      </c>
      <c r="J546" s="16" t="inlineStr">
        <is>
          <t>실무 1년 이상 및 전문 자격</t>
        </is>
      </c>
      <c r="K546" s="15" t="inlineStr">
        <is>
          <t>★★☆☆☆</t>
        </is>
      </c>
      <c r="L546" s="20" t="inlineStr">
        <is>
          <t>+15.0%</t>
        </is>
      </c>
    </row>
    <row r="547">
      <c r="A547" s="17" t="inlineStr">
        <is>
          <t>TR-0546</t>
        </is>
      </c>
      <c r="B547" s="17" t="inlineStr">
        <is>
          <t>7412</t>
        </is>
      </c>
      <c r="C547" s="18" t="inlineStr">
        <is>
          <t>Electrical Mechanics and Fitters</t>
        </is>
      </c>
      <c r="D547" s="17" t="inlineStr">
        <is>
          <t>7421</t>
        </is>
      </c>
      <c r="E547" s="18" t="inlineStr">
        <is>
          <t>Electronics Mechanics and Servicers</t>
        </is>
      </c>
      <c r="F547" s="18" t="inlineStr">
        <is>
          <t>반도체 / 전자회로 / 하드웨어</t>
        </is>
      </c>
      <c r="G547" s="17" t="inlineStr">
        <is>
          <t>horizontal_transfer</t>
        </is>
      </c>
      <c r="H547" s="18" t="inlineStr">
        <is>
          <t>examining, testing, machines</t>
        </is>
      </c>
      <c r="I547" s="18" t="inlineStr">
        <is>
          <t>심화 Electronics Mechanics and Servicers 실무, 프로젝트 관리 역량</t>
        </is>
      </c>
      <c r="J547" s="18" t="inlineStr">
        <is>
          <t>실무 1년 이상 및 전문 자격</t>
        </is>
      </c>
      <c r="K547" s="17" t="inlineStr">
        <is>
          <t>★★☆☆☆</t>
        </is>
      </c>
      <c r="L547" s="21" t="inlineStr">
        <is>
          <t>+15.0%</t>
        </is>
      </c>
    </row>
    <row r="548">
      <c r="A548" s="15" t="inlineStr">
        <is>
          <t>TR-0547</t>
        </is>
      </c>
      <c r="B548" s="15" t="inlineStr">
        <is>
          <t>7412</t>
        </is>
      </c>
      <c r="C548" s="16" t="inlineStr">
        <is>
          <t>Electrical Mechanics and Fitters</t>
        </is>
      </c>
      <c r="D548" s="15" t="inlineStr">
        <is>
          <t>8212</t>
        </is>
      </c>
      <c r="E548" s="16" t="inlineStr">
        <is>
          <t>Electrical and Electronic Equipment Assemblers</t>
        </is>
      </c>
      <c r="F548" s="16" t="inlineStr">
        <is>
          <t>반도체 / 전자회로 / 하드웨어</t>
        </is>
      </c>
      <c r="G548" s="15" t="inlineStr">
        <is>
          <t>horizontal_transfer</t>
        </is>
      </c>
      <c r="H548" s="16" t="inlineStr">
        <is>
          <t>assembling, component, parts</t>
        </is>
      </c>
      <c r="I548" s="16" t="inlineStr">
        <is>
          <t>심화 Electrical and Electronic Equipment Assemblers 실무, 프로젝트 관리 역량</t>
        </is>
      </c>
      <c r="J548" s="16" t="inlineStr">
        <is>
          <t>실무 1년 이상 및 전문 자격</t>
        </is>
      </c>
      <c r="K548" s="15" t="inlineStr">
        <is>
          <t>★★☆☆☆</t>
        </is>
      </c>
      <c r="L548" s="20" t="inlineStr">
        <is>
          <t>+15.0%</t>
        </is>
      </c>
    </row>
    <row r="549">
      <c r="A549" s="17" t="inlineStr">
        <is>
          <t>TR-0548</t>
        </is>
      </c>
      <c r="B549" s="17" t="inlineStr">
        <is>
          <t>7413</t>
        </is>
      </c>
      <c r="C549" s="18" t="inlineStr">
        <is>
          <t>Electrical Line Installers and Repairers</t>
        </is>
      </c>
      <c r="D549" s="17" t="inlineStr">
        <is>
          <t>7422</t>
        </is>
      </c>
      <c r="E549" s="18" t="inlineStr">
        <is>
          <t>Information and Communications Technology Installers and Servicers</t>
        </is>
      </c>
      <c r="F549" s="18" t="inlineStr">
        <is>
          <t>반도체 / 전자회로 / 하드웨어</t>
        </is>
      </c>
      <c r="G549" s="17" t="inlineStr">
        <is>
          <t>horizontal_transfer</t>
        </is>
      </c>
      <c r="H549" s="18" t="inlineStr">
        <is>
          <t>maintaining, troubleshooting, testing</t>
        </is>
      </c>
      <c r="I549" s="18" t="inlineStr">
        <is>
          <t>심화 Information and Communications Technology Installers and Servicers 실무, 프로젝트 관리 역량</t>
        </is>
      </c>
      <c r="J549" s="18" t="inlineStr">
        <is>
          <t>실무 1년 이상 및 전문 자격</t>
        </is>
      </c>
      <c r="K549" s="17" t="inlineStr">
        <is>
          <t>★★☆☆☆</t>
        </is>
      </c>
      <c r="L549" s="21" t="inlineStr">
        <is>
          <t>+15.0%</t>
        </is>
      </c>
    </row>
    <row r="550">
      <c r="A550" s="15" t="inlineStr">
        <is>
          <t>TR-0549</t>
        </is>
      </c>
      <c r="B550" s="15" t="inlineStr">
        <is>
          <t>7421</t>
        </is>
      </c>
      <c r="C550" s="16" t="inlineStr">
        <is>
          <t>Electronics Mechanics and Servicers</t>
        </is>
      </c>
      <c r="D550" s="15" t="inlineStr">
        <is>
          <t>3155</t>
        </is>
      </c>
      <c r="E550" s="16" t="inlineStr">
        <is>
          <t>Air Traffic Safety Electronics Technicians</t>
        </is>
      </c>
      <c r="F550" s="16" t="inlineStr">
        <is>
          <t>반도체 / 전자회로 / 하드웨어</t>
        </is>
      </c>
      <c r="G550" s="15" t="inlineStr">
        <is>
          <t>vertical_promotion</t>
        </is>
      </c>
      <c r="H550" s="16" t="inlineStr">
        <is>
          <t>carrying, technical, duties</t>
        </is>
      </c>
      <c r="I550" s="16" t="inlineStr">
        <is>
          <t>심화 Air Traffic Safety Electronics Technicians 실무, 프로젝트 관리 역량</t>
        </is>
      </c>
      <c r="J550" s="16" t="inlineStr">
        <is>
          <t>실무 2년 이상 및 전문 자격</t>
        </is>
      </c>
      <c r="K550" s="15" t="inlineStr">
        <is>
          <t>★★★☆☆</t>
        </is>
      </c>
      <c r="L550" s="20" t="inlineStr">
        <is>
          <t>+25.0%</t>
        </is>
      </c>
    </row>
    <row r="551">
      <c r="A551" s="17" t="inlineStr">
        <is>
          <t>TR-0550</t>
        </is>
      </c>
      <c r="B551" s="17" t="inlineStr">
        <is>
          <t>7422</t>
        </is>
      </c>
      <c r="C551" s="18" t="inlineStr">
        <is>
          <t>Information and Communications Technology Installers and Servicers</t>
        </is>
      </c>
      <c r="D551" s="17" t="inlineStr">
        <is>
          <t>3522</t>
        </is>
      </c>
      <c r="E551" s="18" t="inlineStr">
        <is>
          <t>Telecommunications Engineering Technicians</t>
        </is>
      </c>
      <c r="F551" s="18" t="inlineStr">
        <is>
          <t>반도체 / 전자회로 / 하드웨어</t>
        </is>
      </c>
      <c r="G551" s="17" t="inlineStr">
        <is>
          <t>vertical_promotion</t>
        </is>
      </c>
      <c r="H551" s="18" t="inlineStr">
        <is>
          <t>technical, assistance, connected</t>
        </is>
      </c>
      <c r="I551" s="18" t="inlineStr">
        <is>
          <t>심화 Telecommunications Engineering Technicians 실무, 프로젝트 관리 역량</t>
        </is>
      </c>
      <c r="J551" s="18" t="inlineStr">
        <is>
          <t>실무 2년 이상 및 전문 자격</t>
        </is>
      </c>
      <c r="K551" s="17" t="inlineStr">
        <is>
          <t>★★★☆☆</t>
        </is>
      </c>
      <c r="L551" s="21" t="inlineStr">
        <is>
          <t>+25.0%</t>
        </is>
      </c>
    </row>
    <row r="552">
      <c r="A552" s="15" t="inlineStr">
        <is>
          <t>TR-0551</t>
        </is>
      </c>
      <c r="B552" s="15" t="inlineStr">
        <is>
          <t>7511</t>
        </is>
      </c>
      <c r="C552" s="16" t="inlineStr">
        <is>
          <t>Butchers, Fishmongers and Related Food Preparers</t>
        </is>
      </c>
      <c r="D552" s="15" t="inlineStr">
        <is>
          <t>5221</t>
        </is>
      </c>
      <c r="E552" s="16" t="inlineStr">
        <is>
          <t>Shopkeepers</t>
        </is>
      </c>
      <c r="F552" s="16" t="inlineStr">
        <is>
          <t>모빌리티 / 자율주행 / 로보틱스</t>
        </is>
      </c>
      <c r="G552" s="15" t="inlineStr">
        <is>
          <t>horizontal_transfer</t>
        </is>
      </c>
      <c r="H552" s="16" t="inlineStr">
        <is>
          <t>determining, product, stock</t>
        </is>
      </c>
      <c r="I552" s="16" t="inlineStr">
        <is>
          <t>심화 Shopkeepers 실무, 프로젝트 관리 역량</t>
        </is>
      </c>
      <c r="J552" s="16" t="inlineStr">
        <is>
          <t>실무 1년 이상 및 전문 자격</t>
        </is>
      </c>
      <c r="K552" s="15" t="inlineStr">
        <is>
          <t>★★☆☆☆</t>
        </is>
      </c>
      <c r="L552" s="20" t="inlineStr">
        <is>
          <t>+15.0%</t>
        </is>
      </c>
    </row>
    <row r="553">
      <c r="A553" s="17" t="inlineStr">
        <is>
          <t>TR-0552</t>
        </is>
      </c>
      <c r="B553" s="17" t="inlineStr">
        <is>
          <t>7511</t>
        </is>
      </c>
      <c r="C553" s="18" t="inlineStr">
        <is>
          <t>Butchers, Fishmongers and Related Food Preparers</t>
        </is>
      </c>
      <c r="D553" s="17" t="inlineStr">
        <is>
          <t>8160</t>
        </is>
      </c>
      <c r="E553" s="18" t="inlineStr">
        <is>
          <t>Food and Related Products Machine Operators</t>
        </is>
      </c>
      <c r="F553" s="18" t="inlineStr">
        <is>
          <t>모빌리티 / 자율주행 / 로보틱스</t>
        </is>
      </c>
      <c r="G553" s="17" t="inlineStr">
        <is>
          <t>horizontal_transfer</t>
        </is>
      </c>
      <c r="H553" s="18" t="inlineStr">
        <is>
          <t>operating, monitoring, machinery</t>
        </is>
      </c>
      <c r="I553" s="18" t="inlineStr">
        <is>
          <t>심화 Food and Related Products Machine Operators 실무, 프로젝트 관리 역량</t>
        </is>
      </c>
      <c r="J553" s="18" t="inlineStr">
        <is>
          <t>실무 1년 이상 및 전문 자격</t>
        </is>
      </c>
      <c r="K553" s="17" t="inlineStr">
        <is>
          <t>★★☆☆☆</t>
        </is>
      </c>
      <c r="L553" s="21" t="inlineStr">
        <is>
          <t>+15.0%</t>
        </is>
      </c>
    </row>
    <row r="554">
      <c r="A554" s="15" t="inlineStr">
        <is>
          <t>TR-0553</t>
        </is>
      </c>
      <c r="B554" s="15" t="inlineStr">
        <is>
          <t>7512</t>
        </is>
      </c>
      <c r="C554" s="16" t="inlineStr">
        <is>
          <t>Bakers, Pastry-cooks and Confectionery Makers</t>
        </is>
      </c>
      <c r="D554" s="15" t="inlineStr">
        <is>
          <t>5120</t>
        </is>
      </c>
      <c r="E554" s="16" t="inlineStr">
        <is>
          <t>Cooks</t>
        </is>
      </c>
      <c r="F554" s="16" t="inlineStr">
        <is>
          <t>모빌리티 / 자율주행 / 로보틱스</t>
        </is>
      </c>
      <c r="G554" s="15" t="inlineStr">
        <is>
          <t>horizontal_transfer</t>
        </is>
      </c>
      <c r="H554" s="16" t="inlineStr">
        <is>
          <t>planning, meals, preparing</t>
        </is>
      </c>
      <c r="I554" s="16" t="inlineStr">
        <is>
          <t>심화 Cooks 실무, 프로젝트 관리 역량</t>
        </is>
      </c>
      <c r="J554" s="16" t="inlineStr">
        <is>
          <t>실무 1년 이상 및 전문 자격</t>
        </is>
      </c>
      <c r="K554" s="15" t="inlineStr">
        <is>
          <t>★★☆☆☆</t>
        </is>
      </c>
      <c r="L554" s="20" t="inlineStr">
        <is>
          <t>+15.0%</t>
        </is>
      </c>
    </row>
    <row r="555">
      <c r="A555" s="17" t="inlineStr">
        <is>
          <t>TR-0554</t>
        </is>
      </c>
      <c r="B555" s="17" t="inlineStr">
        <is>
          <t>7512</t>
        </is>
      </c>
      <c r="C555" s="18" t="inlineStr">
        <is>
          <t>Bakers, Pastry-cooks and Confectionery Makers</t>
        </is>
      </c>
      <c r="D555" s="17" t="inlineStr">
        <is>
          <t>8160</t>
        </is>
      </c>
      <c r="E555" s="18" t="inlineStr">
        <is>
          <t>Food and Related Products Machine Operators</t>
        </is>
      </c>
      <c r="F555" s="18" t="inlineStr">
        <is>
          <t>모빌리티 / 자율주행 / 로보틱스</t>
        </is>
      </c>
      <c r="G555" s="17" t="inlineStr">
        <is>
          <t>horizontal_transfer</t>
        </is>
      </c>
      <c r="H555" s="18" t="inlineStr">
        <is>
          <t>operating, monitoring, machinery</t>
        </is>
      </c>
      <c r="I555" s="18" t="inlineStr">
        <is>
          <t>심화 Food and Related Products Machine Operators 실무, 프로젝트 관리 역량</t>
        </is>
      </c>
      <c r="J555" s="18" t="inlineStr">
        <is>
          <t>실무 1년 이상 및 전문 자격</t>
        </is>
      </c>
      <c r="K555" s="17" t="inlineStr">
        <is>
          <t>★★☆☆☆</t>
        </is>
      </c>
      <c r="L555" s="21" t="inlineStr">
        <is>
          <t>+15.0%</t>
        </is>
      </c>
    </row>
    <row r="556">
      <c r="A556" s="15" t="inlineStr">
        <is>
          <t>TR-0555</t>
        </is>
      </c>
      <c r="B556" s="15" t="inlineStr">
        <is>
          <t>7513</t>
        </is>
      </c>
      <c r="C556" s="16" t="inlineStr">
        <is>
          <t>Dairy Products Makers</t>
        </is>
      </c>
      <c r="D556" s="15" t="inlineStr">
        <is>
          <t>8160</t>
        </is>
      </c>
      <c r="E556" s="16" t="inlineStr">
        <is>
          <t>Food and Related Products Machine Operators</t>
        </is>
      </c>
      <c r="F556" s="16" t="inlineStr">
        <is>
          <t>모빌리티 / 자율주행 / 로보틱스</t>
        </is>
      </c>
      <c r="G556" s="15" t="inlineStr">
        <is>
          <t>horizontal_transfer</t>
        </is>
      </c>
      <c r="H556" s="16" t="inlineStr">
        <is>
          <t>operating, monitoring, machinery</t>
        </is>
      </c>
      <c r="I556" s="16" t="inlineStr">
        <is>
          <t>심화 Food and Related Products Machine Operators 실무, 프로젝트 관리 역량</t>
        </is>
      </c>
      <c r="J556" s="16" t="inlineStr">
        <is>
          <t>실무 1년 이상 및 전문 자격</t>
        </is>
      </c>
      <c r="K556" s="15" t="inlineStr">
        <is>
          <t>★★☆☆☆</t>
        </is>
      </c>
      <c r="L556" s="20" t="inlineStr">
        <is>
          <t>+15.0%</t>
        </is>
      </c>
    </row>
    <row r="557">
      <c r="A557" s="17" t="inlineStr">
        <is>
          <t>TR-0556</t>
        </is>
      </c>
      <c r="B557" s="17" t="inlineStr">
        <is>
          <t>7514</t>
        </is>
      </c>
      <c r="C557" s="18" t="inlineStr">
        <is>
          <t>Fruit, Vegetable and Related Preservers</t>
        </is>
      </c>
      <c r="D557" s="17" t="inlineStr">
        <is>
          <t>8183</t>
        </is>
      </c>
      <c r="E557" s="18" t="inlineStr">
        <is>
          <t>Packing, Bottling and Labelling Machine Operators</t>
        </is>
      </c>
      <c r="F557" s="18" t="inlineStr">
        <is>
          <t>모빌리티 / 자율주행 / 로보틱스</t>
        </is>
      </c>
      <c r="G557" s="17" t="inlineStr">
        <is>
          <t>horizontal_transfer</t>
        </is>
      </c>
      <c r="H557" s="18" t="inlineStr">
        <is>
          <t>operating, monitoring, machines</t>
        </is>
      </c>
      <c r="I557" s="18" t="inlineStr">
        <is>
          <t>심화 Packing, Bottling and Labelling Machine Operators 실무, 프로젝트 관리 역량</t>
        </is>
      </c>
      <c r="J557" s="18" t="inlineStr">
        <is>
          <t>실무 1년 이상 및 전문 자격</t>
        </is>
      </c>
      <c r="K557" s="17" t="inlineStr">
        <is>
          <t>★★☆☆☆</t>
        </is>
      </c>
      <c r="L557" s="21" t="inlineStr">
        <is>
          <t>+15.0%</t>
        </is>
      </c>
    </row>
    <row r="558">
      <c r="A558" s="15" t="inlineStr">
        <is>
          <t>TR-0557</t>
        </is>
      </c>
      <c r="B558" s="15" t="inlineStr">
        <is>
          <t>7516</t>
        </is>
      </c>
      <c r="C558" s="16" t="inlineStr">
        <is>
          <t>Tobacco Preparers and Tobacco Products Makers</t>
        </is>
      </c>
      <c r="D558" s="15" t="inlineStr">
        <is>
          <t>8160</t>
        </is>
      </c>
      <c r="E558" s="16" t="inlineStr">
        <is>
          <t>Food and Related Products Machine Operators</t>
        </is>
      </c>
      <c r="F558" s="16" t="inlineStr">
        <is>
          <t>모빌리티 / 자율주행 / 로보틱스</t>
        </is>
      </c>
      <c r="G558" s="15" t="inlineStr">
        <is>
          <t>horizontal_transfer</t>
        </is>
      </c>
      <c r="H558" s="16" t="inlineStr">
        <is>
          <t>operating, monitoring, machinery</t>
        </is>
      </c>
      <c r="I558" s="16" t="inlineStr">
        <is>
          <t>심화 Food and Related Products Machine Operators 실무, 프로젝트 관리 역량</t>
        </is>
      </c>
      <c r="J558" s="16" t="inlineStr">
        <is>
          <t>실무 1년 이상 및 전문 자격</t>
        </is>
      </c>
      <c r="K558" s="15" t="inlineStr">
        <is>
          <t>★★☆☆☆</t>
        </is>
      </c>
      <c r="L558" s="20" t="inlineStr">
        <is>
          <t>+15.0%</t>
        </is>
      </c>
    </row>
    <row r="559">
      <c r="A559" s="17" t="inlineStr">
        <is>
          <t>TR-0558</t>
        </is>
      </c>
      <c r="B559" s="17" t="inlineStr">
        <is>
          <t>7521</t>
        </is>
      </c>
      <c r="C559" s="18" t="inlineStr">
        <is>
          <t>Wood Treaters</t>
        </is>
      </c>
      <c r="D559" s="17" t="inlineStr">
        <is>
          <t>8172</t>
        </is>
      </c>
      <c r="E559" s="18" t="inlineStr">
        <is>
          <t>Wood Processing Plant Operators</t>
        </is>
      </c>
      <c r="F559" s="18" t="inlineStr">
        <is>
          <t>모빌리티 / 자율주행 / 로보틱스</t>
        </is>
      </c>
      <c r="G559" s="17" t="inlineStr">
        <is>
          <t>horizontal_transfer</t>
        </is>
      </c>
      <c r="H559" s="18" t="inlineStr">
        <is>
          <t>examining, logs, rough</t>
        </is>
      </c>
      <c r="I559" s="18" t="inlineStr">
        <is>
          <t>심화 Wood Processing Plant Operators 실무, 프로젝트 관리 역량</t>
        </is>
      </c>
      <c r="J559" s="18" t="inlineStr">
        <is>
          <t>실무 1년 이상 및 전문 자격</t>
        </is>
      </c>
      <c r="K559" s="17" t="inlineStr">
        <is>
          <t>★★☆☆☆</t>
        </is>
      </c>
      <c r="L559" s="21" t="inlineStr">
        <is>
          <t>+15.0%</t>
        </is>
      </c>
    </row>
    <row r="560">
      <c r="A560" s="15" t="inlineStr">
        <is>
          <t>TR-0559</t>
        </is>
      </c>
      <c r="B560" s="15" t="inlineStr">
        <is>
          <t>7522</t>
        </is>
      </c>
      <c r="C560" s="16" t="inlineStr">
        <is>
          <t>Cabinet-makers and Related Workers</t>
        </is>
      </c>
      <c r="D560" s="15" t="inlineStr">
        <is>
          <t>7115</t>
        </is>
      </c>
      <c r="E560" s="16" t="inlineStr">
        <is>
          <t>Carpenters and Joiners</t>
        </is>
      </c>
      <c r="F560" s="16" t="inlineStr">
        <is>
          <t>모빌리티 / 자율주행 / 로보틱스</t>
        </is>
      </c>
      <c r="G560" s="15" t="inlineStr">
        <is>
          <t>horizontal_transfer</t>
        </is>
      </c>
      <c r="H560" s="16" t="inlineStr">
        <is>
          <t>making, altering, repairing</t>
        </is>
      </c>
      <c r="I560" s="16" t="inlineStr">
        <is>
          <t>심화 Carpenters and Joiners 실무, 프로젝트 관리 역량</t>
        </is>
      </c>
      <c r="J560" s="16" t="inlineStr">
        <is>
          <t>실무 1년 이상 및 전문 자격</t>
        </is>
      </c>
      <c r="K560" s="15" t="inlineStr">
        <is>
          <t>★★☆☆☆</t>
        </is>
      </c>
      <c r="L560" s="20" t="inlineStr">
        <is>
          <t>+15.0%</t>
        </is>
      </c>
    </row>
    <row r="561">
      <c r="A561" s="17" t="inlineStr">
        <is>
          <t>TR-0560</t>
        </is>
      </c>
      <c r="B561" s="17" t="inlineStr">
        <is>
          <t>7522</t>
        </is>
      </c>
      <c r="C561" s="18" t="inlineStr">
        <is>
          <t>Cabinet-makers and Related Workers</t>
        </is>
      </c>
      <c r="D561" s="17" t="inlineStr">
        <is>
          <t>8219</t>
        </is>
      </c>
      <c r="E561" s="18" t="inlineStr">
        <is>
          <t>Assemblers Not Elsewhere Classified</t>
        </is>
      </c>
      <c r="F561" s="18" t="inlineStr">
        <is>
          <t>모빌리티 / 자율주행 / 로보틱스</t>
        </is>
      </c>
      <c r="G561" s="17" t="inlineStr">
        <is>
          <t>horizontal_transfer</t>
        </is>
      </c>
      <c r="H561" s="18" t="inlineStr">
        <is>
          <t>assembling, component, parts</t>
        </is>
      </c>
      <c r="I561" s="18" t="inlineStr">
        <is>
          <t>심화 Assemblers Not Elsewhere Classified 실무, 프로젝트 관리 역량</t>
        </is>
      </c>
      <c r="J561" s="18" t="inlineStr">
        <is>
          <t>실무 1년 이상 및 전문 자격</t>
        </is>
      </c>
      <c r="K561" s="17" t="inlineStr">
        <is>
          <t>★★☆☆☆</t>
        </is>
      </c>
      <c r="L561" s="21" t="inlineStr">
        <is>
          <t>+15.0%</t>
        </is>
      </c>
    </row>
    <row r="562">
      <c r="A562" s="15" t="inlineStr">
        <is>
          <t>TR-0561</t>
        </is>
      </c>
      <c r="B562" s="15" t="inlineStr">
        <is>
          <t>7523</t>
        </is>
      </c>
      <c r="C562" s="16" t="inlineStr">
        <is>
          <t>Woodworking Machine Tool Setters and Operators</t>
        </is>
      </c>
      <c r="D562" s="15" t="inlineStr">
        <is>
          <t>8219</t>
        </is>
      </c>
      <c r="E562" s="16" t="inlineStr">
        <is>
          <t>Assemblers Not Elsewhere Classified</t>
        </is>
      </c>
      <c r="F562" s="16" t="inlineStr">
        <is>
          <t>모빌리티 / 자율주행 / 로보틱스</t>
        </is>
      </c>
      <c r="G562" s="15" t="inlineStr">
        <is>
          <t>horizontal_transfer</t>
        </is>
      </c>
      <c r="H562" s="16" t="inlineStr">
        <is>
          <t>assembling, component, parts</t>
        </is>
      </c>
      <c r="I562" s="16" t="inlineStr">
        <is>
          <t>심화 Assemblers Not Elsewhere Classified 실무, 프로젝트 관리 역량</t>
        </is>
      </c>
      <c r="J562" s="16" t="inlineStr">
        <is>
          <t>실무 1년 이상 및 전문 자격</t>
        </is>
      </c>
      <c r="K562" s="15" t="inlineStr">
        <is>
          <t>★★☆☆☆</t>
        </is>
      </c>
      <c r="L562" s="20" t="inlineStr">
        <is>
          <t>+15.0%</t>
        </is>
      </c>
    </row>
    <row r="563">
      <c r="A563" s="17" t="inlineStr">
        <is>
          <t>TR-0562</t>
        </is>
      </c>
      <c r="B563" s="17" t="inlineStr">
        <is>
          <t>7531</t>
        </is>
      </c>
      <c r="C563" s="18" t="inlineStr">
        <is>
          <t>Tailors, Dressmakers, Furriers and Hatters</t>
        </is>
      </c>
      <c r="D563" s="17" t="inlineStr">
        <is>
          <t>7318</t>
        </is>
      </c>
      <c r="E563" s="18" t="inlineStr">
        <is>
          <t>Handicraft Workers in Textile, Leather and Related Materials</t>
        </is>
      </c>
      <c r="F563" s="18" t="inlineStr">
        <is>
          <t>모빌리티 / 자율주행 / 로보틱스</t>
        </is>
      </c>
      <c r="G563" s="17" t="inlineStr">
        <is>
          <t>horizontal_transfer</t>
        </is>
      </c>
      <c r="H563" s="18" t="inlineStr">
        <is>
          <t>spinning, dyeing, with</t>
        </is>
      </c>
      <c r="I563" s="18" t="inlineStr">
        <is>
          <t>심화 Handicraft Workers in Textile, Leather and Related Materials 실무, 프로젝트 관리 역량</t>
        </is>
      </c>
      <c r="J563" s="18" t="inlineStr">
        <is>
          <t>실무 1년 이상 및 전문 자격</t>
        </is>
      </c>
      <c r="K563" s="17" t="inlineStr">
        <is>
          <t>★★☆☆☆</t>
        </is>
      </c>
      <c r="L563" s="21" t="inlineStr">
        <is>
          <t>+15.0%</t>
        </is>
      </c>
    </row>
    <row r="564">
      <c r="A564" s="15" t="inlineStr">
        <is>
          <t>TR-0563</t>
        </is>
      </c>
      <c r="B564" s="15" t="inlineStr">
        <is>
          <t>7531</t>
        </is>
      </c>
      <c r="C564" s="16" t="inlineStr">
        <is>
          <t>Tailors, Dressmakers, Furriers and Hatters</t>
        </is>
      </c>
      <c r="D564" s="15" t="inlineStr">
        <is>
          <t>8153</t>
        </is>
      </c>
      <c r="E564" s="16" t="inlineStr">
        <is>
          <t>Sewing Machine Operators</t>
        </is>
      </c>
      <c r="F564" s="16" t="inlineStr">
        <is>
          <t>모빌리티 / 자율주행 / 로보틱스</t>
        </is>
      </c>
      <c r="G564" s="15" t="inlineStr">
        <is>
          <t>horizontal_transfer</t>
        </is>
      </c>
      <c r="H564" s="16" t="inlineStr">
        <is>
          <t>operating, tending, sewing</t>
        </is>
      </c>
      <c r="I564" s="16" t="inlineStr">
        <is>
          <t>심화 Sewing Machine Operators 실무, 프로젝트 관리 역량</t>
        </is>
      </c>
      <c r="J564" s="16" t="inlineStr">
        <is>
          <t>실무 1년 이상 및 전문 자격</t>
        </is>
      </c>
      <c r="K564" s="15" t="inlineStr">
        <is>
          <t>★★☆☆☆</t>
        </is>
      </c>
      <c r="L564" s="20" t="inlineStr">
        <is>
          <t>+15.0%</t>
        </is>
      </c>
    </row>
    <row r="565">
      <c r="A565" s="17" t="inlineStr">
        <is>
          <t>TR-0564</t>
        </is>
      </c>
      <c r="B565" s="17" t="inlineStr">
        <is>
          <t>7532</t>
        </is>
      </c>
      <c r="C565" s="18" t="inlineStr">
        <is>
          <t>Garment and Related Patternmakers and Cutters</t>
        </is>
      </c>
      <c r="D565" s="17" t="inlineStr">
        <is>
          <t>8159</t>
        </is>
      </c>
      <c r="E565" s="18" t="inlineStr">
        <is>
          <t>Textile, Fur and Leather Products Machine Operators Not Elsewhere Classified</t>
        </is>
      </c>
      <c r="F565" s="18" t="inlineStr">
        <is>
          <t>모빌리티 / 자율주행 / 로보틱스</t>
        </is>
      </c>
      <c r="G565" s="17" t="inlineStr">
        <is>
          <t>horizontal_transfer</t>
        </is>
      </c>
      <c r="H565" s="18" t="inlineStr">
        <is>
          <t>such, cases, would</t>
        </is>
      </c>
      <c r="I565" s="18" t="inlineStr">
        <is>
          <t>심화 Textile, Fur and Leather Products Machine Operators Not Elsewhere Classified 실무, 프로젝트 관리 역량</t>
        </is>
      </c>
      <c r="J565" s="18" t="inlineStr">
        <is>
          <t>실무 1년 이상 및 전문 자격</t>
        </is>
      </c>
      <c r="K565" s="17" t="inlineStr">
        <is>
          <t>★★☆☆☆</t>
        </is>
      </c>
      <c r="L565" s="21" t="inlineStr">
        <is>
          <t>+15.0%</t>
        </is>
      </c>
    </row>
    <row r="566">
      <c r="A566" s="15" t="inlineStr">
        <is>
          <t>TR-0565</t>
        </is>
      </c>
      <c r="B566" s="15" t="inlineStr">
        <is>
          <t>7533</t>
        </is>
      </c>
      <c r="C566" s="16" t="inlineStr">
        <is>
          <t>Sewing, Embroidery and Related Workers</t>
        </is>
      </c>
      <c r="D566" s="15" t="inlineStr">
        <is>
          <t>7318</t>
        </is>
      </c>
      <c r="E566" s="16" t="inlineStr">
        <is>
          <t>Handicraft Workers in Textile, Leather and Related Materials</t>
        </is>
      </c>
      <c r="F566" s="16" t="inlineStr">
        <is>
          <t>모빌리티 / 자율주행 / 로보틱스</t>
        </is>
      </c>
      <c r="G566" s="15" t="inlineStr">
        <is>
          <t>horizontal_transfer</t>
        </is>
      </c>
      <c r="H566" s="16" t="inlineStr">
        <is>
          <t>spinning, dyeing, with</t>
        </is>
      </c>
      <c r="I566" s="16" t="inlineStr">
        <is>
          <t>심화 Handicraft Workers in Textile, Leather and Related Materials 실무, 프로젝트 관리 역량</t>
        </is>
      </c>
      <c r="J566" s="16" t="inlineStr">
        <is>
          <t>실무 1년 이상 및 전문 자격</t>
        </is>
      </c>
      <c r="K566" s="15" t="inlineStr">
        <is>
          <t>★★☆☆☆</t>
        </is>
      </c>
      <c r="L566" s="20" t="inlineStr">
        <is>
          <t>+15.0%</t>
        </is>
      </c>
    </row>
    <row r="567">
      <c r="A567" s="17" t="inlineStr">
        <is>
          <t>TR-0566</t>
        </is>
      </c>
      <c r="B567" s="17" t="inlineStr">
        <is>
          <t>7533</t>
        </is>
      </c>
      <c r="C567" s="18" t="inlineStr">
        <is>
          <t>Sewing, Embroidery and Related Workers</t>
        </is>
      </c>
      <c r="D567" s="17" t="inlineStr">
        <is>
          <t>7531</t>
        </is>
      </c>
      <c r="E567" s="18" t="inlineStr">
        <is>
          <t>Tailors, Dressmakers, Furriers and Hatters</t>
        </is>
      </c>
      <c r="F567" s="18" t="inlineStr">
        <is>
          <t>모빌리티 / 자율주행 / 로보틱스</t>
        </is>
      </c>
      <c r="G567" s="17" t="inlineStr">
        <is>
          <t>horizontal_transfer</t>
        </is>
      </c>
      <c r="H567" s="18" t="inlineStr">
        <is>
          <t>making, overcoats, suits</t>
        </is>
      </c>
      <c r="I567" s="18" t="inlineStr">
        <is>
          <t>심화 Tailors, Dressmakers, Furriers and Hatters 실무, 프로젝트 관리 역량</t>
        </is>
      </c>
      <c r="J567" s="18" t="inlineStr">
        <is>
          <t>실무 1년 이상 및 전문 자격</t>
        </is>
      </c>
      <c r="K567" s="17" t="inlineStr">
        <is>
          <t>★★☆☆☆</t>
        </is>
      </c>
      <c r="L567" s="21" t="inlineStr">
        <is>
          <t>+15.0%</t>
        </is>
      </c>
    </row>
    <row r="568">
      <c r="A568" s="15" t="inlineStr">
        <is>
          <t>TR-0567</t>
        </is>
      </c>
      <c r="B568" s="15" t="inlineStr">
        <is>
          <t>7533</t>
        </is>
      </c>
      <c r="C568" s="16" t="inlineStr">
        <is>
          <t>Sewing, Embroidery and Related Workers</t>
        </is>
      </c>
      <c r="D568" s="15" t="inlineStr">
        <is>
          <t>8153</t>
        </is>
      </c>
      <c r="E568" s="16" t="inlineStr">
        <is>
          <t>Sewing Machine Operators</t>
        </is>
      </c>
      <c r="F568" s="16" t="inlineStr">
        <is>
          <t>모빌리티 / 자율주행 / 로보틱스</t>
        </is>
      </c>
      <c r="G568" s="15" t="inlineStr">
        <is>
          <t>horizontal_transfer</t>
        </is>
      </c>
      <c r="H568" s="16" t="inlineStr">
        <is>
          <t>operating, tending, sewing</t>
        </is>
      </c>
      <c r="I568" s="16" t="inlineStr">
        <is>
          <t>심화 Sewing Machine Operators 실무, 프로젝트 관리 역량</t>
        </is>
      </c>
      <c r="J568" s="16" t="inlineStr">
        <is>
          <t>실무 1년 이상 및 전문 자격</t>
        </is>
      </c>
      <c r="K568" s="15" t="inlineStr">
        <is>
          <t>★★☆☆☆</t>
        </is>
      </c>
      <c r="L568" s="20" t="inlineStr">
        <is>
          <t>+15.0%</t>
        </is>
      </c>
    </row>
    <row r="569">
      <c r="A569" s="17" t="inlineStr">
        <is>
          <t>TR-0568</t>
        </is>
      </c>
      <c r="B569" s="17" t="inlineStr">
        <is>
          <t>7534</t>
        </is>
      </c>
      <c r="C569" s="18" t="inlineStr">
        <is>
          <t>Upholsterers and Related Workers</t>
        </is>
      </c>
      <c r="D569" s="17" t="inlineStr">
        <is>
          <t>8153</t>
        </is>
      </c>
      <c r="E569" s="18" t="inlineStr">
        <is>
          <t>Sewing Machine Operators</t>
        </is>
      </c>
      <c r="F569" s="18" t="inlineStr">
        <is>
          <t>모빌리티 / 자율주행 / 로보틱스</t>
        </is>
      </c>
      <c r="G569" s="17" t="inlineStr">
        <is>
          <t>horizontal_transfer</t>
        </is>
      </c>
      <c r="H569" s="18" t="inlineStr">
        <is>
          <t>operating, tending, sewing</t>
        </is>
      </c>
      <c r="I569" s="18" t="inlineStr">
        <is>
          <t>심화 Sewing Machine Operators 실무, 프로젝트 관리 역량</t>
        </is>
      </c>
      <c r="J569" s="18" t="inlineStr">
        <is>
          <t>실무 1년 이상 및 전문 자격</t>
        </is>
      </c>
      <c r="K569" s="17" t="inlineStr">
        <is>
          <t>★★☆☆☆</t>
        </is>
      </c>
      <c r="L569" s="21" t="inlineStr">
        <is>
          <t>+15.0%</t>
        </is>
      </c>
    </row>
    <row r="570">
      <c r="A570" s="15" t="inlineStr">
        <is>
          <t>TR-0569</t>
        </is>
      </c>
      <c r="B570" s="15" t="inlineStr">
        <is>
          <t>7535</t>
        </is>
      </c>
      <c r="C570" s="16" t="inlineStr">
        <is>
          <t>Pelt Dressers, Tanners and Fellmongers</t>
        </is>
      </c>
      <c r="D570" s="15" t="inlineStr">
        <is>
          <t>8155</t>
        </is>
      </c>
      <c r="E570" s="16" t="inlineStr">
        <is>
          <t>Fur and Leather Preparing Machine Operators</t>
        </is>
      </c>
      <c r="F570" s="16" t="inlineStr">
        <is>
          <t>모빌리티 / 자율주행 / 로보틱스</t>
        </is>
      </c>
      <c r="G570" s="15" t="inlineStr">
        <is>
          <t>horizontal_transfer</t>
        </is>
      </c>
      <c r="H570" s="16" t="inlineStr">
        <is>
          <t>operating, monitoring, machines</t>
        </is>
      </c>
      <c r="I570" s="16" t="inlineStr">
        <is>
          <t>심화 Fur and Leather Preparing Machine Operators 실무, 프로젝트 관리 역량</t>
        </is>
      </c>
      <c r="J570" s="16" t="inlineStr">
        <is>
          <t>실무 1년 이상 및 전문 자격</t>
        </is>
      </c>
      <c r="K570" s="15" t="inlineStr">
        <is>
          <t>★★☆☆☆</t>
        </is>
      </c>
      <c r="L570" s="20" t="inlineStr">
        <is>
          <t>+15.0%</t>
        </is>
      </c>
    </row>
    <row r="571">
      <c r="A571" s="17" t="inlineStr">
        <is>
          <t>TR-0570</t>
        </is>
      </c>
      <c r="B571" s="17" t="inlineStr">
        <is>
          <t>7536</t>
        </is>
      </c>
      <c r="C571" s="18" t="inlineStr">
        <is>
          <t>Shoemakers and Related Workers</t>
        </is>
      </c>
      <c r="D571" s="17" t="inlineStr">
        <is>
          <t>7531</t>
        </is>
      </c>
      <c r="E571" s="18" t="inlineStr">
        <is>
          <t>Tailors, Dressmakers, Furriers and Hatters</t>
        </is>
      </c>
      <c r="F571" s="18" t="inlineStr">
        <is>
          <t>모빌리티 / 자율주행 / 로보틱스</t>
        </is>
      </c>
      <c r="G571" s="17" t="inlineStr">
        <is>
          <t>horizontal_transfer</t>
        </is>
      </c>
      <c r="H571" s="18" t="inlineStr">
        <is>
          <t>making, overcoats, suits</t>
        </is>
      </c>
      <c r="I571" s="18" t="inlineStr">
        <is>
          <t>심화 Tailors, Dressmakers, Furriers and Hatters 실무, 프로젝트 관리 역량</t>
        </is>
      </c>
      <c r="J571" s="18" t="inlineStr">
        <is>
          <t>실무 1년 이상 및 전문 자격</t>
        </is>
      </c>
      <c r="K571" s="17" t="inlineStr">
        <is>
          <t>★★☆☆☆</t>
        </is>
      </c>
      <c r="L571" s="21" t="inlineStr">
        <is>
          <t>+15.0%</t>
        </is>
      </c>
    </row>
    <row r="572">
      <c r="A572" s="15" t="inlineStr">
        <is>
          <t>TR-0571</t>
        </is>
      </c>
      <c r="B572" s="15" t="inlineStr">
        <is>
          <t>7536</t>
        </is>
      </c>
      <c r="C572" s="16" t="inlineStr">
        <is>
          <t>Shoemakers and Related Workers</t>
        </is>
      </c>
      <c r="D572" s="15" t="inlineStr">
        <is>
          <t>8156</t>
        </is>
      </c>
      <c r="E572" s="16" t="inlineStr">
        <is>
          <t>Shoemaking and Related Machine Operators</t>
        </is>
      </c>
      <c r="F572" s="16" t="inlineStr">
        <is>
          <t>모빌리티 / 자율주행 / 로보틱스</t>
        </is>
      </c>
      <c r="G572" s="15" t="inlineStr">
        <is>
          <t>horizontal_transfer</t>
        </is>
      </c>
      <c r="H572" s="16" t="inlineStr">
        <is>
          <t>operating, monitoring, machines</t>
        </is>
      </c>
      <c r="I572" s="16" t="inlineStr">
        <is>
          <t>심화 Shoemaking and Related Machine Operators 실무, 프로젝트 관리 역량</t>
        </is>
      </c>
      <c r="J572" s="16" t="inlineStr">
        <is>
          <t>실무 1년 이상 및 전문 자격</t>
        </is>
      </c>
      <c r="K572" s="15" t="inlineStr">
        <is>
          <t>★★☆☆☆</t>
        </is>
      </c>
      <c r="L572" s="20" t="inlineStr">
        <is>
          <t>+15.0%</t>
        </is>
      </c>
    </row>
    <row r="573">
      <c r="A573" s="17" t="inlineStr">
        <is>
          <t>TR-0572</t>
        </is>
      </c>
      <c r="B573" s="17" t="inlineStr">
        <is>
          <t>7541</t>
        </is>
      </c>
      <c r="C573" s="18" t="inlineStr">
        <is>
          <t>Underwater Divers</t>
        </is>
      </c>
      <c r="D573" s="17" t="inlineStr">
        <is>
          <t>6340</t>
        </is>
      </c>
      <c r="E573" s="18" t="inlineStr">
        <is>
          <t>Subsistence Fishers, Hunters, Trappers and Gatherers</t>
        </is>
      </c>
      <c r="F573" s="18" t="inlineStr">
        <is>
          <t>모빌리티 / 자율주행 / 로보틱스</t>
        </is>
      </c>
      <c r="G573" s="17" t="inlineStr">
        <is>
          <t>horizontal_transfer</t>
        </is>
      </c>
      <c r="H573" s="18" t="inlineStr">
        <is>
          <t>gathering, wild, fruits</t>
        </is>
      </c>
      <c r="I573" s="18" t="inlineStr">
        <is>
          <t>심화 Subsistence Fishers, Hunters, Trappers and Gatherers 실무, 프로젝트 관리 역량</t>
        </is>
      </c>
      <c r="J573" s="18" t="inlineStr">
        <is>
          <t>실무 1년 이상 및 전문 자격</t>
        </is>
      </c>
      <c r="K573" s="17" t="inlineStr">
        <is>
          <t>★★☆☆☆</t>
        </is>
      </c>
      <c r="L573" s="21" t="inlineStr">
        <is>
          <t>+15.0%</t>
        </is>
      </c>
    </row>
    <row r="574">
      <c r="A574" s="15" t="inlineStr">
        <is>
          <t>TR-0573</t>
        </is>
      </c>
      <c r="B574" s="15" t="inlineStr">
        <is>
          <t>7542</t>
        </is>
      </c>
      <c r="C574" s="16" t="inlineStr">
        <is>
          <t>Shotfirers and Blasters</t>
        </is>
      </c>
      <c r="D574" s="15" t="inlineStr">
        <is>
          <t>3121</t>
        </is>
      </c>
      <c r="E574" s="16" t="inlineStr">
        <is>
          <t>Mining Supervisors</t>
        </is>
      </c>
      <c r="F574" s="16" t="inlineStr">
        <is>
          <t>모빌리티 / 자율주행 / 로보틱스</t>
        </is>
      </c>
      <c r="G574" s="15" t="inlineStr">
        <is>
          <t>vertical_promotion</t>
        </is>
      </c>
      <c r="H574" s="16" t="inlineStr">
        <is>
          <t>supervising, coordinating, activities</t>
        </is>
      </c>
      <c r="I574" s="16" t="inlineStr">
        <is>
          <t>심화 Mining Supervisors 실무, 프로젝트 관리 역량</t>
        </is>
      </c>
      <c r="J574" s="16" t="inlineStr">
        <is>
          <t>실무 2년 이상 및 전문 자격</t>
        </is>
      </c>
      <c r="K574" s="15" t="inlineStr">
        <is>
          <t>★★★☆☆</t>
        </is>
      </c>
      <c r="L574" s="20" t="inlineStr">
        <is>
          <t>+25.0%</t>
        </is>
      </c>
    </row>
    <row r="575">
      <c r="A575" s="17" t="inlineStr">
        <is>
          <t>TR-0574</t>
        </is>
      </c>
      <c r="B575" s="17" t="inlineStr">
        <is>
          <t>7542</t>
        </is>
      </c>
      <c r="C575" s="18" t="inlineStr">
        <is>
          <t>Shotfirers and Blasters</t>
        </is>
      </c>
      <c r="D575" s="17" t="inlineStr">
        <is>
          <t>8111</t>
        </is>
      </c>
      <c r="E575" s="18" t="inlineStr">
        <is>
          <t>Miners and Quarriers</t>
        </is>
      </c>
      <c r="F575" s="18" t="inlineStr">
        <is>
          <t>모빌리티 / 자율주행 / 로보틱스</t>
        </is>
      </c>
      <c r="G575" s="17" t="inlineStr">
        <is>
          <t>horizontal_transfer</t>
        </is>
      </c>
      <c r="H575" s="18" t="inlineStr">
        <is>
          <t>positioning, operating, monitoring</t>
        </is>
      </c>
      <c r="I575" s="18" t="inlineStr">
        <is>
          <t>심화 Miners and Quarriers 실무, 프로젝트 관리 역량</t>
        </is>
      </c>
      <c r="J575" s="18" t="inlineStr">
        <is>
          <t>실무 1년 이상 및 전문 자격</t>
        </is>
      </c>
      <c r="K575" s="17" t="inlineStr">
        <is>
          <t>★★☆☆☆</t>
        </is>
      </c>
      <c r="L575" s="21" t="inlineStr">
        <is>
          <t>+15.0%</t>
        </is>
      </c>
    </row>
    <row r="576">
      <c r="A576" s="15" t="inlineStr">
        <is>
          <t>TR-0575</t>
        </is>
      </c>
      <c r="B576" s="15" t="inlineStr">
        <is>
          <t>7542</t>
        </is>
      </c>
      <c r="C576" s="16" t="inlineStr">
        <is>
          <t>Shotfirers and Blasters</t>
        </is>
      </c>
      <c r="D576" s="15" t="inlineStr">
        <is>
          <t>8113</t>
        </is>
      </c>
      <c r="E576" s="16" t="inlineStr">
        <is>
          <t>Well Drillers and Borers and Related Workers</t>
        </is>
      </c>
      <c r="F576" s="16" t="inlineStr">
        <is>
          <t>모빌리티 / 자율주행 / 로보틱스</t>
        </is>
      </c>
      <c r="G576" s="15" t="inlineStr">
        <is>
          <t>horizontal_transfer</t>
        </is>
      </c>
      <c r="H576" s="16" t="inlineStr">
        <is>
          <t>dismantling, moving, assembling</t>
        </is>
      </c>
      <c r="I576" s="16" t="inlineStr">
        <is>
          <t>심화 Well Drillers and Borers and Related Workers 실무, 프로젝트 관리 역량</t>
        </is>
      </c>
      <c r="J576" s="16" t="inlineStr">
        <is>
          <t>실무 1년 이상 및 전문 자격</t>
        </is>
      </c>
      <c r="K576" s="15" t="inlineStr">
        <is>
          <t>★★☆☆☆</t>
        </is>
      </c>
      <c r="L576" s="20" t="inlineStr">
        <is>
          <t>+15.0%</t>
        </is>
      </c>
    </row>
    <row r="577">
      <c r="A577" s="17" t="inlineStr">
        <is>
          <t>TR-0576</t>
        </is>
      </c>
      <c r="B577" s="17" t="inlineStr">
        <is>
          <t>7542</t>
        </is>
      </c>
      <c r="C577" s="18" t="inlineStr">
        <is>
          <t>Shotfirers and Blasters</t>
        </is>
      </c>
      <c r="D577" s="17" t="inlineStr">
        <is>
          <t>9311</t>
        </is>
      </c>
      <c r="E577" s="18" t="inlineStr">
        <is>
          <t>Mining and Quarrying Labourers</t>
        </is>
      </c>
      <c r="F577" s="18" t="inlineStr">
        <is>
          <t>모빌리티 / 자율주행 / 로보틱스</t>
        </is>
      </c>
      <c r="G577" s="17" t="inlineStr">
        <is>
          <t>horizontal_transfer</t>
        </is>
      </c>
      <c r="H577" s="18" t="inlineStr">
        <is>
          <t>assisting, miners, quarriers</t>
        </is>
      </c>
      <c r="I577" s="18" t="inlineStr">
        <is>
          <t>심화 Mining and Quarrying Labourers 실무, 프로젝트 관리 역량</t>
        </is>
      </c>
      <c r="J577" s="18" t="inlineStr">
        <is>
          <t>실무 1년 이상 및 전문 자격</t>
        </is>
      </c>
      <c r="K577" s="17" t="inlineStr">
        <is>
          <t>★★☆☆☆</t>
        </is>
      </c>
      <c r="L577" s="21" t="inlineStr">
        <is>
          <t>+15.0%</t>
        </is>
      </c>
    </row>
    <row r="578">
      <c r="A578" s="15" t="inlineStr">
        <is>
          <t>TR-0577</t>
        </is>
      </c>
      <c r="B578" s="15" t="inlineStr">
        <is>
          <t>7543</t>
        </is>
      </c>
      <c r="C578" s="16" t="inlineStr">
        <is>
          <t>Product Graders and Testers (except Foods and Beverages)</t>
        </is>
      </c>
      <c r="D578" s="15" t="inlineStr">
        <is>
          <t>3257</t>
        </is>
      </c>
      <c r="E578" s="16" t="inlineStr">
        <is>
          <t>Environmental and Occupational Health Inspectors and Associates</t>
        </is>
      </c>
      <c r="F578" s="16" t="inlineStr">
        <is>
          <t>모빌리티 / 자율주행 / 로보틱스</t>
        </is>
      </c>
      <c r="G578" s="15" t="inlineStr">
        <is>
          <t>vertical_promotion</t>
        </is>
      </c>
      <c r="H578" s="16" t="inlineStr">
        <is>
          <t>advising, employers, representatives</t>
        </is>
      </c>
      <c r="I578" s="16" t="inlineStr">
        <is>
          <t>심화 Environmental and Occupational Health Inspectors and Associates 실무, 프로젝트 관리 역량</t>
        </is>
      </c>
      <c r="J578" s="16" t="inlineStr">
        <is>
          <t>실무 2년 이상 및 전문 자격</t>
        </is>
      </c>
      <c r="K578" s="15" t="inlineStr">
        <is>
          <t>★★★☆☆</t>
        </is>
      </c>
      <c r="L578" s="20" t="inlineStr">
        <is>
          <t>+25.0%</t>
        </is>
      </c>
    </row>
    <row r="579">
      <c r="A579" s="17" t="inlineStr">
        <is>
          <t>TR-0578</t>
        </is>
      </c>
      <c r="B579" s="17" t="inlineStr">
        <is>
          <t>7543</t>
        </is>
      </c>
      <c r="C579" s="18" t="inlineStr">
        <is>
          <t>Product Graders and Testers (except Foods and Beverages)</t>
        </is>
      </c>
      <c r="D579" s="17" t="inlineStr">
        <is>
          <t>7515</t>
        </is>
      </c>
      <c r="E579" s="18" t="inlineStr">
        <is>
          <t>Food and Beverage Tasters and Graders</t>
        </is>
      </c>
      <c r="F579" s="18" t="inlineStr">
        <is>
          <t>모빌리티 / 자율주행 / 로보틱스</t>
        </is>
      </c>
      <c r="G579" s="17" t="inlineStr">
        <is>
          <t>horizontal_transfer</t>
        </is>
      </c>
      <c r="H579" s="18" t="inlineStr">
        <is>
          <t>inspecting, testing, tasting</t>
        </is>
      </c>
      <c r="I579" s="18" t="inlineStr">
        <is>
          <t>심화 Food and Beverage Tasters and Graders 실무, 프로젝트 관리 역량</t>
        </is>
      </c>
      <c r="J579" s="18" t="inlineStr">
        <is>
          <t>실무 1년 이상 및 전문 자격</t>
        </is>
      </c>
      <c r="K579" s="17" t="inlineStr">
        <is>
          <t>★★☆☆☆</t>
        </is>
      </c>
      <c r="L579" s="21" t="inlineStr">
        <is>
          <t>+15.0%</t>
        </is>
      </c>
    </row>
    <row r="580">
      <c r="A580" s="15" t="inlineStr">
        <is>
          <t>TR-0579</t>
        </is>
      </c>
      <c r="B580" s="15" t="inlineStr">
        <is>
          <t>7543</t>
        </is>
      </c>
      <c r="C580" s="16" t="inlineStr">
        <is>
          <t>Product Graders and Testers (except Foods and Beverages)</t>
        </is>
      </c>
      <c r="D580" s="15" t="inlineStr">
        <is>
          <t>7531</t>
        </is>
      </c>
      <c r="E580" s="16" t="inlineStr">
        <is>
          <t>Tailors, Dressmakers, Furriers and Hatters</t>
        </is>
      </c>
      <c r="F580" s="16" t="inlineStr">
        <is>
          <t>모빌리티 / 자율주행 / 로보틱스</t>
        </is>
      </c>
      <c r="G580" s="15" t="inlineStr">
        <is>
          <t>horizontal_transfer</t>
        </is>
      </c>
      <c r="H580" s="16" t="inlineStr">
        <is>
          <t>making, overcoats, suits</t>
        </is>
      </c>
      <c r="I580" s="16" t="inlineStr">
        <is>
          <t>심화 Tailors, Dressmakers, Furriers and Hatters 실무, 프로젝트 관리 역량</t>
        </is>
      </c>
      <c r="J580" s="16" t="inlineStr">
        <is>
          <t>실무 1년 이상 및 전문 자격</t>
        </is>
      </c>
      <c r="K580" s="15" t="inlineStr">
        <is>
          <t>★★☆☆☆</t>
        </is>
      </c>
      <c r="L580" s="20" t="inlineStr">
        <is>
          <t>+15.0%</t>
        </is>
      </c>
    </row>
    <row r="581">
      <c r="A581" s="17" t="inlineStr">
        <is>
          <t>TR-0580</t>
        </is>
      </c>
      <c r="B581" s="17" t="inlineStr">
        <is>
          <t>7543</t>
        </is>
      </c>
      <c r="C581" s="18" t="inlineStr">
        <is>
          <t>Product Graders and Testers (except Foods and Beverages)</t>
        </is>
      </c>
      <c r="D581" s="17" t="inlineStr">
        <is>
          <t>7535</t>
        </is>
      </c>
      <c r="E581" s="18" t="inlineStr">
        <is>
          <t>Pelt Dressers, Tanners and Fellmongers</t>
        </is>
      </c>
      <c r="F581" s="18" t="inlineStr">
        <is>
          <t>모빌리티 / 자율주행 / 로보틱스</t>
        </is>
      </c>
      <c r="G581" s="17" t="inlineStr">
        <is>
          <t>horizontal_transfer</t>
        </is>
      </c>
      <c r="H581" s="18" t="inlineStr">
        <is>
          <t>sorting, grading, pelts</t>
        </is>
      </c>
      <c r="I581" s="18" t="inlineStr">
        <is>
          <t>심화 Pelt Dressers, Tanners and Fellmongers 실무, 프로젝트 관리 역량</t>
        </is>
      </c>
      <c r="J581" s="18" t="inlineStr">
        <is>
          <t>실무 1년 이상 및 전문 자격</t>
        </is>
      </c>
      <c r="K581" s="17" t="inlineStr">
        <is>
          <t>★★☆☆☆</t>
        </is>
      </c>
      <c r="L581" s="21" t="inlineStr">
        <is>
          <t>+15.0%</t>
        </is>
      </c>
    </row>
    <row r="582">
      <c r="A582" s="15" t="inlineStr">
        <is>
          <t>TR-0581</t>
        </is>
      </c>
      <c r="B582" s="15" t="inlineStr">
        <is>
          <t>7544</t>
        </is>
      </c>
      <c r="C582" s="16" t="inlineStr">
        <is>
          <t>Fumigators and Other Pest and Weed Controllers</t>
        </is>
      </c>
      <c r="D582" s="15" t="inlineStr">
        <is>
          <t>3153</t>
        </is>
      </c>
      <c r="E582" s="16" t="inlineStr">
        <is>
          <t>Aircraft Pilots and Related Associate Professionals</t>
        </is>
      </c>
      <c r="F582" s="16" t="inlineStr">
        <is>
          <t>모빌리티 / 자율주행 / 로보틱스</t>
        </is>
      </c>
      <c r="G582" s="15" t="inlineStr">
        <is>
          <t>vertical_promotion</t>
        </is>
      </c>
      <c r="H582" s="16" t="inlineStr">
        <is>
          <t>flying, navigating, aircraft</t>
        </is>
      </c>
      <c r="I582" s="16" t="inlineStr">
        <is>
          <t>심화 Aircraft Pilots and Related Associate Professionals 실무, 프로젝트 관리 역량</t>
        </is>
      </c>
      <c r="J582" s="16" t="inlineStr">
        <is>
          <t>실무 2년 이상 및 전문 자격</t>
        </is>
      </c>
      <c r="K582" s="15" t="inlineStr">
        <is>
          <t>★★★☆☆</t>
        </is>
      </c>
      <c r="L582" s="20" t="inlineStr">
        <is>
          <t>+25.0%</t>
        </is>
      </c>
    </row>
    <row r="583">
      <c r="A583" s="17" t="inlineStr">
        <is>
          <t>TR-0582</t>
        </is>
      </c>
      <c r="B583" s="17" t="inlineStr">
        <is>
          <t>8111</t>
        </is>
      </c>
      <c r="C583" s="18" t="inlineStr">
        <is>
          <t>Miners and Quarriers</t>
        </is>
      </c>
      <c r="D583" s="17" t="inlineStr">
        <is>
          <t>3121</t>
        </is>
      </c>
      <c r="E583" s="18" t="inlineStr">
        <is>
          <t>Mining Supervisors</t>
        </is>
      </c>
      <c r="F583" s="18" t="inlineStr">
        <is>
          <t>배터리 / 신소재 / 에너지</t>
        </is>
      </c>
      <c r="G583" s="17" t="inlineStr">
        <is>
          <t>vertical_promotion</t>
        </is>
      </c>
      <c r="H583" s="18" t="inlineStr">
        <is>
          <t>supervising, coordinating, activities</t>
        </is>
      </c>
      <c r="I583" s="18" t="inlineStr">
        <is>
          <t>심화 Mining Supervisors 실무, 프로젝트 관리 역량</t>
        </is>
      </c>
      <c r="J583" s="18" t="inlineStr">
        <is>
          <t>실무 2년 이상 및 전문 자격</t>
        </is>
      </c>
      <c r="K583" s="17" t="inlineStr">
        <is>
          <t>★★★☆☆</t>
        </is>
      </c>
      <c r="L583" s="21" t="inlineStr">
        <is>
          <t>+25.0%</t>
        </is>
      </c>
    </row>
    <row r="584">
      <c r="A584" s="15" t="inlineStr">
        <is>
          <t>TR-0583</t>
        </is>
      </c>
      <c r="B584" s="15" t="inlineStr">
        <is>
          <t>8111</t>
        </is>
      </c>
      <c r="C584" s="16" t="inlineStr">
        <is>
          <t>Miners and Quarriers</t>
        </is>
      </c>
      <c r="D584" s="15" t="inlineStr">
        <is>
          <t>7542</t>
        </is>
      </c>
      <c r="E584" s="16" t="inlineStr">
        <is>
          <t>Shotfirers and Blasters</t>
        </is>
      </c>
      <c r="F584" s="16" t="inlineStr">
        <is>
          <t>배터리 / 신소재 / 에너지</t>
        </is>
      </c>
      <c r="G584" s="15" t="inlineStr">
        <is>
          <t>horizontal_transfer</t>
        </is>
      </c>
      <c r="H584" s="16" t="inlineStr">
        <is>
          <t>ensuring, workplace, safety</t>
        </is>
      </c>
      <c r="I584" s="16" t="inlineStr">
        <is>
          <t>심화 Shotfirers and Blasters 실무, 프로젝트 관리 역량</t>
        </is>
      </c>
      <c r="J584" s="16" t="inlineStr">
        <is>
          <t>실무 1년 이상 및 전문 자격</t>
        </is>
      </c>
      <c r="K584" s="15" t="inlineStr">
        <is>
          <t>★★☆☆☆</t>
        </is>
      </c>
      <c r="L584" s="20" t="inlineStr">
        <is>
          <t>+15.0%</t>
        </is>
      </c>
    </row>
    <row r="585">
      <c r="A585" s="17" t="inlineStr">
        <is>
          <t>TR-0584</t>
        </is>
      </c>
      <c r="B585" s="17" t="inlineStr">
        <is>
          <t>8111</t>
        </is>
      </c>
      <c r="C585" s="18" t="inlineStr">
        <is>
          <t>Miners and Quarriers</t>
        </is>
      </c>
      <c r="D585" s="17" t="inlineStr">
        <is>
          <t>8113</t>
        </is>
      </c>
      <c r="E585" s="18" t="inlineStr">
        <is>
          <t>Well Drillers and Borers and Related Workers</t>
        </is>
      </c>
      <c r="F585" s="18" t="inlineStr">
        <is>
          <t>배터리 / 신소재 / 에너지</t>
        </is>
      </c>
      <c r="G585" s="17" t="inlineStr">
        <is>
          <t>horizontal_transfer</t>
        </is>
      </c>
      <c r="H585" s="18" t="inlineStr">
        <is>
          <t>dismantling, moving, assembling</t>
        </is>
      </c>
      <c r="I585" s="18" t="inlineStr">
        <is>
          <t>심화 Well Drillers and Borers and Related Workers 실무, 프로젝트 관리 역량</t>
        </is>
      </c>
      <c r="J585" s="18" t="inlineStr">
        <is>
          <t>실무 1년 이상 및 전문 자격</t>
        </is>
      </c>
      <c r="K585" s="17" t="inlineStr">
        <is>
          <t>★★☆☆☆</t>
        </is>
      </c>
      <c r="L585" s="21" t="inlineStr">
        <is>
          <t>+15.0%</t>
        </is>
      </c>
    </row>
    <row r="586">
      <c r="A586" s="15" t="inlineStr">
        <is>
          <t>TR-0585</t>
        </is>
      </c>
      <c r="B586" s="15" t="inlineStr">
        <is>
          <t>8111</t>
        </is>
      </c>
      <c r="C586" s="16" t="inlineStr">
        <is>
          <t>Miners and Quarriers</t>
        </is>
      </c>
      <c r="D586" s="15" t="inlineStr">
        <is>
          <t>9311</t>
        </is>
      </c>
      <c r="E586" s="16" t="inlineStr">
        <is>
          <t>Mining and Quarrying Labourers</t>
        </is>
      </c>
      <c r="F586" s="16" t="inlineStr">
        <is>
          <t>배터리 / 신소재 / 에너지</t>
        </is>
      </c>
      <c r="G586" s="15" t="inlineStr">
        <is>
          <t>horizontal_transfer</t>
        </is>
      </c>
      <c r="H586" s="16" t="inlineStr">
        <is>
          <t>assisting, miners, quarriers</t>
        </is>
      </c>
      <c r="I586" s="16" t="inlineStr">
        <is>
          <t>심화 Mining and Quarrying Labourers 실무, 프로젝트 관리 역량</t>
        </is>
      </c>
      <c r="J586" s="16" t="inlineStr">
        <is>
          <t>실무 1년 이상 및 전문 자격</t>
        </is>
      </c>
      <c r="K586" s="15" t="inlineStr">
        <is>
          <t>★★☆☆☆</t>
        </is>
      </c>
      <c r="L586" s="20" t="inlineStr">
        <is>
          <t>+15.0%</t>
        </is>
      </c>
    </row>
    <row r="587">
      <c r="A587" s="17" t="inlineStr">
        <is>
          <t>TR-0586</t>
        </is>
      </c>
      <c r="B587" s="17" t="inlineStr">
        <is>
          <t>8112</t>
        </is>
      </c>
      <c r="C587" s="18" t="inlineStr">
        <is>
          <t>Mineral and Stone Processing Plant Operators</t>
        </is>
      </c>
      <c r="D587" s="17" t="inlineStr">
        <is>
          <t>7113</t>
        </is>
      </c>
      <c r="E587" s="18" t="inlineStr">
        <is>
          <t>Stonemasons, Stone Cutters, Splitters and Carvers</t>
        </is>
      </c>
      <c r="F587" s="18" t="inlineStr">
        <is>
          <t>배터리 / 신소재 / 에너지</t>
        </is>
      </c>
      <c r="G587" s="17" t="inlineStr">
        <is>
          <t>horizontal_transfer</t>
        </is>
      </c>
      <c r="H587" s="18" t="inlineStr">
        <is>
          <t>driving, wedges, into</t>
        </is>
      </c>
      <c r="I587" s="18" t="inlineStr">
        <is>
          <t>심화 Stonemasons, Stone Cutters, Splitters and Carvers 실무, 프로젝트 관리 역량</t>
        </is>
      </c>
      <c r="J587" s="18" t="inlineStr">
        <is>
          <t>실무 1년 이상 및 전문 자격</t>
        </is>
      </c>
      <c r="K587" s="17" t="inlineStr">
        <is>
          <t>★★☆☆☆</t>
        </is>
      </c>
      <c r="L587" s="21" t="inlineStr">
        <is>
          <t>+15.0%</t>
        </is>
      </c>
    </row>
    <row r="588">
      <c r="A588" s="15" t="inlineStr">
        <is>
          <t>TR-0587</t>
        </is>
      </c>
      <c r="B588" s="15" t="inlineStr">
        <is>
          <t>8112</t>
        </is>
      </c>
      <c r="C588" s="16" t="inlineStr">
        <is>
          <t>Mineral and Stone Processing Plant Operators</t>
        </is>
      </c>
      <c r="D588" s="15" t="inlineStr">
        <is>
          <t>8114</t>
        </is>
      </c>
      <c r="E588" s="16" t="inlineStr">
        <is>
          <t>Cement, Stone and Other Mineral Products Machine Operators</t>
        </is>
      </c>
      <c r="F588" s="16" t="inlineStr">
        <is>
          <t>배터리 / 신소재 / 에너지</t>
        </is>
      </c>
      <c r="G588" s="15" t="inlineStr">
        <is>
          <t>horizontal_transfer</t>
        </is>
      </c>
      <c r="H588" s="16" t="inlineStr">
        <is>
          <t>operating, extrusion, moulding</t>
        </is>
      </c>
      <c r="I588" s="16" t="inlineStr">
        <is>
          <t>심화 Cement, Stone and Other Mineral Products Machine Operators 실무, 프로젝트 관리 역량</t>
        </is>
      </c>
      <c r="J588" s="16" t="inlineStr">
        <is>
          <t>실무 1년 이상 및 전문 자격</t>
        </is>
      </c>
      <c r="K588" s="15" t="inlineStr">
        <is>
          <t>★★☆☆☆</t>
        </is>
      </c>
      <c r="L588" s="20" t="inlineStr">
        <is>
          <t>+15.0%</t>
        </is>
      </c>
    </row>
    <row r="589">
      <c r="A589" s="17" t="inlineStr">
        <is>
          <t>TR-0588</t>
        </is>
      </c>
      <c r="B589" s="17" t="inlineStr">
        <is>
          <t>8113</t>
        </is>
      </c>
      <c r="C589" s="18" t="inlineStr">
        <is>
          <t>Well Drillers and Borers and Related Workers</t>
        </is>
      </c>
      <c r="D589" s="17" t="inlineStr">
        <is>
          <t>7542</t>
        </is>
      </c>
      <c r="E589" s="18" t="inlineStr">
        <is>
          <t>Shotfirers and Blasters</t>
        </is>
      </c>
      <c r="F589" s="18" t="inlineStr">
        <is>
          <t>배터리 / 신소재 / 에너지</t>
        </is>
      </c>
      <c r="G589" s="17" t="inlineStr">
        <is>
          <t>horizontal_transfer</t>
        </is>
      </c>
      <c r="H589" s="18" t="inlineStr">
        <is>
          <t>ensuring, workplace, safety</t>
        </is>
      </c>
      <c r="I589" s="18" t="inlineStr">
        <is>
          <t>심화 Shotfirers and Blasters 실무, 프로젝트 관리 역량</t>
        </is>
      </c>
      <c r="J589" s="18" t="inlineStr">
        <is>
          <t>실무 1년 이상 및 전문 자격</t>
        </is>
      </c>
      <c r="K589" s="17" t="inlineStr">
        <is>
          <t>★★☆☆☆</t>
        </is>
      </c>
      <c r="L589" s="21" t="inlineStr">
        <is>
          <t>+15.0%</t>
        </is>
      </c>
    </row>
    <row r="590">
      <c r="A590" s="15" t="inlineStr">
        <is>
          <t>TR-0589</t>
        </is>
      </c>
      <c r="B590" s="15" t="inlineStr">
        <is>
          <t>8113</t>
        </is>
      </c>
      <c r="C590" s="16" t="inlineStr">
        <is>
          <t>Well Drillers and Borers and Related Workers</t>
        </is>
      </c>
      <c r="D590" s="15" t="inlineStr">
        <is>
          <t>8111</t>
        </is>
      </c>
      <c r="E590" s="16" t="inlineStr">
        <is>
          <t>Miners and Quarriers</t>
        </is>
      </c>
      <c r="F590" s="16" t="inlineStr">
        <is>
          <t>배터리 / 신소재 / 에너지</t>
        </is>
      </c>
      <c r="G590" s="15" t="inlineStr">
        <is>
          <t>horizontal_transfer</t>
        </is>
      </c>
      <c r="H590" s="16" t="inlineStr">
        <is>
          <t>positioning, operating, monitoring</t>
        </is>
      </c>
      <c r="I590" s="16" t="inlineStr">
        <is>
          <t>심화 Miners and Quarriers 실무, 프로젝트 관리 역량</t>
        </is>
      </c>
      <c r="J590" s="16" t="inlineStr">
        <is>
          <t>실무 1년 이상 및 전문 자격</t>
        </is>
      </c>
      <c r="K590" s="15" t="inlineStr">
        <is>
          <t>★★☆☆☆</t>
        </is>
      </c>
      <c r="L590" s="20" t="inlineStr">
        <is>
          <t>+15.0%</t>
        </is>
      </c>
    </row>
    <row r="591">
      <c r="A591" s="17" t="inlineStr">
        <is>
          <t>TR-0590</t>
        </is>
      </c>
      <c r="B591" s="17" t="inlineStr">
        <is>
          <t>8114</t>
        </is>
      </c>
      <c r="C591" s="18" t="inlineStr">
        <is>
          <t>Cement, Stone and Other Mineral Products Machine Operators</t>
        </is>
      </c>
      <c r="D591" s="17" t="inlineStr">
        <is>
          <t>7113</t>
        </is>
      </c>
      <c r="E591" s="18" t="inlineStr">
        <is>
          <t>Stonemasons, Stone Cutters, Splitters and Carvers</t>
        </is>
      </c>
      <c r="F591" s="18" t="inlineStr">
        <is>
          <t>배터리 / 신소재 / 에너지</t>
        </is>
      </c>
      <c r="G591" s="17" t="inlineStr">
        <is>
          <t>horizontal_transfer</t>
        </is>
      </c>
      <c r="H591" s="18" t="inlineStr">
        <is>
          <t>driving, wedges, into</t>
        </is>
      </c>
      <c r="I591" s="18" t="inlineStr">
        <is>
          <t>심화 Stonemasons, Stone Cutters, Splitters and Carvers 실무, 프로젝트 관리 역량</t>
        </is>
      </c>
      <c r="J591" s="18" t="inlineStr">
        <is>
          <t>실무 1년 이상 및 전문 자격</t>
        </is>
      </c>
      <c r="K591" s="17" t="inlineStr">
        <is>
          <t>★★☆☆☆</t>
        </is>
      </c>
      <c r="L591" s="21" t="inlineStr">
        <is>
          <t>+15.0%</t>
        </is>
      </c>
    </row>
    <row r="592">
      <c r="A592" s="15" t="inlineStr">
        <is>
          <t>TR-0591</t>
        </is>
      </c>
      <c r="B592" s="15" t="inlineStr">
        <is>
          <t>8114</t>
        </is>
      </c>
      <c r="C592" s="16" t="inlineStr">
        <is>
          <t>Cement, Stone and Other Mineral Products Machine Operators</t>
        </is>
      </c>
      <c r="D592" s="15" t="inlineStr">
        <is>
          <t>8112</t>
        </is>
      </c>
      <c r="E592" s="16" t="inlineStr">
        <is>
          <t>Mineral and Stone Processing Plant Operators</t>
        </is>
      </c>
      <c r="F592" s="16" t="inlineStr">
        <is>
          <t>배터리 / 신소재 / 에너지</t>
        </is>
      </c>
      <c r="G592" s="15" t="inlineStr">
        <is>
          <t>horizontal_transfer</t>
        </is>
      </c>
      <c r="H592" s="16" t="inlineStr">
        <is>
          <t>setting, operating, stationary</t>
        </is>
      </c>
      <c r="I592" s="16" t="inlineStr">
        <is>
          <t>심화 Mineral and Stone Processing Plant Operators 실무, 프로젝트 관리 역량</t>
        </is>
      </c>
      <c r="J592" s="16" t="inlineStr">
        <is>
          <t>실무 1년 이상 및 전문 자격</t>
        </is>
      </c>
      <c r="K592" s="15" t="inlineStr">
        <is>
          <t>★★☆☆☆</t>
        </is>
      </c>
      <c r="L592" s="20" t="inlineStr">
        <is>
          <t>+15.0%</t>
        </is>
      </c>
    </row>
    <row r="593">
      <c r="A593" s="17" t="inlineStr">
        <is>
          <t>TR-0592</t>
        </is>
      </c>
      <c r="B593" s="17" t="inlineStr">
        <is>
          <t>8114</t>
        </is>
      </c>
      <c r="C593" s="18" t="inlineStr">
        <is>
          <t>Cement, Stone and Other Mineral Products Machine Operators</t>
        </is>
      </c>
      <c r="D593" s="17" t="inlineStr">
        <is>
          <t>8181</t>
        </is>
      </c>
      <c r="E593" s="18" t="inlineStr">
        <is>
          <t>Glass and Ceramics Plant Operators</t>
        </is>
      </c>
      <c r="F593" s="18" t="inlineStr">
        <is>
          <t>배터리 / 신소재 / 에너지</t>
        </is>
      </c>
      <c r="G593" s="17" t="inlineStr">
        <is>
          <t>horizontal_transfer</t>
        </is>
      </c>
      <c r="H593" s="18" t="inlineStr">
        <is>
          <t>operating, monitoring, glass</t>
        </is>
      </c>
      <c r="I593" s="18" t="inlineStr">
        <is>
          <t>심화 Glass and Ceramics Plant Operators 실무, 프로젝트 관리 역량</t>
        </is>
      </c>
      <c r="J593" s="18" t="inlineStr">
        <is>
          <t>실무 1년 이상 및 전문 자격</t>
        </is>
      </c>
      <c r="K593" s="17" t="inlineStr">
        <is>
          <t>★★☆☆☆</t>
        </is>
      </c>
      <c r="L593" s="21" t="inlineStr">
        <is>
          <t>+15.0%</t>
        </is>
      </c>
    </row>
    <row r="594">
      <c r="A594" s="15" t="inlineStr">
        <is>
          <t>TR-0593</t>
        </is>
      </c>
      <c r="B594" s="15" t="inlineStr">
        <is>
          <t>8121</t>
        </is>
      </c>
      <c r="C594" s="16" t="inlineStr">
        <is>
          <t>Metal Processing Plant Operators</t>
        </is>
      </c>
      <c r="D594" s="15" t="inlineStr">
        <is>
          <t>3135</t>
        </is>
      </c>
      <c r="E594" s="16" t="inlineStr">
        <is>
          <t>Metal Production Process Controllers</t>
        </is>
      </c>
      <c r="F594" s="16" t="inlineStr">
        <is>
          <t>배터리 / 신소재 / 에너지</t>
        </is>
      </c>
      <c r="G594" s="15" t="inlineStr">
        <is>
          <t>vertical_promotion</t>
        </is>
      </c>
      <c r="H594" s="16" t="inlineStr">
        <is>
          <t>coordinating, monitoring, operation</t>
        </is>
      </c>
      <c r="I594" s="16" t="inlineStr">
        <is>
          <t>심화 Metal Production Process Controllers 실무, 프로젝트 관리 역량</t>
        </is>
      </c>
      <c r="J594" s="16" t="inlineStr">
        <is>
          <t>실무 2년 이상 및 전문 자격</t>
        </is>
      </c>
      <c r="K594" s="15" t="inlineStr">
        <is>
          <t>★★★☆☆</t>
        </is>
      </c>
      <c r="L594" s="20" t="inlineStr">
        <is>
          <t>+25.0%</t>
        </is>
      </c>
    </row>
    <row r="595">
      <c r="A595" s="17" t="inlineStr">
        <is>
          <t>TR-0594</t>
        </is>
      </c>
      <c r="B595" s="17" t="inlineStr">
        <is>
          <t>8121</t>
        </is>
      </c>
      <c r="C595" s="18" t="inlineStr">
        <is>
          <t>Metal Processing Plant Operators</t>
        </is>
      </c>
      <c r="D595" s="17" t="inlineStr">
        <is>
          <t>8122</t>
        </is>
      </c>
      <c r="E595" s="18" t="inlineStr">
        <is>
          <t>Metal Finishing, Plating and Coating Machine Operators</t>
        </is>
      </c>
      <c r="F595" s="18" t="inlineStr">
        <is>
          <t>배터리 / 신소재 / 에너지</t>
        </is>
      </c>
      <c r="G595" s="17" t="inlineStr">
        <is>
          <t>horizontal_transfer</t>
        </is>
      </c>
      <c r="H595" s="18" t="inlineStr">
        <is>
          <t>operating, monitoring, equipment</t>
        </is>
      </c>
      <c r="I595" s="18" t="inlineStr">
        <is>
          <t>심화 Metal Finishing, Plating and Coating Machine Operators 실무, 프로젝트 관리 역량</t>
        </is>
      </c>
      <c r="J595" s="18" t="inlineStr">
        <is>
          <t>실무 1년 이상 및 전문 자격</t>
        </is>
      </c>
      <c r="K595" s="17" t="inlineStr">
        <is>
          <t>★★☆☆☆</t>
        </is>
      </c>
      <c r="L595" s="21" t="inlineStr">
        <is>
          <t>+15.0%</t>
        </is>
      </c>
    </row>
    <row r="596">
      <c r="A596" s="15" t="inlineStr">
        <is>
          <t>TR-0595</t>
        </is>
      </c>
      <c r="B596" s="15" t="inlineStr">
        <is>
          <t>8122</t>
        </is>
      </c>
      <c r="C596" s="16" t="inlineStr">
        <is>
          <t>Metal Finishing, Plating and Coating Machine Operators</t>
        </is>
      </c>
      <c r="D596" s="15" t="inlineStr">
        <is>
          <t>3135</t>
        </is>
      </c>
      <c r="E596" s="16" t="inlineStr">
        <is>
          <t>Metal Production Process Controllers</t>
        </is>
      </c>
      <c r="F596" s="16" t="inlineStr">
        <is>
          <t>배터리 / 신소재 / 에너지</t>
        </is>
      </c>
      <c r="G596" s="15" t="inlineStr">
        <is>
          <t>vertical_promotion</t>
        </is>
      </c>
      <c r="H596" s="16" t="inlineStr">
        <is>
          <t>coordinating, monitoring, operation</t>
        </is>
      </c>
      <c r="I596" s="16" t="inlineStr">
        <is>
          <t>심화 Metal Production Process Controllers 실무, 프로젝트 관리 역량</t>
        </is>
      </c>
      <c r="J596" s="16" t="inlineStr">
        <is>
          <t>실무 2년 이상 및 전문 자격</t>
        </is>
      </c>
      <c r="K596" s="15" t="inlineStr">
        <is>
          <t>★★★☆☆</t>
        </is>
      </c>
      <c r="L596" s="20" t="inlineStr">
        <is>
          <t>+25.0%</t>
        </is>
      </c>
    </row>
    <row r="597">
      <c r="A597" s="17" t="inlineStr">
        <is>
          <t>TR-0596</t>
        </is>
      </c>
      <c r="B597" s="17" t="inlineStr">
        <is>
          <t>8122</t>
        </is>
      </c>
      <c r="C597" s="18" t="inlineStr">
        <is>
          <t>Metal Finishing, Plating and Coating Machine Operators</t>
        </is>
      </c>
      <c r="D597" s="17" t="inlineStr">
        <is>
          <t>7132</t>
        </is>
      </c>
      <c r="E597" s="18" t="inlineStr">
        <is>
          <t>Spray Painters and Varnishers</t>
        </is>
      </c>
      <c r="F597" s="18" t="inlineStr">
        <is>
          <t>배터리 / 신소재 / 에너지</t>
        </is>
      </c>
      <c r="G597" s="17" t="inlineStr">
        <is>
          <t>horizontal_transfer</t>
        </is>
      </c>
      <c r="H597" s="18" t="inlineStr">
        <is>
          <t>preparing, surfaces, coated</t>
        </is>
      </c>
      <c r="I597" s="18" t="inlineStr">
        <is>
          <t>심화 Spray Painters and Varnishers 실무, 프로젝트 관리 역량</t>
        </is>
      </c>
      <c r="J597" s="18" t="inlineStr">
        <is>
          <t>실무 1년 이상 및 전문 자격</t>
        </is>
      </c>
      <c r="K597" s="17" t="inlineStr">
        <is>
          <t>★★☆☆☆</t>
        </is>
      </c>
      <c r="L597" s="21" t="inlineStr">
        <is>
          <t>+15.0%</t>
        </is>
      </c>
    </row>
    <row r="598">
      <c r="A598" s="15" t="inlineStr">
        <is>
          <t>TR-0597</t>
        </is>
      </c>
      <c r="B598" s="15" t="inlineStr">
        <is>
          <t>8131</t>
        </is>
      </c>
      <c r="C598" s="16" t="inlineStr">
        <is>
          <t>Chemical Products Plant and Machine Operators</t>
        </is>
      </c>
      <c r="D598" s="15" t="inlineStr">
        <is>
          <t>3133</t>
        </is>
      </c>
      <c r="E598" s="16" t="inlineStr">
        <is>
          <t>Chemical Processing Plant Controllers</t>
        </is>
      </c>
      <c r="F598" s="16" t="inlineStr">
        <is>
          <t>배터리 / 신소재 / 에너지</t>
        </is>
      </c>
      <c r="G598" s="15" t="inlineStr">
        <is>
          <t>vertical_promotion</t>
        </is>
      </c>
      <c r="H598" s="16" t="inlineStr">
        <is>
          <t>operating, electronic, computerized</t>
        </is>
      </c>
      <c r="I598" s="16" t="inlineStr">
        <is>
          <t>심화 Chemical Processing Plant Controllers 실무, 프로젝트 관리 역량</t>
        </is>
      </c>
      <c r="J598" s="16" t="inlineStr">
        <is>
          <t>실무 2년 이상 및 전문 자격</t>
        </is>
      </c>
      <c r="K598" s="15" t="inlineStr">
        <is>
          <t>★★★☆☆</t>
        </is>
      </c>
      <c r="L598" s="20" t="inlineStr">
        <is>
          <t>+25.0%</t>
        </is>
      </c>
    </row>
    <row r="599">
      <c r="A599" s="17" t="inlineStr">
        <is>
          <t>TR-0598</t>
        </is>
      </c>
      <c r="B599" s="17" t="inlineStr">
        <is>
          <t>8131</t>
        </is>
      </c>
      <c r="C599" s="18" t="inlineStr">
        <is>
          <t>Chemical Products Plant and Machine Operators</t>
        </is>
      </c>
      <c r="D599" s="17" t="inlineStr">
        <is>
          <t>3134</t>
        </is>
      </c>
      <c r="E599" s="18" t="inlineStr">
        <is>
          <t>Petroleum and Natural Gas Refining Plant Operators</t>
        </is>
      </c>
      <c r="F599" s="18" t="inlineStr">
        <is>
          <t>배터리 / 신소재 / 에너지</t>
        </is>
      </c>
      <c r="G599" s="17" t="inlineStr">
        <is>
          <t>vertical_promotion</t>
        </is>
      </c>
      <c r="H599" s="18" t="inlineStr">
        <is>
          <t>operating, electronic, computerized</t>
        </is>
      </c>
      <c r="I599" s="18" t="inlineStr">
        <is>
          <t>심화 Petroleum and Natural Gas Refining Plant Operators 실무, 프로젝트 관리 역량</t>
        </is>
      </c>
      <c r="J599" s="18" t="inlineStr">
        <is>
          <t>실무 2년 이상 및 전문 자격</t>
        </is>
      </c>
      <c r="K599" s="17" t="inlineStr">
        <is>
          <t>★★★☆☆</t>
        </is>
      </c>
      <c r="L599" s="21" t="inlineStr">
        <is>
          <t>+25.0%</t>
        </is>
      </c>
    </row>
    <row r="600">
      <c r="A600" s="15" t="inlineStr">
        <is>
          <t>TR-0599</t>
        </is>
      </c>
      <c r="B600" s="15" t="inlineStr">
        <is>
          <t>8132</t>
        </is>
      </c>
      <c r="C600" s="16" t="inlineStr">
        <is>
          <t>Photographic Products Machine Operators</t>
        </is>
      </c>
      <c r="D600" s="15" t="inlineStr">
        <is>
          <t>3431</t>
        </is>
      </c>
      <c r="E600" s="16" t="inlineStr">
        <is>
          <t>Photographers</t>
        </is>
      </c>
      <c r="F600" s="16" t="inlineStr">
        <is>
          <t>배터리 / 신소재 / 에너지</t>
        </is>
      </c>
      <c r="G600" s="15" t="inlineStr">
        <is>
          <t>vertical_promotion</t>
        </is>
      </c>
      <c r="H600" s="16" t="inlineStr">
        <is>
          <t>taking, photographs, advertising</t>
        </is>
      </c>
      <c r="I600" s="16" t="inlineStr">
        <is>
          <t>심화 Photographers 실무, 프로젝트 관리 역량</t>
        </is>
      </c>
      <c r="J600" s="16" t="inlineStr">
        <is>
          <t>실무 2년 이상 및 전문 자격</t>
        </is>
      </c>
      <c r="K600" s="15" t="inlineStr">
        <is>
          <t>★★★☆☆</t>
        </is>
      </c>
      <c r="L600" s="20" t="inlineStr">
        <is>
          <t>+25.0%</t>
        </is>
      </c>
    </row>
    <row r="601">
      <c r="A601" s="17" t="inlineStr">
        <is>
          <t>TR-0600</t>
        </is>
      </c>
      <c r="B601" s="17" t="inlineStr">
        <is>
          <t>8132</t>
        </is>
      </c>
      <c r="C601" s="18" t="inlineStr">
        <is>
          <t>Photographic Products Machine Operators</t>
        </is>
      </c>
      <c r="D601" s="17" t="inlineStr">
        <is>
          <t>7321</t>
        </is>
      </c>
      <c r="E601" s="18" t="inlineStr">
        <is>
          <t>Pre-press Technicians</t>
        </is>
      </c>
      <c r="F601" s="18" t="inlineStr">
        <is>
          <t>배터리 / 신소재 / 에너지</t>
        </is>
      </c>
      <c r="G601" s="17" t="inlineStr">
        <is>
          <t>horizontal_transfer</t>
        </is>
      </c>
      <c r="H601" s="18" t="inlineStr">
        <is>
          <t>operating, graphic, cameras</t>
        </is>
      </c>
      <c r="I601" s="18" t="inlineStr">
        <is>
          <t>심화 Pre-press Technicians 실무, 프로젝트 관리 역량</t>
        </is>
      </c>
      <c r="J601" s="18" t="inlineStr">
        <is>
          <t>실무 1년 이상 및 전문 자격</t>
        </is>
      </c>
      <c r="K601" s="17" t="inlineStr">
        <is>
          <t>★★☆☆☆</t>
        </is>
      </c>
      <c r="L601" s="21" t="inlineStr">
        <is>
          <t>+15.0%</t>
        </is>
      </c>
    </row>
    <row r="602">
      <c r="A602" s="15" t="inlineStr">
        <is>
          <t>TR-0601</t>
        </is>
      </c>
      <c r="B602" s="15" t="inlineStr">
        <is>
          <t>8152</t>
        </is>
      </c>
      <c r="C602" s="16" t="inlineStr">
        <is>
          <t>Weaving and Knitting Machine Operators</t>
        </is>
      </c>
      <c r="D602" s="15" t="inlineStr">
        <is>
          <t>7318</t>
        </is>
      </c>
      <c r="E602" s="16" t="inlineStr">
        <is>
          <t>Handicraft Workers in Textile, Leather and Related Materials</t>
        </is>
      </c>
      <c r="F602" s="16" t="inlineStr">
        <is>
          <t>배터리 / 신소재 / 에너지</t>
        </is>
      </c>
      <c r="G602" s="15" t="inlineStr">
        <is>
          <t>horizontal_transfer</t>
        </is>
      </c>
      <c r="H602" s="16" t="inlineStr">
        <is>
          <t>spinning, dyeing, with</t>
        </is>
      </c>
      <c r="I602" s="16" t="inlineStr">
        <is>
          <t>심화 Handicraft Workers in Textile, Leather and Related Materials 실무, 프로젝트 관리 역량</t>
        </is>
      </c>
      <c r="J602" s="16" t="inlineStr">
        <is>
          <t>실무 1년 이상 및 전문 자격</t>
        </is>
      </c>
      <c r="K602" s="15" t="inlineStr">
        <is>
          <t>★★☆☆☆</t>
        </is>
      </c>
      <c r="L602" s="20" t="inlineStr">
        <is>
          <t>+15.0%</t>
        </is>
      </c>
    </row>
    <row r="603">
      <c r="A603" s="17" t="inlineStr">
        <is>
          <t>TR-0602</t>
        </is>
      </c>
      <c r="B603" s="17" t="inlineStr">
        <is>
          <t>8153</t>
        </is>
      </c>
      <c r="C603" s="18" t="inlineStr">
        <is>
          <t>Sewing Machine Operators</t>
        </is>
      </c>
      <c r="D603" s="17" t="inlineStr">
        <is>
          <t>7318</t>
        </is>
      </c>
      <c r="E603" s="18" t="inlineStr">
        <is>
          <t>Handicraft Workers in Textile, Leather and Related Materials</t>
        </is>
      </c>
      <c r="F603" s="18" t="inlineStr">
        <is>
          <t>배터리 / 신소재 / 에너지</t>
        </is>
      </c>
      <c r="G603" s="17" t="inlineStr">
        <is>
          <t>horizontal_transfer</t>
        </is>
      </c>
      <c r="H603" s="18" t="inlineStr">
        <is>
          <t>spinning, dyeing, with</t>
        </is>
      </c>
      <c r="I603" s="18" t="inlineStr">
        <is>
          <t>심화 Handicraft Workers in Textile, Leather and Related Materials 실무, 프로젝트 관리 역량</t>
        </is>
      </c>
      <c r="J603" s="18" t="inlineStr">
        <is>
          <t>실무 1년 이상 및 전문 자격</t>
        </is>
      </c>
      <c r="K603" s="17" t="inlineStr">
        <is>
          <t>★★☆☆☆</t>
        </is>
      </c>
      <c r="L603" s="21" t="inlineStr">
        <is>
          <t>+15.0%</t>
        </is>
      </c>
    </row>
    <row r="604">
      <c r="A604" s="15" t="inlineStr">
        <is>
          <t>TR-0603</t>
        </is>
      </c>
      <c r="B604" s="15" t="inlineStr">
        <is>
          <t>8153</t>
        </is>
      </c>
      <c r="C604" s="16" t="inlineStr">
        <is>
          <t>Sewing Machine Operators</t>
        </is>
      </c>
      <c r="D604" s="15" t="inlineStr">
        <is>
          <t>7531</t>
        </is>
      </c>
      <c r="E604" s="16" t="inlineStr">
        <is>
          <t>Tailors, Dressmakers, Furriers and Hatters</t>
        </is>
      </c>
      <c r="F604" s="16" t="inlineStr">
        <is>
          <t>배터리 / 신소재 / 에너지</t>
        </is>
      </c>
      <c r="G604" s="15" t="inlineStr">
        <is>
          <t>horizontal_transfer</t>
        </is>
      </c>
      <c r="H604" s="16" t="inlineStr">
        <is>
          <t>making, overcoats, suits</t>
        </is>
      </c>
      <c r="I604" s="16" t="inlineStr">
        <is>
          <t>심화 Tailors, Dressmakers, Furriers and Hatters 실무, 프로젝트 관리 역량</t>
        </is>
      </c>
      <c r="J604" s="16" t="inlineStr">
        <is>
          <t>실무 1년 이상 및 전문 자격</t>
        </is>
      </c>
      <c r="K604" s="15" t="inlineStr">
        <is>
          <t>★★☆☆☆</t>
        </is>
      </c>
      <c r="L604" s="20" t="inlineStr">
        <is>
          <t>+15.0%</t>
        </is>
      </c>
    </row>
    <row r="605">
      <c r="A605" s="17" t="inlineStr">
        <is>
          <t>TR-0604</t>
        </is>
      </c>
      <c r="B605" s="17" t="inlineStr">
        <is>
          <t>8153</t>
        </is>
      </c>
      <c r="C605" s="18" t="inlineStr">
        <is>
          <t>Sewing Machine Operators</t>
        </is>
      </c>
      <c r="D605" s="17" t="inlineStr">
        <is>
          <t>7533</t>
        </is>
      </c>
      <c r="E605" s="18" t="inlineStr">
        <is>
          <t>Sewing, Embroidery and Related Workers</t>
        </is>
      </c>
      <c r="F605" s="18" t="inlineStr">
        <is>
          <t>배터리 / 신소재 / 에너지</t>
        </is>
      </c>
      <c r="G605" s="17" t="inlineStr">
        <is>
          <t>horizontal_transfer</t>
        </is>
      </c>
      <c r="H605" s="18" t="inlineStr">
        <is>
          <t>repairing, defective, damaged</t>
        </is>
      </c>
      <c r="I605" s="18" t="inlineStr">
        <is>
          <t>심화 Sewing, Embroidery and Related Workers 실무, 프로젝트 관리 역량</t>
        </is>
      </c>
      <c r="J605" s="18" t="inlineStr">
        <is>
          <t>실무 1년 이상 및 전문 자격</t>
        </is>
      </c>
      <c r="K605" s="17" t="inlineStr">
        <is>
          <t>★★☆☆☆</t>
        </is>
      </c>
      <c r="L605" s="21" t="inlineStr">
        <is>
          <t>+15.0%</t>
        </is>
      </c>
    </row>
    <row r="606">
      <c r="A606" s="15" t="inlineStr">
        <is>
          <t>TR-0605</t>
        </is>
      </c>
      <c r="B606" s="15" t="inlineStr">
        <is>
          <t>8154</t>
        </is>
      </c>
      <c r="C606" s="16" t="inlineStr">
        <is>
          <t>Bleaching, Dyeing and Fabric Cleaning Machine Operators</t>
        </is>
      </c>
      <c r="D606" s="15" t="inlineStr">
        <is>
          <t>7322</t>
        </is>
      </c>
      <c r="E606" s="16" t="inlineStr">
        <is>
          <t>Printers</t>
        </is>
      </c>
      <c r="F606" s="16" t="inlineStr">
        <is>
          <t>배터리 / 신소재 / 에너지</t>
        </is>
      </c>
      <c r="G606" s="15" t="inlineStr">
        <is>
          <t>horizontal_transfer</t>
        </is>
      </c>
      <c r="H606" s="16" t="inlineStr">
        <is>
          <t>setting, adjusting, monitoring</t>
        </is>
      </c>
      <c r="I606" s="16" t="inlineStr">
        <is>
          <t>심화 Printers 실무, 프로젝트 관리 역량</t>
        </is>
      </c>
      <c r="J606" s="16" t="inlineStr">
        <is>
          <t>실무 1년 이상 및 전문 자격</t>
        </is>
      </c>
      <c r="K606" s="15" t="inlineStr">
        <is>
          <t>★★☆☆☆</t>
        </is>
      </c>
      <c r="L606" s="20" t="inlineStr">
        <is>
          <t>+15.0%</t>
        </is>
      </c>
    </row>
    <row r="607">
      <c r="A607" s="17" t="inlineStr">
        <is>
          <t>TR-0606</t>
        </is>
      </c>
      <c r="B607" s="17" t="inlineStr">
        <is>
          <t>8154</t>
        </is>
      </c>
      <c r="C607" s="18" t="inlineStr">
        <is>
          <t>Bleaching, Dyeing and Fabric Cleaning Machine Operators</t>
        </is>
      </c>
      <c r="D607" s="17" t="inlineStr">
        <is>
          <t>8157</t>
        </is>
      </c>
      <c r="E607" s="18" t="inlineStr">
        <is>
          <t>Laundry Machine Operators</t>
        </is>
      </c>
      <c r="F607" s="18" t="inlineStr">
        <is>
          <t>배터리 / 신소재 / 에너지</t>
        </is>
      </c>
      <c r="G607" s="17" t="inlineStr">
        <is>
          <t>horizontal_transfer</t>
        </is>
      </c>
      <c r="H607" s="18" t="inlineStr">
        <is>
          <t>sorting, articles, cleaning</t>
        </is>
      </c>
      <c r="I607" s="18" t="inlineStr">
        <is>
          <t>심화 Laundry Machine Operators 실무, 프로젝트 관리 역량</t>
        </is>
      </c>
      <c r="J607" s="18" t="inlineStr">
        <is>
          <t>실무 1년 이상 및 전문 자격</t>
        </is>
      </c>
      <c r="K607" s="17" t="inlineStr">
        <is>
          <t>★★☆☆☆</t>
        </is>
      </c>
      <c r="L607" s="21" t="inlineStr">
        <is>
          <t>+15.0%</t>
        </is>
      </c>
    </row>
    <row r="608">
      <c r="A608" s="15" t="inlineStr">
        <is>
          <t>TR-0607</t>
        </is>
      </c>
      <c r="B608" s="15" t="inlineStr">
        <is>
          <t>8154</t>
        </is>
      </c>
      <c r="C608" s="16" t="inlineStr">
        <is>
          <t>Bleaching, Dyeing and Fabric Cleaning Machine Operators</t>
        </is>
      </c>
      <c r="D608" s="15" t="inlineStr">
        <is>
          <t>9121</t>
        </is>
      </c>
      <c r="E608" s="16" t="inlineStr">
        <is>
          <t>Hand Launderers and Pressers</t>
        </is>
      </c>
      <c r="F608" s="16" t="inlineStr">
        <is>
          <t>배터리 / 신소재 / 에너지</t>
        </is>
      </c>
      <c r="G608" s="15" t="inlineStr">
        <is>
          <t>horizontal_transfer</t>
        </is>
      </c>
      <c r="H608" s="16" t="inlineStr">
        <is>
          <t>laundering, pressing, linen</t>
        </is>
      </c>
      <c r="I608" s="16" t="inlineStr">
        <is>
          <t>심화 Hand Launderers and Pressers 실무, 프로젝트 관리 역량</t>
        </is>
      </c>
      <c r="J608" s="16" t="inlineStr">
        <is>
          <t>실무 1년 이상 및 전문 자격</t>
        </is>
      </c>
      <c r="K608" s="15" t="inlineStr">
        <is>
          <t>★★☆☆☆</t>
        </is>
      </c>
      <c r="L608" s="20" t="inlineStr">
        <is>
          <t>+15.0%</t>
        </is>
      </c>
    </row>
    <row r="609">
      <c r="A609" s="17" t="inlineStr">
        <is>
          <t>TR-0608</t>
        </is>
      </c>
      <c r="B609" s="17" t="inlineStr">
        <is>
          <t>8155</t>
        </is>
      </c>
      <c r="C609" s="18" t="inlineStr">
        <is>
          <t>Fur and Leather Preparing Machine Operators</t>
        </is>
      </c>
      <c r="D609" s="17" t="inlineStr">
        <is>
          <t>7535</t>
        </is>
      </c>
      <c r="E609" s="18" t="inlineStr">
        <is>
          <t>Pelt Dressers, Tanners and Fellmongers</t>
        </is>
      </c>
      <c r="F609" s="18" t="inlineStr">
        <is>
          <t>배터리 / 신소재 / 에너지</t>
        </is>
      </c>
      <c r="G609" s="17" t="inlineStr">
        <is>
          <t>horizontal_transfer</t>
        </is>
      </c>
      <c r="H609" s="18" t="inlineStr">
        <is>
          <t>sorting, grading, pelts</t>
        </is>
      </c>
      <c r="I609" s="18" t="inlineStr">
        <is>
          <t>심화 Pelt Dressers, Tanners and Fellmongers 실무, 프로젝트 관리 역량</t>
        </is>
      </c>
      <c r="J609" s="18" t="inlineStr">
        <is>
          <t>실무 1년 이상 및 전문 자격</t>
        </is>
      </c>
      <c r="K609" s="17" t="inlineStr">
        <is>
          <t>★★☆☆☆</t>
        </is>
      </c>
      <c r="L609" s="21" t="inlineStr">
        <is>
          <t>+15.0%</t>
        </is>
      </c>
    </row>
    <row r="610">
      <c r="A610" s="15" t="inlineStr">
        <is>
          <t>TR-0609</t>
        </is>
      </c>
      <c r="B610" s="15" t="inlineStr">
        <is>
          <t>8156</t>
        </is>
      </c>
      <c r="C610" s="16" t="inlineStr">
        <is>
          <t>Shoemaking and Related Machine Operators</t>
        </is>
      </c>
      <c r="D610" s="15" t="inlineStr">
        <is>
          <t>7318</t>
        </is>
      </c>
      <c r="E610" s="16" t="inlineStr">
        <is>
          <t>Handicraft Workers in Textile, Leather and Related Materials</t>
        </is>
      </c>
      <c r="F610" s="16" t="inlineStr">
        <is>
          <t>배터리 / 신소재 / 에너지</t>
        </is>
      </c>
      <c r="G610" s="15" t="inlineStr">
        <is>
          <t>horizontal_transfer</t>
        </is>
      </c>
      <c r="H610" s="16" t="inlineStr">
        <is>
          <t>spinning, dyeing, with</t>
        </is>
      </c>
      <c r="I610" s="16" t="inlineStr">
        <is>
          <t>심화 Handicraft Workers in Textile, Leather and Related Materials 실무, 프로젝트 관리 역량</t>
        </is>
      </c>
      <c r="J610" s="16" t="inlineStr">
        <is>
          <t>실무 1년 이상 및 전문 자격</t>
        </is>
      </c>
      <c r="K610" s="15" t="inlineStr">
        <is>
          <t>★★☆☆☆</t>
        </is>
      </c>
      <c r="L610" s="20" t="inlineStr">
        <is>
          <t>+15.0%</t>
        </is>
      </c>
    </row>
    <row r="611">
      <c r="A611" s="17" t="inlineStr">
        <is>
          <t>TR-0610</t>
        </is>
      </c>
      <c r="B611" s="17" t="inlineStr">
        <is>
          <t>8156</t>
        </is>
      </c>
      <c r="C611" s="18" t="inlineStr">
        <is>
          <t>Shoemaking and Related Machine Operators</t>
        </is>
      </c>
      <c r="D611" s="17" t="inlineStr">
        <is>
          <t>7536</t>
        </is>
      </c>
      <c r="E611" s="18" t="inlineStr">
        <is>
          <t>Shoemakers and Related Workers</t>
        </is>
      </c>
      <c r="F611" s="18" t="inlineStr">
        <is>
          <t>배터리 / 신소재 / 에너지</t>
        </is>
      </c>
      <c r="G611" s="17" t="inlineStr">
        <is>
          <t>horizontal_transfer</t>
        </is>
      </c>
      <c r="H611" s="18" t="inlineStr">
        <is>
          <t>making, modifying, repairing</t>
        </is>
      </c>
      <c r="I611" s="18" t="inlineStr">
        <is>
          <t>심화 Shoemakers and Related Workers 실무, 프로젝트 관리 역량</t>
        </is>
      </c>
      <c r="J611" s="18" t="inlineStr">
        <is>
          <t>실무 1년 이상 및 전문 자격</t>
        </is>
      </c>
      <c r="K611" s="17" t="inlineStr">
        <is>
          <t>★★☆☆☆</t>
        </is>
      </c>
      <c r="L611" s="21" t="inlineStr">
        <is>
          <t>+15.0%</t>
        </is>
      </c>
    </row>
    <row r="612">
      <c r="A612" s="15" t="inlineStr">
        <is>
          <t>TR-0611</t>
        </is>
      </c>
      <c r="B612" s="15" t="inlineStr">
        <is>
          <t>8157</t>
        </is>
      </c>
      <c r="C612" s="16" t="inlineStr">
        <is>
          <t>Laundry Machine Operators</t>
        </is>
      </c>
      <c r="D612" s="15" t="inlineStr">
        <is>
          <t>9121</t>
        </is>
      </c>
      <c r="E612" s="16" t="inlineStr">
        <is>
          <t>Hand Launderers and Pressers</t>
        </is>
      </c>
      <c r="F612" s="16" t="inlineStr">
        <is>
          <t>배터리 / 신소재 / 에너지</t>
        </is>
      </c>
      <c r="G612" s="15" t="inlineStr">
        <is>
          <t>horizontal_transfer</t>
        </is>
      </c>
      <c r="H612" s="16" t="inlineStr">
        <is>
          <t>laundering, pressing, linen</t>
        </is>
      </c>
      <c r="I612" s="16" t="inlineStr">
        <is>
          <t>심화 Hand Launderers and Pressers 실무, 프로젝트 관리 역량</t>
        </is>
      </c>
      <c r="J612" s="16" t="inlineStr">
        <is>
          <t>실무 1년 이상 및 전문 자격</t>
        </is>
      </c>
      <c r="K612" s="15" t="inlineStr">
        <is>
          <t>★★☆☆☆</t>
        </is>
      </c>
      <c r="L612" s="20" t="inlineStr">
        <is>
          <t>+15.0%</t>
        </is>
      </c>
    </row>
    <row r="613">
      <c r="A613" s="17" t="inlineStr">
        <is>
          <t>TR-0612</t>
        </is>
      </c>
      <c r="B613" s="17" t="inlineStr">
        <is>
          <t>8160</t>
        </is>
      </c>
      <c r="C613" s="18" t="inlineStr">
        <is>
          <t>Food and Related Products Machine Operators</t>
        </is>
      </c>
      <c r="D613" s="17" t="inlineStr">
        <is>
          <t>8183</t>
        </is>
      </c>
      <c r="E613" s="18" t="inlineStr">
        <is>
          <t>Packing, Bottling and Labelling Machine Operators</t>
        </is>
      </c>
      <c r="F613" s="18" t="inlineStr">
        <is>
          <t>배터리 / 신소재 / 에너지</t>
        </is>
      </c>
      <c r="G613" s="17" t="inlineStr">
        <is>
          <t>horizontal_transfer</t>
        </is>
      </c>
      <c r="H613" s="18" t="inlineStr">
        <is>
          <t>operating, monitoring, machines</t>
        </is>
      </c>
      <c r="I613" s="18" t="inlineStr">
        <is>
          <t>심화 Packing, Bottling and Labelling Machine Operators 실무, 프로젝트 관리 역량</t>
        </is>
      </c>
      <c r="J613" s="18" t="inlineStr">
        <is>
          <t>실무 1년 이상 및 전문 자격</t>
        </is>
      </c>
      <c r="K613" s="17" t="inlineStr">
        <is>
          <t>★★☆☆☆</t>
        </is>
      </c>
      <c r="L613" s="21" t="inlineStr">
        <is>
          <t>+15.0%</t>
        </is>
      </c>
    </row>
    <row r="614">
      <c r="A614" s="15" t="inlineStr">
        <is>
          <t>TR-0613</t>
        </is>
      </c>
      <c r="B614" s="15" t="inlineStr">
        <is>
          <t>8171</t>
        </is>
      </c>
      <c r="C614" s="16" t="inlineStr">
        <is>
          <t>Pulp and Papermaking Plant Operators</t>
        </is>
      </c>
      <c r="D614" s="15" t="inlineStr">
        <is>
          <t>3139</t>
        </is>
      </c>
      <c r="E614" s="16" t="inlineStr">
        <is>
          <t>Process Control Technicians Not Elsewhere Classified</t>
        </is>
      </c>
      <c r="F614" s="16" t="inlineStr">
        <is>
          <t>배터리 / 신소재 / 에너지</t>
        </is>
      </c>
      <c r="G614" s="15" t="inlineStr">
        <is>
          <t>vertical_promotion</t>
        </is>
      </c>
      <c r="H614" s="16" t="inlineStr">
        <is>
          <t>Process Control Technicians Not Elsewhere Classified 실무, 표준 프로세스 준수, 데이터/지표 분석</t>
        </is>
      </c>
      <c r="I614" s="16" t="inlineStr">
        <is>
          <t>심화 Process Control Technicians Not Elsewhere Classified 실무, 프로젝트 관리 역량</t>
        </is>
      </c>
      <c r="J614" s="16" t="inlineStr">
        <is>
          <t>실무 2년 이상 및 전문 자격</t>
        </is>
      </c>
      <c r="K614" s="15" t="inlineStr">
        <is>
          <t>★★★☆☆</t>
        </is>
      </c>
      <c r="L614" s="20" t="inlineStr">
        <is>
          <t>+25.0%</t>
        </is>
      </c>
    </row>
    <row r="615">
      <c r="A615" s="17" t="inlineStr">
        <is>
          <t>TR-0614</t>
        </is>
      </c>
      <c r="B615" s="17" t="inlineStr">
        <is>
          <t>8172</t>
        </is>
      </c>
      <c r="C615" s="18" t="inlineStr">
        <is>
          <t>Wood Processing Plant Operators</t>
        </is>
      </c>
      <c r="D615" s="17" t="inlineStr">
        <is>
          <t>7521</t>
        </is>
      </c>
      <c r="E615" s="18" t="inlineStr">
        <is>
          <t>Wood Treaters</t>
        </is>
      </c>
      <c r="F615" s="18" t="inlineStr">
        <is>
          <t>배터리 / 신소재 / 에너지</t>
        </is>
      </c>
      <c r="G615" s="17" t="inlineStr">
        <is>
          <t>horizontal_transfer</t>
        </is>
      </c>
      <c r="H615" s="18" t="inlineStr">
        <is>
          <t>operating, tending, kilns</t>
        </is>
      </c>
      <c r="I615" s="18" t="inlineStr">
        <is>
          <t>심화 Wood Treaters 실무, 프로젝트 관리 역량</t>
        </is>
      </c>
      <c r="J615" s="18" t="inlineStr">
        <is>
          <t>실무 1년 이상 및 전문 자격</t>
        </is>
      </c>
      <c r="K615" s="17" t="inlineStr">
        <is>
          <t>★★☆☆☆</t>
        </is>
      </c>
      <c r="L615" s="21" t="inlineStr">
        <is>
          <t>+15.0%</t>
        </is>
      </c>
    </row>
    <row r="616">
      <c r="A616" s="15" t="inlineStr">
        <is>
          <t>TR-0615</t>
        </is>
      </c>
      <c r="B616" s="15" t="inlineStr">
        <is>
          <t>8172</t>
        </is>
      </c>
      <c r="C616" s="16" t="inlineStr">
        <is>
          <t>Wood Processing Plant Operators</t>
        </is>
      </c>
      <c r="D616" s="15" t="inlineStr">
        <is>
          <t>7523</t>
        </is>
      </c>
      <c r="E616" s="16" t="inlineStr">
        <is>
          <t>Woodworking Machine Tool Setters and Operators</t>
        </is>
      </c>
      <c r="F616" s="16" t="inlineStr">
        <is>
          <t>배터리 / 신소재 / 에너지</t>
        </is>
      </c>
      <c r="G616" s="15" t="inlineStr">
        <is>
          <t>horizontal_transfer</t>
        </is>
      </c>
      <c r="H616" s="16" t="inlineStr">
        <is>
          <t>setting, programming, operating</t>
        </is>
      </c>
      <c r="I616" s="16" t="inlineStr">
        <is>
          <t>심화 Woodworking Machine Tool Setters and Operators 실무, 프로젝트 관리 역량</t>
        </is>
      </c>
      <c r="J616" s="16" t="inlineStr">
        <is>
          <t>실무 1년 이상 및 전문 자격</t>
        </is>
      </c>
      <c r="K616" s="15" t="inlineStr">
        <is>
          <t>★★☆☆☆</t>
        </is>
      </c>
      <c r="L616" s="20" t="inlineStr">
        <is>
          <t>+15.0%</t>
        </is>
      </c>
    </row>
    <row r="617">
      <c r="A617" s="17" t="inlineStr">
        <is>
          <t>TR-0616</t>
        </is>
      </c>
      <c r="B617" s="17" t="inlineStr">
        <is>
          <t>8181</t>
        </is>
      </c>
      <c r="C617" s="18" t="inlineStr">
        <is>
          <t>Glass and Ceramics Plant Operators</t>
        </is>
      </c>
      <c r="D617" s="17" t="inlineStr">
        <is>
          <t>7314</t>
        </is>
      </c>
      <c r="E617" s="18" t="inlineStr">
        <is>
          <t>Potters and Related Workers</t>
        </is>
      </c>
      <c r="F617" s="18" t="inlineStr">
        <is>
          <t>배터리 / 신소재 / 에너지</t>
        </is>
      </c>
      <c r="G617" s="17" t="inlineStr">
        <is>
          <t>horizontal_transfer</t>
        </is>
      </c>
      <c r="H617" s="18" t="inlineStr">
        <is>
          <t>making, articles, pottery</t>
        </is>
      </c>
      <c r="I617" s="18" t="inlineStr">
        <is>
          <t>심화 Potters and Related Workers 실무, 프로젝트 관리 역량</t>
        </is>
      </c>
      <c r="J617" s="18" t="inlineStr">
        <is>
          <t>실무 1년 이상 및 전문 자격</t>
        </is>
      </c>
      <c r="K617" s="17" t="inlineStr">
        <is>
          <t>★★☆☆☆</t>
        </is>
      </c>
      <c r="L617" s="21" t="inlineStr">
        <is>
          <t>+15.0%</t>
        </is>
      </c>
    </row>
    <row r="618">
      <c r="A618" s="15" t="inlineStr">
        <is>
          <t>TR-0617</t>
        </is>
      </c>
      <c r="B618" s="15" t="inlineStr">
        <is>
          <t>8181</t>
        </is>
      </c>
      <c r="C618" s="16" t="inlineStr">
        <is>
          <t>Glass and Ceramics Plant Operators</t>
        </is>
      </c>
      <c r="D618" s="15" t="inlineStr">
        <is>
          <t>7315</t>
        </is>
      </c>
      <c r="E618" s="16" t="inlineStr">
        <is>
          <t>Glass Makers, Cutters, Grinders and Finishers</t>
        </is>
      </c>
      <c r="F618" s="16" t="inlineStr">
        <is>
          <t>배터리 / 신소재 / 에너지</t>
        </is>
      </c>
      <c r="G618" s="15" t="inlineStr">
        <is>
          <t>horizontal_transfer</t>
        </is>
      </c>
      <c r="H618" s="16" t="inlineStr">
        <is>
          <t>heating, glass, pliable</t>
        </is>
      </c>
      <c r="I618" s="16" t="inlineStr">
        <is>
          <t>심화 Glass Makers, Cutters, Grinders and Finishers 실무, 프로젝트 관리 역량</t>
        </is>
      </c>
      <c r="J618" s="16" t="inlineStr">
        <is>
          <t>실무 1년 이상 및 전문 자격</t>
        </is>
      </c>
      <c r="K618" s="15" t="inlineStr">
        <is>
          <t>★★☆☆☆</t>
        </is>
      </c>
      <c r="L618" s="20" t="inlineStr">
        <is>
          <t>+15.0%</t>
        </is>
      </c>
    </row>
    <row r="619">
      <c r="A619" s="17" t="inlineStr">
        <is>
          <t>TR-0618</t>
        </is>
      </c>
      <c r="B619" s="17" t="inlineStr">
        <is>
          <t>8182</t>
        </is>
      </c>
      <c r="C619" s="18" t="inlineStr">
        <is>
          <t>Steam Engine and Boiler Operators</t>
        </is>
      </c>
      <c r="D619" s="17" t="inlineStr">
        <is>
          <t>3151</t>
        </is>
      </c>
      <c r="E619" s="18" t="inlineStr">
        <is>
          <t>Ships' Engineers</t>
        </is>
      </c>
      <c r="F619" s="18" t="inlineStr">
        <is>
          <t>배터리 / 신소재 / 에너지</t>
        </is>
      </c>
      <c r="G619" s="17" t="inlineStr">
        <is>
          <t>vertical_promotion</t>
        </is>
      </c>
      <c r="H619" s="18" t="inlineStr">
        <is>
          <t>controlling, participating, operation</t>
        </is>
      </c>
      <c r="I619" s="18" t="inlineStr">
        <is>
          <t>심화 Ships' Engineers 실무, 프로젝트 관리 역량</t>
        </is>
      </c>
      <c r="J619" s="18" t="inlineStr">
        <is>
          <t>실무 2년 이상 및 전문 자격</t>
        </is>
      </c>
      <c r="K619" s="17" t="inlineStr">
        <is>
          <t>★★★☆☆</t>
        </is>
      </c>
      <c r="L619" s="21" t="inlineStr">
        <is>
          <t>+25.0%</t>
        </is>
      </c>
    </row>
    <row r="620">
      <c r="A620" s="15" t="inlineStr">
        <is>
          <t>TR-0619</t>
        </is>
      </c>
      <c r="B620" s="15" t="inlineStr">
        <is>
          <t>8182</t>
        </is>
      </c>
      <c r="C620" s="16" t="inlineStr">
        <is>
          <t>Steam Engine and Boiler Operators</t>
        </is>
      </c>
      <c r="D620" s="15" t="inlineStr">
        <is>
          <t>7233</t>
        </is>
      </c>
      <c r="E620" s="16" t="inlineStr">
        <is>
          <t>Agricultural and Industrial Machinery Mechanics and Repairers</t>
        </is>
      </c>
      <c r="F620" s="16" t="inlineStr">
        <is>
          <t>배터리 / 신소재 / 에너지</t>
        </is>
      </c>
      <c r="G620" s="15" t="inlineStr">
        <is>
          <t>horizontal_transfer</t>
        </is>
      </c>
      <c r="H620" s="16" t="inlineStr">
        <is>
          <t>fitting, installing, examining</t>
        </is>
      </c>
      <c r="I620" s="16" t="inlineStr">
        <is>
          <t>심화 Agricultural and Industrial Machinery Mechanics and Repairers 실무, 프로젝트 관리 역량</t>
        </is>
      </c>
      <c r="J620" s="16" t="inlineStr">
        <is>
          <t>실무 1년 이상 및 전문 자격</t>
        </is>
      </c>
      <c r="K620" s="15" t="inlineStr">
        <is>
          <t>★★☆☆☆</t>
        </is>
      </c>
      <c r="L620" s="20" t="inlineStr">
        <is>
          <t>+15.0%</t>
        </is>
      </c>
    </row>
    <row r="621">
      <c r="A621" s="17" t="inlineStr">
        <is>
          <t>TR-0620</t>
        </is>
      </c>
      <c r="B621" s="17" t="inlineStr">
        <is>
          <t>8183</t>
        </is>
      </c>
      <c r="C621" s="18" t="inlineStr">
        <is>
          <t>Packing, Bottling and Labelling Machine Operators</t>
        </is>
      </c>
      <c r="D621" s="17" t="inlineStr">
        <is>
          <t>9321</t>
        </is>
      </c>
      <c r="E621" s="18" t="inlineStr">
        <is>
          <t>Hand Packers</t>
        </is>
      </c>
      <c r="F621" s="18" t="inlineStr">
        <is>
          <t>배터리 / 신소재 / 에너지</t>
        </is>
      </c>
      <c r="G621" s="17" t="inlineStr">
        <is>
          <t>horizontal_transfer</t>
        </is>
      </c>
      <c r="H621" s="18" t="inlineStr">
        <is>
          <t>weighing, wrapping, sealing</t>
        </is>
      </c>
      <c r="I621" s="18" t="inlineStr">
        <is>
          <t>심화 Hand Packers 실무, 프로젝트 관리 역량</t>
        </is>
      </c>
      <c r="J621" s="18" t="inlineStr">
        <is>
          <t>실무 1년 이상 및 전문 자격</t>
        </is>
      </c>
      <c r="K621" s="17" t="inlineStr">
        <is>
          <t>★★☆☆☆</t>
        </is>
      </c>
      <c r="L621" s="21" t="inlineStr">
        <is>
          <t>+15.0%</t>
        </is>
      </c>
    </row>
    <row r="622">
      <c r="A622" s="15" t="inlineStr">
        <is>
          <t>TR-0621</t>
        </is>
      </c>
      <c r="B622" s="15" t="inlineStr">
        <is>
          <t>8211</t>
        </is>
      </c>
      <c r="C622" s="16" t="inlineStr">
        <is>
          <t>Mechanical Machinery Assemblers</t>
        </is>
      </c>
      <c r="D622" s="15" t="inlineStr">
        <is>
          <t>7231</t>
        </is>
      </c>
      <c r="E622" s="16" t="inlineStr">
        <is>
          <t>Motor Vehicle Mechanics and Repairers</t>
        </is>
      </c>
      <c r="F622" s="16" t="inlineStr">
        <is>
          <t>배터리 / 신소재 / 에너지</t>
        </is>
      </c>
      <c r="G622" s="15" t="inlineStr">
        <is>
          <t>horizontal_transfer</t>
        </is>
      </c>
      <c r="H622" s="16" t="inlineStr">
        <is>
          <t>detecting, diagnosing, faults</t>
        </is>
      </c>
      <c r="I622" s="16" t="inlineStr">
        <is>
          <t>심화 Motor Vehicle Mechanics and Repairers 실무, 프로젝트 관리 역량</t>
        </is>
      </c>
      <c r="J622" s="16" t="inlineStr">
        <is>
          <t>실무 1년 이상 및 전문 자격</t>
        </is>
      </c>
      <c r="K622" s="15" t="inlineStr">
        <is>
          <t>★★☆☆☆</t>
        </is>
      </c>
      <c r="L622" s="20" t="inlineStr">
        <is>
          <t>+15.0%</t>
        </is>
      </c>
    </row>
    <row r="623">
      <c r="A623" s="17" t="inlineStr">
        <is>
          <t>TR-0622</t>
        </is>
      </c>
      <c r="B623" s="17" t="inlineStr">
        <is>
          <t>8211</t>
        </is>
      </c>
      <c r="C623" s="18" t="inlineStr">
        <is>
          <t>Mechanical Machinery Assemblers</t>
        </is>
      </c>
      <c r="D623" s="17" t="inlineStr">
        <is>
          <t>8212</t>
        </is>
      </c>
      <c r="E623" s="18" t="inlineStr">
        <is>
          <t>Electrical and Electronic Equipment Assemblers</t>
        </is>
      </c>
      <c r="F623" s="18" t="inlineStr">
        <is>
          <t>배터리 / 신소재 / 에너지</t>
        </is>
      </c>
      <c r="G623" s="17" t="inlineStr">
        <is>
          <t>horizontal_transfer</t>
        </is>
      </c>
      <c r="H623" s="18" t="inlineStr">
        <is>
          <t>assembling, component, parts</t>
        </is>
      </c>
      <c r="I623" s="18" t="inlineStr">
        <is>
          <t>심화 Electrical and Electronic Equipment Assemblers 실무, 프로젝트 관리 역량</t>
        </is>
      </c>
      <c r="J623" s="18" t="inlineStr">
        <is>
          <t>실무 1년 이상 및 전문 자격</t>
        </is>
      </c>
      <c r="K623" s="17" t="inlineStr">
        <is>
          <t>★★☆☆☆</t>
        </is>
      </c>
      <c r="L623" s="21" t="inlineStr">
        <is>
          <t>+15.0%</t>
        </is>
      </c>
    </row>
    <row r="624">
      <c r="A624" s="15" t="inlineStr">
        <is>
          <t>TR-0623</t>
        </is>
      </c>
      <c r="B624" s="15" t="inlineStr">
        <is>
          <t>8211</t>
        </is>
      </c>
      <c r="C624" s="16" t="inlineStr">
        <is>
          <t>Mechanical Machinery Assemblers</t>
        </is>
      </c>
      <c r="D624" s="15" t="inlineStr">
        <is>
          <t>8219</t>
        </is>
      </c>
      <c r="E624" s="16" t="inlineStr">
        <is>
          <t>Assemblers Not Elsewhere Classified</t>
        </is>
      </c>
      <c r="F624" s="16" t="inlineStr">
        <is>
          <t>배터리 / 신소재 / 에너지</t>
        </is>
      </c>
      <c r="G624" s="15" t="inlineStr">
        <is>
          <t>horizontal_transfer</t>
        </is>
      </c>
      <c r="H624" s="16" t="inlineStr">
        <is>
          <t>assembling, component, parts</t>
        </is>
      </c>
      <c r="I624" s="16" t="inlineStr">
        <is>
          <t>심화 Assemblers Not Elsewhere Classified 실무, 프로젝트 관리 역량</t>
        </is>
      </c>
      <c r="J624" s="16" t="inlineStr">
        <is>
          <t>실무 1년 이상 및 전문 자격</t>
        </is>
      </c>
      <c r="K624" s="15" t="inlineStr">
        <is>
          <t>★★☆☆☆</t>
        </is>
      </c>
      <c r="L624" s="20" t="inlineStr">
        <is>
          <t>+15.0%</t>
        </is>
      </c>
    </row>
    <row r="625">
      <c r="A625" s="17" t="inlineStr">
        <is>
          <t>TR-0624</t>
        </is>
      </c>
      <c r="B625" s="17" t="inlineStr">
        <is>
          <t>8212</t>
        </is>
      </c>
      <c r="C625" s="18" t="inlineStr">
        <is>
          <t>Electrical and Electronic Equipment Assemblers</t>
        </is>
      </c>
      <c r="D625" s="17" t="inlineStr">
        <is>
          <t>7311</t>
        </is>
      </c>
      <c r="E625" s="18" t="inlineStr">
        <is>
          <t>Precision-instrument Makers and Repairers</t>
        </is>
      </c>
      <c r="F625" s="18" t="inlineStr">
        <is>
          <t>배터리 / 신소재 / 에너지</t>
        </is>
      </c>
      <c r="G625" s="17" t="inlineStr">
        <is>
          <t>horizontal_transfer</t>
        </is>
      </c>
      <c r="H625" s="18" t="inlineStr">
        <is>
          <t>repairing, cleaning, adjusting</t>
        </is>
      </c>
      <c r="I625" s="18" t="inlineStr">
        <is>
          <t>심화 Precision-instrument Makers and Repairers 실무, 프로젝트 관리 역량</t>
        </is>
      </c>
      <c r="J625" s="18" t="inlineStr">
        <is>
          <t>실무 1년 이상 및 전문 자격</t>
        </is>
      </c>
      <c r="K625" s="17" t="inlineStr">
        <is>
          <t>★★☆☆☆</t>
        </is>
      </c>
      <c r="L625" s="21" t="inlineStr">
        <is>
          <t>+15.0%</t>
        </is>
      </c>
    </row>
    <row r="626">
      <c r="A626" s="15" t="inlineStr">
        <is>
          <t>TR-0625</t>
        </is>
      </c>
      <c r="B626" s="15" t="inlineStr">
        <is>
          <t>8212</t>
        </is>
      </c>
      <c r="C626" s="16" t="inlineStr">
        <is>
          <t>Electrical and Electronic Equipment Assemblers</t>
        </is>
      </c>
      <c r="D626" s="15" t="inlineStr">
        <is>
          <t>7421</t>
        </is>
      </c>
      <c r="E626" s="16" t="inlineStr">
        <is>
          <t>Electronics Mechanics and Servicers</t>
        </is>
      </c>
      <c r="F626" s="16" t="inlineStr">
        <is>
          <t>배터리 / 신소재 / 에너지</t>
        </is>
      </c>
      <c r="G626" s="15" t="inlineStr">
        <is>
          <t>horizontal_transfer</t>
        </is>
      </c>
      <c r="H626" s="16" t="inlineStr">
        <is>
          <t>examining, testing, machines</t>
        </is>
      </c>
      <c r="I626" s="16" t="inlineStr">
        <is>
          <t>심화 Electronics Mechanics and Servicers 실무, 프로젝트 관리 역량</t>
        </is>
      </c>
      <c r="J626" s="16" t="inlineStr">
        <is>
          <t>실무 1년 이상 및 전문 자격</t>
        </is>
      </c>
      <c r="K626" s="15" t="inlineStr">
        <is>
          <t>★★☆☆☆</t>
        </is>
      </c>
      <c r="L626" s="20" t="inlineStr">
        <is>
          <t>+15.0%</t>
        </is>
      </c>
    </row>
    <row r="627">
      <c r="A627" s="17" t="inlineStr">
        <is>
          <t>TR-0626</t>
        </is>
      </c>
      <c r="B627" s="17" t="inlineStr">
        <is>
          <t>8311</t>
        </is>
      </c>
      <c r="C627" s="18" t="inlineStr">
        <is>
          <t>Locomotive Engine Drivers</t>
        </is>
      </c>
      <c r="D627" s="17" t="inlineStr">
        <is>
          <t>8331</t>
        </is>
      </c>
      <c r="E627" s="18" t="inlineStr">
        <is>
          <t>Bus and Tram Drivers</t>
        </is>
      </c>
      <c r="F627" s="18" t="inlineStr">
        <is>
          <t>모빌리티 / 자율주행 / 로보틱스</t>
        </is>
      </c>
      <c r="G627" s="17" t="inlineStr">
        <is>
          <t>horizontal_transfer</t>
        </is>
      </c>
      <c r="H627" s="18" t="inlineStr">
        <is>
          <t>driving, tending, motor</t>
        </is>
      </c>
      <c r="I627" s="18" t="inlineStr">
        <is>
          <t>심화 Bus and Tram Drivers 실무, 프로젝트 관리 역량</t>
        </is>
      </c>
      <c r="J627" s="18" t="inlineStr">
        <is>
          <t>실무 1년 이상 및 전문 자격</t>
        </is>
      </c>
      <c r="K627" s="17" t="inlineStr">
        <is>
          <t>★★☆☆☆</t>
        </is>
      </c>
      <c r="L627" s="21" t="inlineStr">
        <is>
          <t>+15.0%</t>
        </is>
      </c>
    </row>
    <row r="628">
      <c r="A628" s="15" t="inlineStr">
        <is>
          <t>TR-0627</t>
        </is>
      </c>
      <c r="B628" s="15" t="inlineStr">
        <is>
          <t>8321</t>
        </is>
      </c>
      <c r="C628" s="16" t="inlineStr">
        <is>
          <t>Motorcycle Drivers</t>
        </is>
      </c>
      <c r="D628" s="15" t="inlineStr">
        <is>
          <t>9331</t>
        </is>
      </c>
      <c r="E628" s="16" t="inlineStr">
        <is>
          <t>Hand and Pedal Vehicle Drivers</t>
        </is>
      </c>
      <c r="F628" s="16" t="inlineStr">
        <is>
          <t>모빌리티 / 자율주행 / 로보틱스</t>
        </is>
      </c>
      <c r="G628" s="15" t="inlineStr">
        <is>
          <t>horizontal_transfer</t>
        </is>
      </c>
      <c r="H628" s="16" t="inlineStr">
        <is>
          <t>loading, unloading, goods</t>
        </is>
      </c>
      <c r="I628" s="16" t="inlineStr">
        <is>
          <t>심화 Hand and Pedal Vehicle Drivers 실무, 프로젝트 관리 역량</t>
        </is>
      </c>
      <c r="J628" s="16" t="inlineStr">
        <is>
          <t>실무 1년 이상 및 전문 자격</t>
        </is>
      </c>
      <c r="K628" s="15" t="inlineStr">
        <is>
          <t>★★☆☆☆</t>
        </is>
      </c>
      <c r="L628" s="20" t="inlineStr">
        <is>
          <t>+15.0%</t>
        </is>
      </c>
    </row>
    <row r="629">
      <c r="A629" s="17" t="inlineStr">
        <is>
          <t>TR-0628</t>
        </is>
      </c>
      <c r="B629" s="17" t="inlineStr">
        <is>
          <t>8322</t>
        </is>
      </c>
      <c r="C629" s="18" t="inlineStr">
        <is>
          <t>Car, Taxi and Van Drivers</t>
        </is>
      </c>
      <c r="D629" s="17" t="inlineStr">
        <is>
          <t>8331</t>
        </is>
      </c>
      <c r="E629" s="18" t="inlineStr">
        <is>
          <t>Bus and Tram Drivers</t>
        </is>
      </c>
      <c r="F629" s="18" t="inlineStr">
        <is>
          <t>모빌리티 / 자율주행 / 로보틱스</t>
        </is>
      </c>
      <c r="G629" s="17" t="inlineStr">
        <is>
          <t>horizontal_transfer</t>
        </is>
      </c>
      <c r="H629" s="18" t="inlineStr">
        <is>
          <t>driving, tending, motor</t>
        </is>
      </c>
      <c r="I629" s="18" t="inlineStr">
        <is>
          <t>심화 Bus and Tram Drivers 실무, 프로젝트 관리 역량</t>
        </is>
      </c>
      <c r="J629" s="18" t="inlineStr">
        <is>
          <t>실무 1년 이상 및 전문 자격</t>
        </is>
      </c>
      <c r="K629" s="17" t="inlineStr">
        <is>
          <t>★★☆☆☆</t>
        </is>
      </c>
      <c r="L629" s="21" t="inlineStr">
        <is>
          <t>+15.0%</t>
        </is>
      </c>
    </row>
    <row r="630">
      <c r="A630" s="15" t="inlineStr">
        <is>
          <t>TR-0629</t>
        </is>
      </c>
      <c r="B630" s="15" t="inlineStr">
        <is>
          <t>8322</t>
        </is>
      </c>
      <c r="C630" s="16" t="inlineStr">
        <is>
          <t>Car, Taxi and Van Drivers</t>
        </is>
      </c>
      <c r="D630" s="15" t="inlineStr">
        <is>
          <t>8332</t>
        </is>
      </c>
      <c r="E630" s="16" t="inlineStr">
        <is>
          <t>Heavy Truck and Lorry Drivers</t>
        </is>
      </c>
      <c r="F630" s="16" t="inlineStr">
        <is>
          <t>모빌리티 / 자율주행 / 로보틱스</t>
        </is>
      </c>
      <c r="G630" s="15" t="inlineStr">
        <is>
          <t>horizontal_transfer</t>
        </is>
      </c>
      <c r="H630" s="16" t="inlineStr">
        <is>
          <t>driving, tending, heavy</t>
        </is>
      </c>
      <c r="I630" s="16" t="inlineStr">
        <is>
          <t>심화 Heavy Truck and Lorry Drivers 실무, 프로젝트 관리 역량</t>
        </is>
      </c>
      <c r="J630" s="16" t="inlineStr">
        <is>
          <t>실무 1년 이상 및 전문 자격</t>
        </is>
      </c>
      <c r="K630" s="15" t="inlineStr">
        <is>
          <t>★★☆☆☆</t>
        </is>
      </c>
      <c r="L630" s="20" t="inlineStr">
        <is>
          <t>+15.0%</t>
        </is>
      </c>
    </row>
    <row r="631">
      <c r="A631" s="17" t="inlineStr">
        <is>
          <t>TR-0630</t>
        </is>
      </c>
      <c r="B631" s="17" t="inlineStr">
        <is>
          <t>8322</t>
        </is>
      </c>
      <c r="C631" s="18" t="inlineStr">
        <is>
          <t>Car, Taxi and Van Drivers</t>
        </is>
      </c>
      <c r="D631" s="17" t="inlineStr">
        <is>
          <t>9331</t>
        </is>
      </c>
      <c r="E631" s="18" t="inlineStr">
        <is>
          <t>Hand and Pedal Vehicle Drivers</t>
        </is>
      </c>
      <c r="F631" s="18" t="inlineStr">
        <is>
          <t>모빌리티 / 자율주행 / 로보틱스</t>
        </is>
      </c>
      <c r="G631" s="17" t="inlineStr">
        <is>
          <t>horizontal_transfer</t>
        </is>
      </c>
      <c r="H631" s="18" t="inlineStr">
        <is>
          <t>loading, unloading, goods</t>
        </is>
      </c>
      <c r="I631" s="18" t="inlineStr">
        <is>
          <t>심화 Hand and Pedal Vehicle Drivers 실무, 프로젝트 관리 역량</t>
        </is>
      </c>
      <c r="J631" s="18" t="inlineStr">
        <is>
          <t>실무 1년 이상 및 전문 자격</t>
        </is>
      </c>
      <c r="K631" s="17" t="inlineStr">
        <is>
          <t>★★☆☆☆</t>
        </is>
      </c>
      <c r="L631" s="21" t="inlineStr">
        <is>
          <t>+15.0%</t>
        </is>
      </c>
    </row>
    <row r="632">
      <c r="A632" s="15" t="inlineStr">
        <is>
          <t>TR-0631</t>
        </is>
      </c>
      <c r="B632" s="15" t="inlineStr">
        <is>
          <t>8322</t>
        </is>
      </c>
      <c r="C632" s="16" t="inlineStr">
        <is>
          <t>Car, Taxi and Van Drivers</t>
        </is>
      </c>
      <c r="D632" s="15" t="inlineStr">
        <is>
          <t>9332</t>
        </is>
      </c>
      <c r="E632" s="16" t="inlineStr">
        <is>
          <t>Drivers of Animal-drawn Vehicles and Machinery</t>
        </is>
      </c>
      <c r="F632" s="16" t="inlineStr">
        <is>
          <t>모빌리티 / 자율주행 / 로보틱스</t>
        </is>
      </c>
      <c r="G632" s="15" t="inlineStr">
        <is>
          <t>horizontal_transfer</t>
        </is>
      </c>
      <c r="H632" s="16" t="inlineStr">
        <is>
          <t>harnessing, animals, hitching</t>
        </is>
      </c>
      <c r="I632" s="16" t="inlineStr">
        <is>
          <t>심화 Drivers of Animal-drawn Vehicles and Machinery 실무, 프로젝트 관리 역량</t>
        </is>
      </c>
      <c r="J632" s="16" t="inlineStr">
        <is>
          <t>실무 1년 이상 및 전문 자격</t>
        </is>
      </c>
      <c r="K632" s="15" t="inlineStr">
        <is>
          <t>★★☆☆☆</t>
        </is>
      </c>
      <c r="L632" s="20" t="inlineStr">
        <is>
          <t>+15.0%</t>
        </is>
      </c>
    </row>
    <row r="633">
      <c r="A633" s="17" t="inlineStr">
        <is>
          <t>TR-0632</t>
        </is>
      </c>
      <c r="B633" s="17" t="inlineStr">
        <is>
          <t>8332</t>
        </is>
      </c>
      <c r="C633" s="18" t="inlineStr">
        <is>
          <t>Heavy Truck and Lorry Drivers</t>
        </is>
      </c>
      <c r="D633" s="17" t="inlineStr">
        <is>
          <t>8322</t>
        </is>
      </c>
      <c r="E633" s="18" t="inlineStr">
        <is>
          <t>Car, Taxi and Van Drivers</t>
        </is>
      </c>
      <c r="F633" s="18" t="inlineStr">
        <is>
          <t>모빌리티 / 자율주행 / 로보틱스</t>
        </is>
      </c>
      <c r="G633" s="17" t="inlineStr">
        <is>
          <t>horizontal_transfer</t>
        </is>
      </c>
      <c r="H633" s="18" t="inlineStr">
        <is>
          <t>driving, tending, passenger</t>
        </is>
      </c>
      <c r="I633" s="18" t="inlineStr">
        <is>
          <t>심화 Car, Taxi and Van Drivers 실무, 프로젝트 관리 역량</t>
        </is>
      </c>
      <c r="J633" s="18" t="inlineStr">
        <is>
          <t>실무 1년 이상 및 전문 자격</t>
        </is>
      </c>
      <c r="K633" s="17" t="inlineStr">
        <is>
          <t>★★☆☆☆</t>
        </is>
      </c>
      <c r="L633" s="21" t="inlineStr">
        <is>
          <t>+15.0%</t>
        </is>
      </c>
    </row>
    <row r="634">
      <c r="A634" s="15" t="inlineStr">
        <is>
          <t>TR-0633</t>
        </is>
      </c>
      <c r="B634" s="15" t="inlineStr">
        <is>
          <t>8341</t>
        </is>
      </c>
      <c r="C634" s="16" t="inlineStr">
        <is>
          <t>Mobile Farm and Forestry Plant Operators</t>
        </is>
      </c>
      <c r="D634" s="15" t="inlineStr">
        <is>
          <t>8342</t>
        </is>
      </c>
      <c r="E634" s="16" t="inlineStr">
        <is>
          <t>Earthmoving and Related Plant Operators</t>
        </is>
      </c>
      <c r="F634" s="16" t="inlineStr">
        <is>
          <t>모빌리티 / 자율주행 / 로보틱스</t>
        </is>
      </c>
      <c r="G634" s="15" t="inlineStr">
        <is>
          <t>horizontal_transfer</t>
        </is>
      </c>
      <c r="H634" s="16" t="inlineStr">
        <is>
          <t>operating, monitoring, excavating</t>
        </is>
      </c>
      <c r="I634" s="16" t="inlineStr">
        <is>
          <t>심화 Earthmoving and Related Plant Operators 실무, 프로젝트 관리 역량</t>
        </is>
      </c>
      <c r="J634" s="16" t="inlineStr">
        <is>
          <t>실무 1년 이상 및 전문 자격</t>
        </is>
      </c>
      <c r="K634" s="15" t="inlineStr">
        <is>
          <t>★★☆☆☆</t>
        </is>
      </c>
      <c r="L634" s="20" t="inlineStr">
        <is>
          <t>+15.0%</t>
        </is>
      </c>
    </row>
    <row r="635">
      <c r="A635" s="17" t="inlineStr">
        <is>
          <t>TR-0634</t>
        </is>
      </c>
      <c r="B635" s="17" t="inlineStr">
        <is>
          <t>9111</t>
        </is>
      </c>
      <c r="C635" s="18" t="inlineStr">
        <is>
          <t>Domestic Cleaners and Helpers</t>
        </is>
      </c>
      <c r="D635" s="17" t="inlineStr">
        <is>
          <t>5152</t>
        </is>
      </c>
      <c r="E635" s="18" t="inlineStr">
        <is>
          <t>Domestic Housekeepers</t>
        </is>
      </c>
      <c r="F635" s="18" t="inlineStr">
        <is>
          <t>탄소중립 / 산업안전 / ESG</t>
        </is>
      </c>
      <c r="G635" s="17" t="inlineStr">
        <is>
          <t>horizontal_transfer</t>
        </is>
      </c>
      <c r="H635" s="18" t="inlineStr">
        <is>
          <t>supervising, employed, households</t>
        </is>
      </c>
      <c r="I635" s="18" t="inlineStr">
        <is>
          <t>심화 Domestic Housekeepers 실무, 프로젝트 관리 역량</t>
        </is>
      </c>
      <c r="J635" s="18" t="inlineStr">
        <is>
          <t>실무 1년 이상 및 전문 자격</t>
        </is>
      </c>
      <c r="K635" s="17" t="inlineStr">
        <is>
          <t>★★☆☆☆</t>
        </is>
      </c>
      <c r="L635" s="21" t="inlineStr">
        <is>
          <t>+15.0%</t>
        </is>
      </c>
    </row>
    <row r="636">
      <c r="A636" s="15" t="inlineStr">
        <is>
          <t>TR-0635</t>
        </is>
      </c>
      <c r="B636" s="15" t="inlineStr">
        <is>
          <t>9111</t>
        </is>
      </c>
      <c r="C636" s="16" t="inlineStr">
        <is>
          <t>Domestic Cleaners and Helpers</t>
        </is>
      </c>
      <c r="D636" s="15" t="inlineStr">
        <is>
          <t>9112</t>
        </is>
      </c>
      <c r="E636" s="16" t="inlineStr">
        <is>
          <t>Cleaners and Helpers in Offices, Hotels and Other Establishments</t>
        </is>
      </c>
      <c r="F636" s="16" t="inlineStr">
        <is>
          <t>탄소중립 / 산업안전 / ESG</t>
        </is>
      </c>
      <c r="G636" s="15" t="inlineStr">
        <is>
          <t>horizontal_transfer</t>
        </is>
      </c>
      <c r="H636" s="16" t="inlineStr">
        <is>
          <t>sweeping, vacuum, cleaning</t>
        </is>
      </c>
      <c r="I636" s="16" t="inlineStr">
        <is>
          <t>심화 Cleaners and Helpers in Offices, Hotels and Other Establishments 실무, 프로젝트 관리 역량</t>
        </is>
      </c>
      <c r="J636" s="16" t="inlineStr">
        <is>
          <t>실무 1년 이상 및 전문 자격</t>
        </is>
      </c>
      <c r="K636" s="15" t="inlineStr">
        <is>
          <t>★★☆☆☆</t>
        </is>
      </c>
      <c r="L636" s="20" t="inlineStr">
        <is>
          <t>+15.0%</t>
        </is>
      </c>
    </row>
    <row r="637">
      <c r="A637" s="17" t="inlineStr">
        <is>
          <t>TR-0636</t>
        </is>
      </c>
      <c r="B637" s="17" t="inlineStr">
        <is>
          <t>9111</t>
        </is>
      </c>
      <c r="C637" s="18" t="inlineStr">
        <is>
          <t>Domestic Cleaners and Helpers</t>
        </is>
      </c>
      <c r="D637" s="17" t="inlineStr">
        <is>
          <t>9121</t>
        </is>
      </c>
      <c r="E637" s="18" t="inlineStr">
        <is>
          <t>Hand Launderers and Pressers</t>
        </is>
      </c>
      <c r="F637" s="18" t="inlineStr">
        <is>
          <t>탄소중립 / 산업안전 / ESG</t>
        </is>
      </c>
      <c r="G637" s="17" t="inlineStr">
        <is>
          <t>horizontal_transfer</t>
        </is>
      </c>
      <c r="H637" s="18" t="inlineStr">
        <is>
          <t>laundering, pressing, linen</t>
        </is>
      </c>
      <c r="I637" s="18" t="inlineStr">
        <is>
          <t>심화 Hand Launderers and Pressers 실무, 프로젝트 관리 역량</t>
        </is>
      </c>
      <c r="J637" s="18" t="inlineStr">
        <is>
          <t>실무 1년 이상 및 전문 자격</t>
        </is>
      </c>
      <c r="K637" s="17" t="inlineStr">
        <is>
          <t>★★☆☆☆</t>
        </is>
      </c>
      <c r="L637" s="21" t="inlineStr">
        <is>
          <t>+15.0%</t>
        </is>
      </c>
    </row>
    <row r="638">
      <c r="A638" s="15" t="inlineStr">
        <is>
          <t>TR-0637</t>
        </is>
      </c>
      <c r="B638" s="15" t="inlineStr">
        <is>
          <t>9111</t>
        </is>
      </c>
      <c r="C638" s="16" t="inlineStr">
        <is>
          <t>Domestic Cleaners and Helpers</t>
        </is>
      </c>
      <c r="D638" s="15" t="inlineStr">
        <is>
          <t>9613</t>
        </is>
      </c>
      <c r="E638" s="16" t="inlineStr">
        <is>
          <t>Sweepers and Related Labourers</t>
        </is>
      </c>
      <c r="F638" s="16" t="inlineStr">
        <is>
          <t>탄소중립 / 산업안전 / ESG</t>
        </is>
      </c>
      <c r="G638" s="15" t="inlineStr">
        <is>
          <t>horizontal_transfer</t>
        </is>
      </c>
      <c r="H638" s="16" t="inlineStr">
        <is>
          <t>sweeping, streets, parks</t>
        </is>
      </c>
      <c r="I638" s="16" t="inlineStr">
        <is>
          <t>심화 Sweepers and Related Labourers 실무, 프로젝트 관리 역량</t>
        </is>
      </c>
      <c r="J638" s="16" t="inlineStr">
        <is>
          <t>실무 1년 이상 및 전문 자격</t>
        </is>
      </c>
      <c r="K638" s="15" t="inlineStr">
        <is>
          <t>★★☆☆☆</t>
        </is>
      </c>
      <c r="L638" s="20" t="inlineStr">
        <is>
          <t>+15.0%</t>
        </is>
      </c>
    </row>
    <row r="639">
      <c r="A639" s="17" t="inlineStr">
        <is>
          <t>TR-0638</t>
        </is>
      </c>
      <c r="B639" s="17" t="inlineStr">
        <is>
          <t>9112</t>
        </is>
      </c>
      <c r="C639" s="18" t="inlineStr">
        <is>
          <t>Cleaners and Helpers in Offices, Hotels and Other Establishments</t>
        </is>
      </c>
      <c r="D639" s="17" t="inlineStr">
        <is>
          <t>5152</t>
        </is>
      </c>
      <c r="E639" s="18" t="inlineStr">
        <is>
          <t>Domestic Housekeepers</t>
        </is>
      </c>
      <c r="F639" s="18" t="inlineStr">
        <is>
          <t>탄소중립 / 산업안전 / ESG</t>
        </is>
      </c>
      <c r="G639" s="17" t="inlineStr">
        <is>
          <t>horizontal_transfer</t>
        </is>
      </c>
      <c r="H639" s="18" t="inlineStr">
        <is>
          <t>supervising, employed, households</t>
        </is>
      </c>
      <c r="I639" s="18" t="inlineStr">
        <is>
          <t>심화 Domestic Housekeepers 실무, 프로젝트 관리 역량</t>
        </is>
      </c>
      <c r="J639" s="18" t="inlineStr">
        <is>
          <t>실무 1년 이상 및 전문 자격</t>
        </is>
      </c>
      <c r="K639" s="17" t="inlineStr">
        <is>
          <t>★★☆☆☆</t>
        </is>
      </c>
      <c r="L639" s="21" t="inlineStr">
        <is>
          <t>+15.0%</t>
        </is>
      </c>
    </row>
    <row r="640">
      <c r="A640" s="15" t="inlineStr">
        <is>
          <t>TR-0639</t>
        </is>
      </c>
      <c r="B640" s="15" t="inlineStr">
        <is>
          <t>9112</t>
        </is>
      </c>
      <c r="C640" s="16" t="inlineStr">
        <is>
          <t>Cleaners and Helpers in Offices, Hotels and Other Establishments</t>
        </is>
      </c>
      <c r="D640" s="15" t="inlineStr">
        <is>
          <t>5153</t>
        </is>
      </c>
      <c r="E640" s="16" t="inlineStr">
        <is>
          <t>Building Caretakers</t>
        </is>
      </c>
      <c r="F640" s="16" t="inlineStr">
        <is>
          <t>탄소중립 / 산업안전 / ESG</t>
        </is>
      </c>
      <c r="G640" s="15" t="inlineStr">
        <is>
          <t>horizontal_transfer</t>
        </is>
      </c>
      <c r="H640" s="16" t="inlineStr">
        <is>
          <t>supervising, work, cleaning</t>
        </is>
      </c>
      <c r="I640" s="16" t="inlineStr">
        <is>
          <t>심화 Building Caretakers 실무, 프로젝트 관리 역량</t>
        </is>
      </c>
      <c r="J640" s="16" t="inlineStr">
        <is>
          <t>실무 1년 이상 및 전문 자격</t>
        </is>
      </c>
      <c r="K640" s="15" t="inlineStr">
        <is>
          <t>★★☆☆☆</t>
        </is>
      </c>
      <c r="L640" s="20" t="inlineStr">
        <is>
          <t>+15.0%</t>
        </is>
      </c>
    </row>
    <row r="641">
      <c r="A641" s="17" t="inlineStr">
        <is>
          <t>TR-0640</t>
        </is>
      </c>
      <c r="B641" s="17" t="inlineStr">
        <is>
          <t>9112</t>
        </is>
      </c>
      <c r="C641" s="18" t="inlineStr">
        <is>
          <t>Cleaners and Helpers in Offices, Hotels and Other Establishments</t>
        </is>
      </c>
      <c r="D641" s="17" t="inlineStr">
        <is>
          <t>9111</t>
        </is>
      </c>
      <c r="E641" s="18" t="inlineStr">
        <is>
          <t>Domestic Cleaners and Helpers</t>
        </is>
      </c>
      <c r="F641" s="18" t="inlineStr">
        <is>
          <t>탄소중립 / 산업안전 / ESG</t>
        </is>
      </c>
      <c r="G641" s="17" t="inlineStr">
        <is>
          <t>horizontal_transfer</t>
        </is>
      </c>
      <c r="H641" s="18" t="inlineStr">
        <is>
          <t>sweeping, vacuum, cleaning</t>
        </is>
      </c>
      <c r="I641" s="18" t="inlineStr">
        <is>
          <t>심화 Domestic Cleaners and Helpers 실무, 프로젝트 관리 역량</t>
        </is>
      </c>
      <c r="J641" s="18" t="inlineStr">
        <is>
          <t>실무 1년 이상 및 전문 자격</t>
        </is>
      </c>
      <c r="K641" s="17" t="inlineStr">
        <is>
          <t>★★☆☆☆</t>
        </is>
      </c>
      <c r="L641" s="21" t="inlineStr">
        <is>
          <t>+15.0%</t>
        </is>
      </c>
    </row>
    <row r="642">
      <c r="A642" s="15" t="inlineStr">
        <is>
          <t>TR-0641</t>
        </is>
      </c>
      <c r="B642" s="15" t="inlineStr">
        <is>
          <t>9112</t>
        </is>
      </c>
      <c r="C642" s="16" t="inlineStr">
        <is>
          <t>Cleaners and Helpers in Offices, Hotels and Other Establishments</t>
        </is>
      </c>
      <c r="D642" s="15" t="inlineStr">
        <is>
          <t>9412</t>
        </is>
      </c>
      <c r="E642" s="16" t="inlineStr">
        <is>
          <t>Kitchen Helpers</t>
        </is>
      </c>
      <c r="F642" s="16" t="inlineStr">
        <is>
          <t>탄소중립 / 산업안전 / ESG</t>
        </is>
      </c>
      <c r="G642" s="15" t="inlineStr">
        <is>
          <t>horizontal_transfer</t>
        </is>
      </c>
      <c r="H642" s="16" t="inlineStr">
        <is>
          <t>cleaning, kitchens, food</t>
        </is>
      </c>
      <c r="I642" s="16" t="inlineStr">
        <is>
          <t>심화 Kitchen Helpers 실무, 프로젝트 관리 역량</t>
        </is>
      </c>
      <c r="J642" s="16" t="inlineStr">
        <is>
          <t>실무 1년 이상 및 전문 자격</t>
        </is>
      </c>
      <c r="K642" s="15" t="inlineStr">
        <is>
          <t>★★☆☆☆</t>
        </is>
      </c>
      <c r="L642" s="20" t="inlineStr">
        <is>
          <t>+15.0%</t>
        </is>
      </c>
    </row>
    <row r="643">
      <c r="A643" s="17" t="inlineStr">
        <is>
          <t>TR-0642</t>
        </is>
      </c>
      <c r="B643" s="17" t="inlineStr">
        <is>
          <t>9112</t>
        </is>
      </c>
      <c r="C643" s="18" t="inlineStr">
        <is>
          <t>Cleaners and Helpers in Offices, Hotels and Other Establishments</t>
        </is>
      </c>
      <c r="D643" s="17" t="inlineStr">
        <is>
          <t>9613</t>
        </is>
      </c>
      <c r="E643" s="18" t="inlineStr">
        <is>
          <t>Sweepers and Related Labourers</t>
        </is>
      </c>
      <c r="F643" s="18" t="inlineStr">
        <is>
          <t>탄소중립 / 산업안전 / ESG</t>
        </is>
      </c>
      <c r="G643" s="17" t="inlineStr">
        <is>
          <t>horizontal_transfer</t>
        </is>
      </c>
      <c r="H643" s="18" t="inlineStr">
        <is>
          <t>sweeping, streets, parks</t>
        </is>
      </c>
      <c r="I643" s="18" t="inlineStr">
        <is>
          <t>심화 Sweepers and Related Labourers 실무, 프로젝트 관리 역량</t>
        </is>
      </c>
      <c r="J643" s="18" t="inlineStr">
        <is>
          <t>실무 1년 이상 및 전문 자격</t>
        </is>
      </c>
      <c r="K643" s="17" t="inlineStr">
        <is>
          <t>★★☆☆☆</t>
        </is>
      </c>
      <c r="L643" s="21" t="inlineStr">
        <is>
          <t>+15.0%</t>
        </is>
      </c>
    </row>
    <row r="644">
      <c r="A644" s="15" t="inlineStr">
        <is>
          <t>TR-0643</t>
        </is>
      </c>
      <c r="B644" s="15" t="inlineStr">
        <is>
          <t>9121</t>
        </is>
      </c>
      <c r="C644" s="16" t="inlineStr">
        <is>
          <t>Hand Launderers and Pressers</t>
        </is>
      </c>
      <c r="D644" s="15" t="inlineStr">
        <is>
          <t>8157</t>
        </is>
      </c>
      <c r="E644" s="16" t="inlineStr">
        <is>
          <t>Laundry Machine Operators</t>
        </is>
      </c>
      <c r="F644" s="16" t="inlineStr">
        <is>
          <t>탄소중립 / 산업안전 / ESG</t>
        </is>
      </c>
      <c r="G644" s="15" t="inlineStr">
        <is>
          <t>horizontal_transfer</t>
        </is>
      </c>
      <c r="H644" s="16" t="inlineStr">
        <is>
          <t>sorting, articles, cleaning</t>
        </is>
      </c>
      <c r="I644" s="16" t="inlineStr">
        <is>
          <t>심화 Laundry Machine Operators 실무, 프로젝트 관리 역량</t>
        </is>
      </c>
      <c r="J644" s="16" t="inlineStr">
        <is>
          <t>실무 1년 이상 및 전문 자격</t>
        </is>
      </c>
      <c r="K644" s="15" t="inlineStr">
        <is>
          <t>★★☆☆☆</t>
        </is>
      </c>
      <c r="L644" s="20" t="inlineStr">
        <is>
          <t>+15.0%</t>
        </is>
      </c>
    </row>
    <row r="645">
      <c r="A645" s="17" t="inlineStr">
        <is>
          <t>TR-0644</t>
        </is>
      </c>
      <c r="B645" s="17" t="inlineStr">
        <is>
          <t>9211</t>
        </is>
      </c>
      <c r="C645" s="18" t="inlineStr">
        <is>
          <t>Crop Farm Labourers</t>
        </is>
      </c>
      <c r="D645" s="17" t="inlineStr">
        <is>
          <t>6111</t>
        </is>
      </c>
      <c r="E645" s="18" t="inlineStr">
        <is>
          <t>Field Crop and Vegetable Growers</t>
        </is>
      </c>
      <c r="F645" s="18" t="inlineStr">
        <is>
          <t>탄소중립 / 산업안전 / ESG</t>
        </is>
      </c>
      <c r="G645" s="17" t="inlineStr">
        <is>
          <t>horizontal_transfer</t>
        </is>
      </c>
      <c r="H645" s="18" t="inlineStr">
        <is>
          <t>monitoring, market, activity</t>
        </is>
      </c>
      <c r="I645" s="18" t="inlineStr">
        <is>
          <t>심화 Field Crop and Vegetable Growers 실무, 프로젝트 관리 역량</t>
        </is>
      </c>
      <c r="J645" s="18" t="inlineStr">
        <is>
          <t>실무 1년 이상 및 전문 자격</t>
        </is>
      </c>
      <c r="K645" s="17" t="inlineStr">
        <is>
          <t>★★☆☆☆</t>
        </is>
      </c>
      <c r="L645" s="21" t="inlineStr">
        <is>
          <t>+15.0%</t>
        </is>
      </c>
    </row>
    <row r="646">
      <c r="A646" s="15" t="inlineStr">
        <is>
          <t>TR-0645</t>
        </is>
      </c>
      <c r="B646" s="15" t="inlineStr">
        <is>
          <t>9211</t>
        </is>
      </c>
      <c r="C646" s="16" t="inlineStr">
        <is>
          <t>Crop Farm Labourers</t>
        </is>
      </c>
      <c r="D646" s="15" t="inlineStr">
        <is>
          <t>9313</t>
        </is>
      </c>
      <c r="E646" s="16" t="inlineStr">
        <is>
          <t>Building Construction Labourers</t>
        </is>
      </c>
      <c r="F646" s="16" t="inlineStr">
        <is>
          <t>탄소중립 / 산업안전 / ESG</t>
        </is>
      </c>
      <c r="G646" s="15" t="inlineStr">
        <is>
          <t>horizontal_transfer</t>
        </is>
      </c>
      <c r="H646" s="16" t="inlineStr">
        <is>
          <t>cleaning, used, building</t>
        </is>
      </c>
      <c r="I646" s="16" t="inlineStr">
        <is>
          <t>심화 Building Construction Labourers 실무, 프로젝트 관리 역량</t>
        </is>
      </c>
      <c r="J646" s="16" t="inlineStr">
        <is>
          <t>실무 1년 이상 및 전문 자격</t>
        </is>
      </c>
      <c r="K646" s="15" t="inlineStr">
        <is>
          <t>★★☆☆☆</t>
        </is>
      </c>
      <c r="L646" s="20" t="inlineStr">
        <is>
          <t>+15.0%</t>
        </is>
      </c>
    </row>
    <row r="647">
      <c r="A647" s="17" t="inlineStr">
        <is>
          <t>TR-0646</t>
        </is>
      </c>
      <c r="B647" s="17" t="inlineStr">
        <is>
          <t>9211</t>
        </is>
      </c>
      <c r="C647" s="18" t="inlineStr">
        <is>
          <t>Crop Farm Labourers</t>
        </is>
      </c>
      <c r="D647" s="17" t="inlineStr">
        <is>
          <t>9624</t>
        </is>
      </c>
      <c r="E647" s="18" t="inlineStr">
        <is>
          <t>Water and Firewood Collectors</t>
        </is>
      </c>
      <c r="F647" s="18" t="inlineStr">
        <is>
          <t>탄소중립 / 산업안전 / ESG</t>
        </is>
      </c>
      <c r="G647" s="17" t="inlineStr">
        <is>
          <t>horizontal_transfer</t>
        </is>
      </c>
      <c r="H647" s="18" t="inlineStr">
        <is>
          <t>cutting, collecting, wood</t>
        </is>
      </c>
      <c r="I647" s="18" t="inlineStr">
        <is>
          <t>심화 Water and Firewood Collectors 실무, 프로젝트 관리 역량</t>
        </is>
      </c>
      <c r="J647" s="18" t="inlineStr">
        <is>
          <t>실무 1년 이상 및 전문 자격</t>
        </is>
      </c>
      <c r="K647" s="17" t="inlineStr">
        <is>
          <t>★★☆☆☆</t>
        </is>
      </c>
      <c r="L647" s="21" t="inlineStr">
        <is>
          <t>+15.0%</t>
        </is>
      </c>
    </row>
    <row r="648">
      <c r="A648" s="15" t="inlineStr">
        <is>
          <t>TR-0647</t>
        </is>
      </c>
      <c r="B648" s="15" t="inlineStr">
        <is>
          <t>9212</t>
        </is>
      </c>
      <c r="C648" s="16" t="inlineStr">
        <is>
          <t>Livestock Farm Labourers</t>
        </is>
      </c>
      <c r="D648" s="15" t="inlineStr">
        <is>
          <t>6121</t>
        </is>
      </c>
      <c r="E648" s="16" t="inlineStr">
        <is>
          <t>Livestock and Dairy Producers</t>
        </is>
      </c>
      <c r="F648" s="16" t="inlineStr">
        <is>
          <t>탄소중립 / 산업안전 / ESG</t>
        </is>
      </c>
      <c r="G648" s="15" t="inlineStr">
        <is>
          <t>horizontal_transfer</t>
        </is>
      </c>
      <c r="H648" s="16" t="inlineStr">
        <is>
          <t>monitoring, market, activity</t>
        </is>
      </c>
      <c r="I648" s="16" t="inlineStr">
        <is>
          <t>심화 Livestock and Dairy Producers 실무, 프로젝트 관리 역량</t>
        </is>
      </c>
      <c r="J648" s="16" t="inlineStr">
        <is>
          <t>실무 1년 이상 및 전문 자격</t>
        </is>
      </c>
      <c r="K648" s="15" t="inlineStr">
        <is>
          <t>★★☆☆☆</t>
        </is>
      </c>
      <c r="L648" s="20" t="inlineStr">
        <is>
          <t>+15.0%</t>
        </is>
      </c>
    </row>
    <row r="649">
      <c r="A649" s="17" t="inlineStr">
        <is>
          <t>TR-0648</t>
        </is>
      </c>
      <c r="B649" s="17" t="inlineStr">
        <is>
          <t>9212</t>
        </is>
      </c>
      <c r="C649" s="18" t="inlineStr">
        <is>
          <t>Livestock Farm Labourers</t>
        </is>
      </c>
      <c r="D649" s="17" t="inlineStr">
        <is>
          <t>9624</t>
        </is>
      </c>
      <c r="E649" s="18" t="inlineStr">
        <is>
          <t>Water and Firewood Collectors</t>
        </is>
      </c>
      <c r="F649" s="18" t="inlineStr">
        <is>
          <t>탄소중립 / 산업안전 / ESG</t>
        </is>
      </c>
      <c r="G649" s="17" t="inlineStr">
        <is>
          <t>horizontal_transfer</t>
        </is>
      </c>
      <c r="H649" s="18" t="inlineStr">
        <is>
          <t>cutting, collecting, wood</t>
        </is>
      </c>
      <c r="I649" s="18" t="inlineStr">
        <is>
          <t>심화 Water and Firewood Collectors 실무, 프로젝트 관리 역량</t>
        </is>
      </c>
      <c r="J649" s="18" t="inlineStr">
        <is>
          <t>실무 1년 이상 및 전문 자격</t>
        </is>
      </c>
      <c r="K649" s="17" t="inlineStr">
        <is>
          <t>★★☆☆☆</t>
        </is>
      </c>
      <c r="L649" s="21" t="inlineStr">
        <is>
          <t>+15.0%</t>
        </is>
      </c>
    </row>
    <row r="650">
      <c r="A650" s="15" t="inlineStr">
        <is>
          <t>TR-0649</t>
        </is>
      </c>
      <c r="B650" s="15" t="inlineStr">
        <is>
          <t>9213</t>
        </is>
      </c>
      <c r="C650" s="16" t="inlineStr">
        <is>
          <t>Mixed Crop and Livestock Farm Labourers</t>
        </is>
      </c>
      <c r="D650" s="15" t="inlineStr">
        <is>
          <t>6130</t>
        </is>
      </c>
      <c r="E650" s="16" t="inlineStr">
        <is>
          <t>Mixed Crop and Animal Producers</t>
        </is>
      </c>
      <c r="F650" s="16" t="inlineStr">
        <is>
          <t>탄소중립 / 산업안전 / ESG</t>
        </is>
      </c>
      <c r="G650" s="15" t="inlineStr">
        <is>
          <t>horizontal_transfer</t>
        </is>
      </c>
      <c r="H650" s="16" t="inlineStr">
        <is>
          <t>monitoring, market, activity</t>
        </is>
      </c>
      <c r="I650" s="16" t="inlineStr">
        <is>
          <t>심화 Mixed Crop and Animal Producers 실무, 프로젝트 관리 역량</t>
        </is>
      </c>
      <c r="J650" s="16" t="inlineStr">
        <is>
          <t>실무 1년 이상 및 전문 자격</t>
        </is>
      </c>
      <c r="K650" s="15" t="inlineStr">
        <is>
          <t>★★☆☆☆</t>
        </is>
      </c>
      <c r="L650" s="20" t="inlineStr">
        <is>
          <t>+15.0%</t>
        </is>
      </c>
    </row>
    <row r="651">
      <c r="A651" s="17" t="inlineStr">
        <is>
          <t>TR-0650</t>
        </is>
      </c>
      <c r="B651" s="17" t="inlineStr">
        <is>
          <t>9213</t>
        </is>
      </c>
      <c r="C651" s="18" t="inlineStr">
        <is>
          <t>Mixed Crop and Livestock Farm Labourers</t>
        </is>
      </c>
      <c r="D651" s="17" t="inlineStr">
        <is>
          <t>9624</t>
        </is>
      </c>
      <c r="E651" s="18" t="inlineStr">
        <is>
          <t>Water and Firewood Collectors</t>
        </is>
      </c>
      <c r="F651" s="18" t="inlineStr">
        <is>
          <t>탄소중립 / 산업안전 / ESG</t>
        </is>
      </c>
      <c r="G651" s="17" t="inlineStr">
        <is>
          <t>horizontal_transfer</t>
        </is>
      </c>
      <c r="H651" s="18" t="inlineStr">
        <is>
          <t>cutting, collecting, wood</t>
        </is>
      </c>
      <c r="I651" s="18" t="inlineStr">
        <is>
          <t>심화 Water and Firewood Collectors 실무, 프로젝트 관리 역량</t>
        </is>
      </c>
      <c r="J651" s="18" t="inlineStr">
        <is>
          <t>실무 1년 이상 및 전문 자격</t>
        </is>
      </c>
      <c r="K651" s="17" t="inlineStr">
        <is>
          <t>★★☆☆☆</t>
        </is>
      </c>
      <c r="L651" s="21" t="inlineStr">
        <is>
          <t>+15.0%</t>
        </is>
      </c>
    </row>
    <row r="652">
      <c r="A652" s="15" t="inlineStr">
        <is>
          <t>TR-0651</t>
        </is>
      </c>
      <c r="B652" s="15" t="inlineStr">
        <is>
          <t>9214</t>
        </is>
      </c>
      <c r="C652" s="16" t="inlineStr">
        <is>
          <t>Garden and Horticultural Labourers</t>
        </is>
      </c>
      <c r="D652" s="15" t="inlineStr">
        <is>
          <t>6113</t>
        </is>
      </c>
      <c r="E652" s="16" t="inlineStr">
        <is>
          <t>Gardeners, Horticultural and Nursery Growers</t>
        </is>
      </c>
      <c r="F652" s="16" t="inlineStr">
        <is>
          <t>탄소중립 / 산업안전 / ESG</t>
        </is>
      </c>
      <c r="G652" s="15" t="inlineStr">
        <is>
          <t>horizontal_transfer</t>
        </is>
      </c>
      <c r="H652" s="16" t="inlineStr">
        <is>
          <t>monitoring, market, activity</t>
        </is>
      </c>
      <c r="I652" s="16" t="inlineStr">
        <is>
          <t>심화 Gardeners, Horticultural and Nursery Growers 실무, 프로젝트 관리 역량</t>
        </is>
      </c>
      <c r="J652" s="16" t="inlineStr">
        <is>
          <t>실무 1년 이상 및 전문 자격</t>
        </is>
      </c>
      <c r="K652" s="15" t="inlineStr">
        <is>
          <t>★★☆☆☆</t>
        </is>
      </c>
      <c r="L652" s="20" t="inlineStr">
        <is>
          <t>+15.0%</t>
        </is>
      </c>
    </row>
    <row r="653">
      <c r="A653" s="17" t="inlineStr">
        <is>
          <t>TR-0652</t>
        </is>
      </c>
      <c r="B653" s="17" t="inlineStr">
        <is>
          <t>9214</t>
        </is>
      </c>
      <c r="C653" s="18" t="inlineStr">
        <is>
          <t>Garden and Horticultural Labourers</t>
        </is>
      </c>
      <c r="D653" s="17" t="inlineStr">
        <is>
          <t>9211</t>
        </is>
      </c>
      <c r="E653" s="18" t="inlineStr">
        <is>
          <t>Crop Farm Labourers</t>
        </is>
      </c>
      <c r="F653" s="18" t="inlineStr">
        <is>
          <t>탄소중립 / 산업안전 / ESG</t>
        </is>
      </c>
      <c r="G653" s="17" t="inlineStr">
        <is>
          <t>horizontal_transfer</t>
        </is>
      </c>
      <c r="H653" s="18" t="inlineStr">
        <is>
          <t>digging, shovelling, clear</t>
        </is>
      </c>
      <c r="I653" s="18" t="inlineStr">
        <is>
          <t>심화 Crop Farm Labourers 실무, 프로젝트 관리 역량</t>
        </is>
      </c>
      <c r="J653" s="18" t="inlineStr">
        <is>
          <t>실무 1년 이상 및 전문 자격</t>
        </is>
      </c>
      <c r="K653" s="17" t="inlineStr">
        <is>
          <t>★★☆☆☆</t>
        </is>
      </c>
      <c r="L653" s="21" t="inlineStr">
        <is>
          <t>+15.0%</t>
        </is>
      </c>
    </row>
    <row r="654">
      <c r="A654" s="15" t="inlineStr">
        <is>
          <t>TR-0653</t>
        </is>
      </c>
      <c r="B654" s="15" t="inlineStr">
        <is>
          <t>9215</t>
        </is>
      </c>
      <c r="C654" s="16" t="inlineStr">
        <is>
          <t>Forestry Labourers</t>
        </is>
      </c>
      <c r="D654" s="15" t="inlineStr">
        <is>
          <t>6210</t>
        </is>
      </c>
      <c r="E654" s="16" t="inlineStr">
        <is>
          <t>Forestry and Related Workers</t>
        </is>
      </c>
      <c r="F654" s="16" t="inlineStr">
        <is>
          <t>탄소중립 / 산업안전 / ESG</t>
        </is>
      </c>
      <c r="G654" s="15" t="inlineStr">
        <is>
          <t>horizontal_transfer</t>
        </is>
      </c>
      <c r="H654" s="16" t="inlineStr">
        <is>
          <t>assessing, sites, reforestation</t>
        </is>
      </c>
      <c r="I654" s="16" t="inlineStr">
        <is>
          <t>심화 Forestry and Related Workers 실무, 프로젝트 관리 역량</t>
        </is>
      </c>
      <c r="J654" s="16" t="inlineStr">
        <is>
          <t>실무 1년 이상 및 전문 자격</t>
        </is>
      </c>
      <c r="K654" s="15" t="inlineStr">
        <is>
          <t>★★☆☆☆</t>
        </is>
      </c>
      <c r="L654" s="20" t="inlineStr">
        <is>
          <t>+15.0%</t>
        </is>
      </c>
    </row>
    <row r="655">
      <c r="A655" s="17" t="inlineStr">
        <is>
          <t>TR-0654</t>
        </is>
      </c>
      <c r="B655" s="17" t="inlineStr">
        <is>
          <t>9216</t>
        </is>
      </c>
      <c r="C655" s="18" t="inlineStr">
        <is>
          <t>Fishery and Aquaculture Labourers</t>
        </is>
      </c>
      <c r="D655" s="17" t="inlineStr">
        <is>
          <t>6221</t>
        </is>
      </c>
      <c r="E655" s="18" t="inlineStr">
        <is>
          <t>Aquaculture Workers</t>
        </is>
      </c>
      <c r="F655" s="18" t="inlineStr">
        <is>
          <t>탄소중립 / 산업안전 / ESG</t>
        </is>
      </c>
      <c r="G655" s="17" t="inlineStr">
        <is>
          <t>horizontal_transfer</t>
        </is>
      </c>
      <c r="H655" s="18" t="inlineStr">
        <is>
          <t>breeding, raising, cultivating</t>
        </is>
      </c>
      <c r="I655" s="18" t="inlineStr">
        <is>
          <t>심화 Aquaculture Workers 실무, 프로젝트 관리 역량</t>
        </is>
      </c>
      <c r="J655" s="18" t="inlineStr">
        <is>
          <t>실무 1년 이상 및 전문 자격</t>
        </is>
      </c>
      <c r="K655" s="17" t="inlineStr">
        <is>
          <t>★★☆☆☆</t>
        </is>
      </c>
      <c r="L655" s="21" t="inlineStr">
        <is>
          <t>+15.0%</t>
        </is>
      </c>
    </row>
    <row r="656">
      <c r="A656" s="15" t="inlineStr">
        <is>
          <t>TR-0655</t>
        </is>
      </c>
      <c r="B656" s="15" t="inlineStr">
        <is>
          <t>9216</t>
        </is>
      </c>
      <c r="C656" s="16" t="inlineStr">
        <is>
          <t>Fishery and Aquaculture Labourers</t>
        </is>
      </c>
      <c r="D656" s="15" t="inlineStr">
        <is>
          <t>6222</t>
        </is>
      </c>
      <c r="E656" s="16" t="inlineStr">
        <is>
          <t>Inland and Coastal Waters Fishery Workers</t>
        </is>
      </c>
      <c r="F656" s="16" t="inlineStr">
        <is>
          <t>탄소중립 / 산업안전 / ESG</t>
        </is>
      </c>
      <c r="G656" s="15" t="inlineStr">
        <is>
          <t>horizontal_transfer</t>
        </is>
      </c>
      <c r="H656" s="16" t="inlineStr">
        <is>
          <t>preparing, repairing, nets</t>
        </is>
      </c>
      <c r="I656" s="16" t="inlineStr">
        <is>
          <t>심화 Inland and Coastal Waters Fishery Workers 실무, 프로젝트 관리 역량</t>
        </is>
      </c>
      <c r="J656" s="16" t="inlineStr">
        <is>
          <t>실무 1년 이상 및 전문 자격</t>
        </is>
      </c>
      <c r="K656" s="15" t="inlineStr">
        <is>
          <t>★★☆☆☆</t>
        </is>
      </c>
      <c r="L656" s="20" t="inlineStr">
        <is>
          <t>+15.0%</t>
        </is>
      </c>
    </row>
    <row r="657">
      <c r="A657" s="17" t="inlineStr">
        <is>
          <t>TR-0656</t>
        </is>
      </c>
      <c r="B657" s="17" t="inlineStr">
        <is>
          <t>9216</t>
        </is>
      </c>
      <c r="C657" s="18" t="inlineStr">
        <is>
          <t>Fishery and Aquaculture Labourers</t>
        </is>
      </c>
      <c r="D657" s="17" t="inlineStr">
        <is>
          <t>6223</t>
        </is>
      </c>
      <c r="E657" s="18" t="inlineStr">
        <is>
          <t>Deep-sea Fishery Workers</t>
        </is>
      </c>
      <c r="F657" s="18" t="inlineStr">
        <is>
          <t>탄소중립 / 산업안전 / ESG</t>
        </is>
      </c>
      <c r="G657" s="17" t="inlineStr">
        <is>
          <t>horizontal_transfer</t>
        </is>
      </c>
      <c r="H657" s="18" t="inlineStr">
        <is>
          <t>preparing, repairing, nets</t>
        </is>
      </c>
      <c r="I657" s="18" t="inlineStr">
        <is>
          <t>심화 Deep-sea Fishery Workers 실무, 프로젝트 관리 역량</t>
        </is>
      </c>
      <c r="J657" s="18" t="inlineStr">
        <is>
          <t>실무 1년 이상 및 전문 자격</t>
        </is>
      </c>
      <c r="K657" s="17" t="inlineStr">
        <is>
          <t>★★☆☆☆</t>
        </is>
      </c>
      <c r="L657" s="21" t="inlineStr">
        <is>
          <t>+15.0%</t>
        </is>
      </c>
    </row>
    <row r="658">
      <c r="A658" s="15" t="inlineStr">
        <is>
          <t>TR-0657</t>
        </is>
      </c>
      <c r="B658" s="15" t="inlineStr">
        <is>
          <t>9311</t>
        </is>
      </c>
      <c r="C658" s="16" t="inlineStr">
        <is>
          <t>Mining and Quarrying Labourers</t>
        </is>
      </c>
      <c r="D658" s="15" t="inlineStr">
        <is>
          <t>8111</t>
        </is>
      </c>
      <c r="E658" s="16" t="inlineStr">
        <is>
          <t>Miners and Quarriers</t>
        </is>
      </c>
      <c r="F658" s="16" t="inlineStr">
        <is>
          <t>모빌리티 / 자율주행 / 로보틱스</t>
        </is>
      </c>
      <c r="G658" s="15" t="inlineStr">
        <is>
          <t>horizontal_transfer</t>
        </is>
      </c>
      <c r="H658" s="16" t="inlineStr">
        <is>
          <t>positioning, operating, monitoring</t>
        </is>
      </c>
      <c r="I658" s="16" t="inlineStr">
        <is>
          <t>심화 Miners and Quarriers 실무, 프로젝트 관리 역량</t>
        </is>
      </c>
      <c r="J658" s="16" t="inlineStr">
        <is>
          <t>실무 1년 이상 및 전문 자격</t>
        </is>
      </c>
      <c r="K658" s="15" t="inlineStr">
        <is>
          <t>★★☆☆☆</t>
        </is>
      </c>
      <c r="L658" s="20" t="inlineStr">
        <is>
          <t>+15.0%</t>
        </is>
      </c>
    </row>
    <row r="659">
      <c r="A659" s="17" t="inlineStr">
        <is>
          <t>TR-0658</t>
        </is>
      </c>
      <c r="B659" s="17" t="inlineStr">
        <is>
          <t>9311</t>
        </is>
      </c>
      <c r="C659" s="18" t="inlineStr">
        <is>
          <t>Mining and Quarrying Labourers</t>
        </is>
      </c>
      <c r="D659" s="17" t="inlineStr">
        <is>
          <t>8113</t>
        </is>
      </c>
      <c r="E659" s="18" t="inlineStr">
        <is>
          <t>Well Drillers and Borers and Related Workers</t>
        </is>
      </c>
      <c r="F659" s="18" t="inlineStr">
        <is>
          <t>모빌리티 / 자율주행 / 로보틱스</t>
        </is>
      </c>
      <c r="G659" s="17" t="inlineStr">
        <is>
          <t>horizontal_transfer</t>
        </is>
      </c>
      <c r="H659" s="18" t="inlineStr">
        <is>
          <t>dismantling, moving, assembling</t>
        </is>
      </c>
      <c r="I659" s="18" t="inlineStr">
        <is>
          <t>심화 Well Drillers and Borers and Related Workers 실무, 프로젝트 관리 역량</t>
        </is>
      </c>
      <c r="J659" s="18" t="inlineStr">
        <is>
          <t>실무 1년 이상 및 전문 자격</t>
        </is>
      </c>
      <c r="K659" s="17" t="inlineStr">
        <is>
          <t>★★☆☆☆</t>
        </is>
      </c>
      <c r="L659" s="21" t="inlineStr">
        <is>
          <t>+15.0%</t>
        </is>
      </c>
    </row>
    <row r="660">
      <c r="A660" s="15" t="inlineStr">
        <is>
          <t>TR-0659</t>
        </is>
      </c>
      <c r="B660" s="15" t="inlineStr">
        <is>
          <t>9313</t>
        </is>
      </c>
      <c r="C660" s="16" t="inlineStr">
        <is>
          <t>Building Construction Labourers</t>
        </is>
      </c>
      <c r="D660" s="15" t="inlineStr">
        <is>
          <t>7111</t>
        </is>
      </c>
      <c r="E660" s="16" t="inlineStr">
        <is>
          <t>House Builders</t>
        </is>
      </c>
      <c r="F660" s="16" t="inlineStr">
        <is>
          <t>모빌리티 / 자율주행 / 로보틱스</t>
        </is>
      </c>
      <c r="G660" s="15" t="inlineStr">
        <is>
          <t>horizontal_transfer</t>
        </is>
      </c>
      <c r="H660" s="16" t="inlineStr">
        <is>
          <t>preparing, ground, erecting</t>
        </is>
      </c>
      <c r="I660" s="16" t="inlineStr">
        <is>
          <t>심화 House Builders 실무, 프로젝트 관리 역량</t>
        </is>
      </c>
      <c r="J660" s="16" t="inlineStr">
        <is>
          <t>실무 1년 이상 및 전문 자격</t>
        </is>
      </c>
      <c r="K660" s="15" t="inlineStr">
        <is>
          <t>★★☆☆☆</t>
        </is>
      </c>
      <c r="L660" s="20" t="inlineStr">
        <is>
          <t>+15.0%</t>
        </is>
      </c>
    </row>
    <row r="661">
      <c r="A661" s="17" t="inlineStr">
        <is>
          <t>TR-0660</t>
        </is>
      </c>
      <c r="B661" s="17" t="inlineStr">
        <is>
          <t>9313</t>
        </is>
      </c>
      <c r="C661" s="18" t="inlineStr">
        <is>
          <t>Building Construction Labourers</t>
        </is>
      </c>
      <c r="D661" s="17" t="inlineStr">
        <is>
          <t>7112</t>
        </is>
      </c>
      <c r="E661" s="18" t="inlineStr">
        <is>
          <t>Bricklayers and Related Workers</t>
        </is>
      </c>
      <c r="F661" s="18" t="inlineStr">
        <is>
          <t>모빌리티 / 자율주행 / 로보틱스</t>
        </is>
      </c>
      <c r="G661" s="17" t="inlineStr">
        <is>
          <t>horizontal_transfer</t>
        </is>
      </c>
      <c r="H661" s="18" t="inlineStr">
        <is>
          <t>laying, stone, brick</t>
        </is>
      </c>
      <c r="I661" s="18" t="inlineStr">
        <is>
          <t>심화 Bricklayers and Related Workers 실무, 프로젝트 관리 역량</t>
        </is>
      </c>
      <c r="J661" s="18" t="inlineStr">
        <is>
          <t>실무 1년 이상 및 전문 자격</t>
        </is>
      </c>
      <c r="K661" s="17" t="inlineStr">
        <is>
          <t>★★☆☆☆</t>
        </is>
      </c>
      <c r="L661" s="21" t="inlineStr">
        <is>
          <t>+15.0%</t>
        </is>
      </c>
    </row>
    <row r="662">
      <c r="A662" s="15" t="inlineStr">
        <is>
          <t>TR-0661</t>
        </is>
      </c>
      <c r="B662" s="15" t="inlineStr">
        <is>
          <t>9313</t>
        </is>
      </c>
      <c r="C662" s="16" t="inlineStr">
        <is>
          <t>Building Construction Labourers</t>
        </is>
      </c>
      <c r="D662" s="15" t="inlineStr">
        <is>
          <t>7119</t>
        </is>
      </c>
      <c r="E662" s="16" t="inlineStr">
        <is>
          <t>Building Frame and Related Trades Workers Not Elsewhere Classified</t>
        </is>
      </c>
      <c r="F662" s="16" t="inlineStr">
        <is>
          <t>모빌리티 / 자율주행 / 로보틱스</t>
        </is>
      </c>
      <c r="G662" s="15" t="inlineStr">
        <is>
          <t>horizontal_transfer</t>
        </is>
      </c>
      <c r="H662" s="16" t="inlineStr">
        <is>
          <t>such, cases, would</t>
        </is>
      </c>
      <c r="I662" s="16" t="inlineStr">
        <is>
          <t>심화 Building Frame and Related Trades Workers Not Elsewhere Classified 실무, 프로젝트 관리 역량</t>
        </is>
      </c>
      <c r="J662" s="16" t="inlineStr">
        <is>
          <t>실무 1년 이상 및 전문 자격</t>
        </is>
      </c>
      <c r="K662" s="15" t="inlineStr">
        <is>
          <t>★★☆☆☆</t>
        </is>
      </c>
      <c r="L662" s="20" t="inlineStr">
        <is>
          <t>+15.0%</t>
        </is>
      </c>
    </row>
    <row r="663">
      <c r="A663" s="17" t="inlineStr">
        <is>
          <t>TR-0662</t>
        </is>
      </c>
      <c r="B663" s="17" t="inlineStr">
        <is>
          <t>9321</t>
        </is>
      </c>
      <c r="C663" s="18" t="inlineStr">
        <is>
          <t>Hand Packers</t>
        </is>
      </c>
      <c r="D663" s="17" t="inlineStr">
        <is>
          <t>8183</t>
        </is>
      </c>
      <c r="E663" s="18" t="inlineStr">
        <is>
          <t>Packing, Bottling and Labelling Machine Operators</t>
        </is>
      </c>
      <c r="F663" s="18" t="inlineStr">
        <is>
          <t>모빌리티 / 자율주행 / 로보틱스</t>
        </is>
      </c>
      <c r="G663" s="17" t="inlineStr">
        <is>
          <t>horizontal_transfer</t>
        </is>
      </c>
      <c r="H663" s="18" t="inlineStr">
        <is>
          <t>operating, monitoring, machines</t>
        </is>
      </c>
      <c r="I663" s="18" t="inlineStr">
        <is>
          <t>심화 Packing, Bottling and Labelling Machine Operators 실무, 프로젝트 관리 역량</t>
        </is>
      </c>
      <c r="J663" s="18" t="inlineStr">
        <is>
          <t>실무 1년 이상 및 전문 자격</t>
        </is>
      </c>
      <c r="K663" s="17" t="inlineStr">
        <is>
          <t>★★☆☆☆</t>
        </is>
      </c>
      <c r="L663" s="21" t="inlineStr">
        <is>
          <t>+15.0%</t>
        </is>
      </c>
    </row>
    <row r="664">
      <c r="A664" s="15" t="inlineStr">
        <is>
          <t>TR-0663</t>
        </is>
      </c>
      <c r="B664" s="15" t="inlineStr">
        <is>
          <t>9329</t>
        </is>
      </c>
      <c r="C664" s="16" t="inlineStr">
        <is>
          <t>Manufacturing Labourers Not Elsewhere Classified</t>
        </is>
      </c>
      <c r="D664" s="15" t="inlineStr">
        <is>
          <t>8212</t>
        </is>
      </c>
      <c r="E664" s="16" t="inlineStr">
        <is>
          <t>Electrical and Electronic Equipment Assemblers</t>
        </is>
      </c>
      <c r="F664" s="16" t="inlineStr">
        <is>
          <t>모빌리티 / 자율주행 / 로보틱스</t>
        </is>
      </c>
      <c r="G664" s="15" t="inlineStr">
        <is>
          <t>horizontal_transfer</t>
        </is>
      </c>
      <c r="H664" s="16" t="inlineStr">
        <is>
          <t>assembling, component, parts</t>
        </is>
      </c>
      <c r="I664" s="16" t="inlineStr">
        <is>
          <t>심화 Electrical and Electronic Equipment Assemblers 실무, 프로젝트 관리 역량</t>
        </is>
      </c>
      <c r="J664" s="16" t="inlineStr">
        <is>
          <t>실무 1년 이상 및 전문 자격</t>
        </is>
      </c>
      <c r="K664" s="15" t="inlineStr">
        <is>
          <t>★★☆☆☆</t>
        </is>
      </c>
      <c r="L664" s="20" t="inlineStr">
        <is>
          <t>+15.0%</t>
        </is>
      </c>
    </row>
    <row r="665">
      <c r="A665" s="17" t="inlineStr">
        <is>
          <t>TR-0664</t>
        </is>
      </c>
      <c r="B665" s="17" t="inlineStr">
        <is>
          <t>9329</t>
        </is>
      </c>
      <c r="C665" s="18" t="inlineStr">
        <is>
          <t>Manufacturing Labourers Not Elsewhere Classified</t>
        </is>
      </c>
      <c r="D665" s="17" t="inlineStr">
        <is>
          <t>8219</t>
        </is>
      </c>
      <c r="E665" s="18" t="inlineStr">
        <is>
          <t>Assemblers Not Elsewhere Classified</t>
        </is>
      </c>
      <c r="F665" s="18" t="inlineStr">
        <is>
          <t>모빌리티 / 자율주행 / 로보틱스</t>
        </is>
      </c>
      <c r="G665" s="17" t="inlineStr">
        <is>
          <t>horizontal_transfer</t>
        </is>
      </c>
      <c r="H665" s="18" t="inlineStr">
        <is>
          <t>assembling, component, parts</t>
        </is>
      </c>
      <c r="I665" s="18" t="inlineStr">
        <is>
          <t>심화 Assemblers Not Elsewhere Classified 실무, 프로젝트 관리 역량</t>
        </is>
      </c>
      <c r="J665" s="18" t="inlineStr">
        <is>
          <t>실무 1년 이상 및 전문 자격</t>
        </is>
      </c>
      <c r="K665" s="17" t="inlineStr">
        <is>
          <t>★★☆☆☆</t>
        </is>
      </c>
      <c r="L665" s="21" t="inlineStr">
        <is>
          <t>+15.0%</t>
        </is>
      </c>
    </row>
    <row r="666">
      <c r="A666" s="15" t="inlineStr">
        <is>
          <t>TR-0665</t>
        </is>
      </c>
      <c r="B666" s="15" t="inlineStr">
        <is>
          <t>9329</t>
        </is>
      </c>
      <c r="C666" s="16" t="inlineStr">
        <is>
          <t>Manufacturing Labourers Not Elsewhere Classified</t>
        </is>
      </c>
      <c r="D666" s="15" t="inlineStr">
        <is>
          <t>9321</t>
        </is>
      </c>
      <c r="E666" s="16" t="inlineStr">
        <is>
          <t>Hand Packers</t>
        </is>
      </c>
      <c r="F666" s="16" t="inlineStr">
        <is>
          <t>모빌리티 / 자율주행 / 로보틱스</t>
        </is>
      </c>
      <c r="G666" s="15" t="inlineStr">
        <is>
          <t>horizontal_transfer</t>
        </is>
      </c>
      <c r="H666" s="16" t="inlineStr">
        <is>
          <t>weighing, wrapping, sealing</t>
        </is>
      </c>
      <c r="I666" s="16" t="inlineStr">
        <is>
          <t>심화 Hand Packers 실무, 프로젝트 관리 역량</t>
        </is>
      </c>
      <c r="J666" s="16" t="inlineStr">
        <is>
          <t>실무 1년 이상 및 전문 자격</t>
        </is>
      </c>
      <c r="K666" s="15" t="inlineStr">
        <is>
          <t>★★☆☆☆</t>
        </is>
      </c>
      <c r="L666" s="20" t="inlineStr">
        <is>
          <t>+15.0%</t>
        </is>
      </c>
    </row>
    <row r="667">
      <c r="A667" s="17" t="inlineStr">
        <is>
          <t>TR-0666</t>
        </is>
      </c>
      <c r="B667" s="17" t="inlineStr">
        <is>
          <t>9331</t>
        </is>
      </c>
      <c r="C667" s="18" t="inlineStr">
        <is>
          <t>Hand and Pedal Vehicle Drivers</t>
        </is>
      </c>
      <c r="D667" s="17" t="inlineStr">
        <is>
          <t>3421</t>
        </is>
      </c>
      <c r="E667" s="18" t="inlineStr">
        <is>
          <t>Athletes and Sports Players</t>
        </is>
      </c>
      <c r="F667" s="18" t="inlineStr">
        <is>
          <t>모빌리티 / 자율주행 / 로보틱스</t>
        </is>
      </c>
      <c r="G667" s="17" t="inlineStr">
        <is>
          <t>vertical_promotion</t>
        </is>
      </c>
      <c r="H667" s="18" t="inlineStr">
        <is>
          <t>participating, competitive, sporting</t>
        </is>
      </c>
      <c r="I667" s="18" t="inlineStr">
        <is>
          <t>심화 Athletes and Sports Players 실무, 프로젝트 관리 역량</t>
        </is>
      </c>
      <c r="J667" s="18" t="inlineStr">
        <is>
          <t>실무 2년 이상 및 전문 자격</t>
        </is>
      </c>
      <c r="K667" s="17" t="inlineStr">
        <is>
          <t>★★★☆☆</t>
        </is>
      </c>
      <c r="L667" s="21" t="inlineStr">
        <is>
          <t>+25.0%</t>
        </is>
      </c>
    </row>
    <row r="668">
      <c r="A668" s="15" t="inlineStr">
        <is>
          <t>TR-0667</t>
        </is>
      </c>
      <c r="B668" s="15" t="inlineStr">
        <is>
          <t>9331</t>
        </is>
      </c>
      <c r="C668" s="16" t="inlineStr">
        <is>
          <t>Hand and Pedal Vehicle Drivers</t>
        </is>
      </c>
      <c r="D668" s="15" t="inlineStr">
        <is>
          <t>8321</t>
        </is>
      </c>
      <c r="E668" s="16" t="inlineStr">
        <is>
          <t>Motorcycle Drivers</t>
        </is>
      </c>
      <c r="F668" s="16" t="inlineStr">
        <is>
          <t>모빌리티 / 자율주행 / 로보틱스</t>
        </is>
      </c>
      <c r="G668" s="15" t="inlineStr">
        <is>
          <t>horizontal_transfer</t>
        </is>
      </c>
      <c r="H668" s="16" t="inlineStr">
        <is>
          <t>driving, tending, motorcycles</t>
        </is>
      </c>
      <c r="I668" s="16" t="inlineStr">
        <is>
          <t>심화 Motorcycle Drivers 실무, 프로젝트 관리 역량</t>
        </is>
      </c>
      <c r="J668" s="16" t="inlineStr">
        <is>
          <t>실무 1년 이상 및 전문 자격</t>
        </is>
      </c>
      <c r="K668" s="15" t="inlineStr">
        <is>
          <t>★★☆☆☆</t>
        </is>
      </c>
      <c r="L668" s="20" t="inlineStr">
        <is>
          <t>+15.0%</t>
        </is>
      </c>
    </row>
    <row r="669">
      <c r="A669" s="17" t="inlineStr">
        <is>
          <t>TR-0668</t>
        </is>
      </c>
      <c r="B669" s="17" t="inlineStr">
        <is>
          <t>9332</t>
        </is>
      </c>
      <c r="C669" s="18" t="inlineStr">
        <is>
          <t>Drivers of Animal-drawn Vehicles and Machinery</t>
        </is>
      </c>
      <c r="D669" s="17" t="inlineStr">
        <is>
          <t>3421</t>
        </is>
      </c>
      <c r="E669" s="18" t="inlineStr">
        <is>
          <t>Athletes and Sports Players</t>
        </is>
      </c>
      <c r="F669" s="18" t="inlineStr">
        <is>
          <t>모빌리티 / 자율주행 / 로보틱스</t>
        </is>
      </c>
      <c r="G669" s="17" t="inlineStr">
        <is>
          <t>vertical_promotion</t>
        </is>
      </c>
      <c r="H669" s="18" t="inlineStr">
        <is>
          <t>participating, competitive, sporting</t>
        </is>
      </c>
      <c r="I669" s="18" t="inlineStr">
        <is>
          <t>심화 Athletes and Sports Players 실무, 프로젝트 관리 역량</t>
        </is>
      </c>
      <c r="J669" s="18" t="inlineStr">
        <is>
          <t>실무 2년 이상 및 전문 자격</t>
        </is>
      </c>
      <c r="K669" s="17" t="inlineStr">
        <is>
          <t>★★★☆☆</t>
        </is>
      </c>
      <c r="L669" s="21" t="inlineStr">
        <is>
          <t>+25.0%</t>
        </is>
      </c>
    </row>
    <row r="670">
      <c r="A670" s="15" t="inlineStr">
        <is>
          <t>TR-0669</t>
        </is>
      </c>
      <c r="B670" s="15" t="inlineStr">
        <is>
          <t>9333</t>
        </is>
      </c>
      <c r="C670" s="16" t="inlineStr">
        <is>
          <t>Freight Handlers</t>
        </is>
      </c>
      <c r="D670" s="15" t="inlineStr">
        <is>
          <t>8343</t>
        </is>
      </c>
      <c r="E670" s="16" t="inlineStr">
        <is>
          <t>Crane, hoist and related plant operators</t>
        </is>
      </c>
      <c r="F670" s="16" t="inlineStr">
        <is>
          <t>모빌리티 / 자율주행 / 로보틱스</t>
        </is>
      </c>
      <c r="G670" s="15" t="inlineStr">
        <is>
          <t>horizontal_transfer</t>
        </is>
      </c>
      <c r="H670" s="16" t="inlineStr">
        <is>
          <t>operating, monitoring, stationary</t>
        </is>
      </c>
      <c r="I670" s="16" t="inlineStr">
        <is>
          <t>심화 Crane, hoist and related plant operators 실무, 프로젝트 관리 역량</t>
        </is>
      </c>
      <c r="J670" s="16" t="inlineStr">
        <is>
          <t>실무 1년 이상 및 전문 자격</t>
        </is>
      </c>
      <c r="K670" s="15" t="inlineStr">
        <is>
          <t>★★☆☆☆</t>
        </is>
      </c>
      <c r="L670" s="20" t="inlineStr">
        <is>
          <t>+15.0%</t>
        </is>
      </c>
    </row>
    <row r="671">
      <c r="A671" s="17" t="inlineStr">
        <is>
          <t>TR-0670</t>
        </is>
      </c>
      <c r="B671" s="17" t="inlineStr">
        <is>
          <t>9333</t>
        </is>
      </c>
      <c r="C671" s="18" t="inlineStr">
        <is>
          <t>Freight Handlers</t>
        </is>
      </c>
      <c r="D671" s="17" t="inlineStr">
        <is>
          <t>8344</t>
        </is>
      </c>
      <c r="E671" s="18" t="inlineStr">
        <is>
          <t>Lifting Truck Operators</t>
        </is>
      </c>
      <c r="F671" s="18" t="inlineStr">
        <is>
          <t>모빌리티 / 자율주행 / 로보틱스</t>
        </is>
      </c>
      <c r="G671" s="17" t="inlineStr">
        <is>
          <t>horizontal_transfer</t>
        </is>
      </c>
      <c r="H671" s="18" t="inlineStr">
        <is>
          <t>operating, monitoring, lifting</t>
        </is>
      </c>
      <c r="I671" s="18" t="inlineStr">
        <is>
          <t>심화 Lifting Truck Operators 실무, 프로젝트 관리 역량</t>
        </is>
      </c>
      <c r="J671" s="18" t="inlineStr">
        <is>
          <t>실무 1년 이상 및 전문 자격</t>
        </is>
      </c>
      <c r="K671" s="17" t="inlineStr">
        <is>
          <t>★★☆☆☆</t>
        </is>
      </c>
      <c r="L671" s="21" t="inlineStr">
        <is>
          <t>+15.0%</t>
        </is>
      </c>
    </row>
    <row r="672">
      <c r="A672" s="15" t="inlineStr">
        <is>
          <t>TR-0671</t>
        </is>
      </c>
      <c r="B672" s="15" t="inlineStr">
        <is>
          <t>9333</t>
        </is>
      </c>
      <c r="C672" s="16" t="inlineStr">
        <is>
          <t>Freight Handlers</t>
        </is>
      </c>
      <c r="D672" s="15" t="inlineStr">
        <is>
          <t>9621</t>
        </is>
      </c>
      <c r="E672" s="16" t="inlineStr">
        <is>
          <t>Messengers, Package Deliverers and Luggage Porters</t>
        </is>
      </c>
      <c r="F672" s="16" t="inlineStr">
        <is>
          <t>모빌리티 / 자율주행 / 로보틱스</t>
        </is>
      </c>
      <c r="G672" s="15" t="inlineStr">
        <is>
          <t>horizontal_transfer</t>
        </is>
      </c>
      <c r="H672" s="16" t="inlineStr">
        <is>
          <t>delivering, messages, packages</t>
        </is>
      </c>
      <c r="I672" s="16" t="inlineStr">
        <is>
          <t>심화 Messengers, Package Deliverers and Luggage Porters 실무, 프로젝트 관리 역량</t>
        </is>
      </c>
      <c r="J672" s="16" t="inlineStr">
        <is>
          <t>실무 1년 이상 및 전문 자격</t>
        </is>
      </c>
      <c r="K672" s="15" t="inlineStr">
        <is>
          <t>★★☆☆☆</t>
        </is>
      </c>
      <c r="L672" s="20" t="inlineStr">
        <is>
          <t>+15.0%</t>
        </is>
      </c>
    </row>
    <row r="673">
      <c r="A673" s="17" t="inlineStr">
        <is>
          <t>TR-0672</t>
        </is>
      </c>
      <c r="B673" s="17" t="inlineStr">
        <is>
          <t>9411</t>
        </is>
      </c>
      <c r="C673" s="18" t="inlineStr">
        <is>
          <t>Fast Food Preparers</t>
        </is>
      </c>
      <c r="D673" s="17" t="inlineStr">
        <is>
          <t>3434</t>
        </is>
      </c>
      <c r="E673" s="18" t="inlineStr">
        <is>
          <t>Chefs</t>
        </is>
      </c>
      <c r="F673" s="18" t="inlineStr">
        <is>
          <t>B2B영업 / 마케팅 / GTM</t>
        </is>
      </c>
      <c r="G673" s="17" t="inlineStr">
        <is>
          <t>vertical_promotion</t>
        </is>
      </c>
      <c r="H673" s="18" t="inlineStr">
        <is>
          <t>planning, developing, recipes</t>
        </is>
      </c>
      <c r="I673" s="18" t="inlineStr">
        <is>
          <t>심화 Chefs 실무, 프로젝트 관리 역량</t>
        </is>
      </c>
      <c r="J673" s="18" t="inlineStr">
        <is>
          <t>실무 2년 이상 및 전문 자격</t>
        </is>
      </c>
      <c r="K673" s="17" t="inlineStr">
        <is>
          <t>★★★☆☆</t>
        </is>
      </c>
      <c r="L673" s="21" t="inlineStr">
        <is>
          <t>+25.0%</t>
        </is>
      </c>
    </row>
    <row r="674">
      <c r="A674" s="15" t="inlineStr">
        <is>
          <t>TR-0673</t>
        </is>
      </c>
      <c r="B674" s="15" t="inlineStr">
        <is>
          <t>9411</t>
        </is>
      </c>
      <c r="C674" s="16" t="inlineStr">
        <is>
          <t>Fast Food Preparers</t>
        </is>
      </c>
      <c r="D674" s="15" t="inlineStr">
        <is>
          <t>5120</t>
        </is>
      </c>
      <c r="E674" s="16" t="inlineStr">
        <is>
          <t>Cooks</t>
        </is>
      </c>
      <c r="F674" s="16" t="inlineStr">
        <is>
          <t>B2B영업 / 마케팅 / GTM</t>
        </is>
      </c>
      <c r="G674" s="15" t="inlineStr">
        <is>
          <t>horizontal_transfer</t>
        </is>
      </c>
      <c r="H674" s="16" t="inlineStr">
        <is>
          <t>planning, meals, preparing</t>
        </is>
      </c>
      <c r="I674" s="16" t="inlineStr">
        <is>
          <t>심화 Cooks 실무, 프로젝트 관리 역량</t>
        </is>
      </c>
      <c r="J674" s="16" t="inlineStr">
        <is>
          <t>실무 1년 이상 및 전문 자격</t>
        </is>
      </c>
      <c r="K674" s="15" t="inlineStr">
        <is>
          <t>★★☆☆☆</t>
        </is>
      </c>
      <c r="L674" s="20" t="inlineStr">
        <is>
          <t>+15.0%</t>
        </is>
      </c>
    </row>
    <row r="675">
      <c r="A675" s="17" t="inlineStr">
        <is>
          <t>TR-0674</t>
        </is>
      </c>
      <c r="B675" s="17" t="inlineStr">
        <is>
          <t>9411</t>
        </is>
      </c>
      <c r="C675" s="18" t="inlineStr">
        <is>
          <t>Fast Food Preparers</t>
        </is>
      </c>
      <c r="D675" s="17" t="inlineStr">
        <is>
          <t>5246</t>
        </is>
      </c>
      <c r="E675" s="18" t="inlineStr">
        <is>
          <t>Food Service Counter Attendants</t>
        </is>
      </c>
      <c r="F675" s="18" t="inlineStr">
        <is>
          <t>B2B영업 / 마케팅 / GTM</t>
        </is>
      </c>
      <c r="G675" s="17" t="inlineStr">
        <is>
          <t>horizontal_transfer</t>
        </is>
      </c>
      <c r="H675" s="18" t="inlineStr">
        <is>
          <t>serving, food, customers</t>
        </is>
      </c>
      <c r="I675" s="18" t="inlineStr">
        <is>
          <t>심화 Food Service Counter Attendants 실무, 프로젝트 관리 역량</t>
        </is>
      </c>
      <c r="J675" s="18" t="inlineStr">
        <is>
          <t>실무 1년 이상 및 전문 자격</t>
        </is>
      </c>
      <c r="K675" s="17" t="inlineStr">
        <is>
          <t>★★☆☆☆</t>
        </is>
      </c>
      <c r="L675" s="21" t="inlineStr">
        <is>
          <t>+15.0%</t>
        </is>
      </c>
    </row>
    <row r="676">
      <c r="A676" s="15" t="inlineStr">
        <is>
          <t>TR-0675</t>
        </is>
      </c>
      <c r="B676" s="15" t="inlineStr">
        <is>
          <t>9412</t>
        </is>
      </c>
      <c r="C676" s="16" t="inlineStr">
        <is>
          <t>Kitchen Helpers</t>
        </is>
      </c>
      <c r="D676" s="15" t="inlineStr">
        <is>
          <t>5120</t>
        </is>
      </c>
      <c r="E676" s="16" t="inlineStr">
        <is>
          <t>Cooks</t>
        </is>
      </c>
      <c r="F676" s="16" t="inlineStr">
        <is>
          <t>B2B영업 / 마케팅 / GTM</t>
        </is>
      </c>
      <c r="G676" s="15" t="inlineStr">
        <is>
          <t>horizontal_transfer</t>
        </is>
      </c>
      <c r="H676" s="16" t="inlineStr">
        <is>
          <t>planning, meals, preparing</t>
        </is>
      </c>
      <c r="I676" s="16" t="inlineStr">
        <is>
          <t>심화 Cooks 실무, 프로젝트 관리 역량</t>
        </is>
      </c>
      <c r="J676" s="16" t="inlineStr">
        <is>
          <t>실무 1년 이상 및 전문 자격</t>
        </is>
      </c>
      <c r="K676" s="15" t="inlineStr">
        <is>
          <t>★★☆☆☆</t>
        </is>
      </c>
      <c r="L676" s="20" t="inlineStr">
        <is>
          <t>+15.0%</t>
        </is>
      </c>
    </row>
    <row r="677">
      <c r="A677" s="17" t="inlineStr">
        <is>
          <t>TR-0676</t>
        </is>
      </c>
      <c r="B677" s="17" t="inlineStr">
        <is>
          <t>9412</t>
        </is>
      </c>
      <c r="C677" s="18" t="inlineStr">
        <is>
          <t>Kitchen Helpers</t>
        </is>
      </c>
      <c r="D677" s="17" t="inlineStr">
        <is>
          <t>9411</t>
        </is>
      </c>
      <c r="E677" s="18" t="inlineStr">
        <is>
          <t>Fast Food Preparers</t>
        </is>
      </c>
      <c r="F677" s="18" t="inlineStr">
        <is>
          <t>B2B영업 / 마케팅 / GTM</t>
        </is>
      </c>
      <c r="G677" s="17" t="inlineStr">
        <is>
          <t>horizontal_transfer</t>
        </is>
      </c>
      <c r="H677" s="18" t="inlineStr">
        <is>
          <t>preparing, simple, prepared</t>
        </is>
      </c>
      <c r="I677" s="18" t="inlineStr">
        <is>
          <t>심화 Fast Food Preparers 실무, 프로젝트 관리 역량</t>
        </is>
      </c>
      <c r="J677" s="18" t="inlineStr">
        <is>
          <t>실무 1년 이상 및 전문 자격</t>
        </is>
      </c>
      <c r="K677" s="17" t="inlineStr">
        <is>
          <t>★★☆☆☆</t>
        </is>
      </c>
      <c r="L677" s="21" t="inlineStr">
        <is>
          <t>+15.0%</t>
        </is>
      </c>
    </row>
    <row r="678">
      <c r="A678" s="15" t="inlineStr">
        <is>
          <t>TR-0677</t>
        </is>
      </c>
      <c r="B678" s="15" t="inlineStr">
        <is>
          <t>9510</t>
        </is>
      </c>
      <c r="C678" s="16" t="inlineStr">
        <is>
          <t>Street and Related Service Workers</t>
        </is>
      </c>
      <c r="D678" s="15" t="inlineStr">
        <is>
          <t>5245</t>
        </is>
      </c>
      <c r="E678" s="16" t="inlineStr">
        <is>
          <t>Service Station Attendants</t>
        </is>
      </c>
      <c r="F678" s="16" t="inlineStr">
        <is>
          <t>B2B영업 / 마케팅 / GTM</t>
        </is>
      </c>
      <c r="G678" s="15" t="inlineStr">
        <is>
          <t>horizontal_transfer</t>
        </is>
      </c>
      <c r="H678" s="16" t="inlineStr">
        <is>
          <t>filling, fuel, tanks</t>
        </is>
      </c>
      <c r="I678" s="16" t="inlineStr">
        <is>
          <t>심화 Service Station Attendants 실무, 프로젝트 관리 역량</t>
        </is>
      </c>
      <c r="J678" s="16" t="inlineStr">
        <is>
          <t>실무 1년 이상 및 전문 자격</t>
        </is>
      </c>
      <c r="K678" s="15" t="inlineStr">
        <is>
          <t>★★☆☆☆</t>
        </is>
      </c>
      <c r="L678" s="20" t="inlineStr">
        <is>
          <t>+15.0%</t>
        </is>
      </c>
    </row>
    <row r="679">
      <c r="A679" s="17" t="inlineStr">
        <is>
          <t>TR-0678</t>
        </is>
      </c>
      <c r="B679" s="17" t="inlineStr">
        <is>
          <t>9510</t>
        </is>
      </c>
      <c r="C679" s="18" t="inlineStr">
        <is>
          <t>Street and Related Service Workers</t>
        </is>
      </c>
      <c r="D679" s="17" t="inlineStr">
        <is>
          <t>9621</t>
        </is>
      </c>
      <c r="E679" s="18" t="inlineStr">
        <is>
          <t>Messengers, Package Deliverers and Luggage Porters</t>
        </is>
      </c>
      <c r="F679" s="18" t="inlineStr">
        <is>
          <t>B2B영업 / 마케팅 / GTM</t>
        </is>
      </c>
      <c r="G679" s="17" t="inlineStr">
        <is>
          <t>horizontal_transfer</t>
        </is>
      </c>
      <c r="H679" s="18" t="inlineStr">
        <is>
          <t>delivering, messages, packages</t>
        </is>
      </c>
      <c r="I679" s="18" t="inlineStr">
        <is>
          <t>심화 Messengers, Package Deliverers and Luggage Porters 실무, 프로젝트 관리 역량</t>
        </is>
      </c>
      <c r="J679" s="18" t="inlineStr">
        <is>
          <t>실무 1년 이상 및 전문 자격</t>
        </is>
      </c>
      <c r="K679" s="17" t="inlineStr">
        <is>
          <t>★★☆☆☆</t>
        </is>
      </c>
      <c r="L679" s="21" t="inlineStr">
        <is>
          <t>+15.0%</t>
        </is>
      </c>
    </row>
    <row r="680">
      <c r="A680" s="15" t="inlineStr">
        <is>
          <t>TR-0679</t>
        </is>
      </c>
      <c r="B680" s="15" t="inlineStr">
        <is>
          <t>9520</t>
        </is>
      </c>
      <c r="C680" s="16" t="inlineStr">
        <is>
          <t>Street Vendors (excluding Food)</t>
        </is>
      </c>
      <c r="D680" s="15" t="inlineStr">
        <is>
          <t>5211</t>
        </is>
      </c>
      <c r="E680" s="16" t="inlineStr">
        <is>
          <t>Stall and Market Salespersons</t>
        </is>
      </c>
      <c r="F680" s="16" t="inlineStr">
        <is>
          <t>B2B영업 / 마케팅 / GTM</t>
        </is>
      </c>
      <c r="G680" s="15" t="inlineStr">
        <is>
          <t>horizontal_transfer</t>
        </is>
      </c>
      <c r="H680" s="16" t="inlineStr">
        <is>
          <t>obtaining, permission, stand</t>
        </is>
      </c>
      <c r="I680" s="16" t="inlineStr">
        <is>
          <t>심화 Stall and Market Salespersons 실무, 프로젝트 관리 역량</t>
        </is>
      </c>
      <c r="J680" s="16" t="inlineStr">
        <is>
          <t>실무 1년 이상 및 전문 자격</t>
        </is>
      </c>
      <c r="K680" s="15" t="inlineStr">
        <is>
          <t>★★☆☆☆</t>
        </is>
      </c>
      <c r="L680" s="20" t="inlineStr">
        <is>
          <t>+15.0%</t>
        </is>
      </c>
    </row>
    <row r="681">
      <c r="A681" s="17" t="inlineStr">
        <is>
          <t>TR-0680</t>
        </is>
      </c>
      <c r="B681" s="17" t="inlineStr">
        <is>
          <t>9520</t>
        </is>
      </c>
      <c r="C681" s="18" t="inlineStr">
        <is>
          <t>Street Vendors (excluding Food)</t>
        </is>
      </c>
      <c r="D681" s="17" t="inlineStr">
        <is>
          <t>5212</t>
        </is>
      </c>
      <c r="E681" s="18" t="inlineStr">
        <is>
          <t>Street Food Salespersons</t>
        </is>
      </c>
      <c r="F681" s="18" t="inlineStr">
        <is>
          <t>B2B영업 / 마케팅 / GTM</t>
        </is>
      </c>
      <c r="G681" s="17" t="inlineStr">
        <is>
          <t>horizontal_transfer</t>
        </is>
      </c>
      <c r="H681" s="18" t="inlineStr">
        <is>
          <t>obtaining, permission, licence</t>
        </is>
      </c>
      <c r="I681" s="18" t="inlineStr">
        <is>
          <t>심화 Street Food Salespersons 실무, 프로젝트 관리 역량</t>
        </is>
      </c>
      <c r="J681" s="18" t="inlineStr">
        <is>
          <t>실무 1년 이상 및 전문 자격</t>
        </is>
      </c>
      <c r="K681" s="17" t="inlineStr">
        <is>
          <t>★★☆☆☆</t>
        </is>
      </c>
      <c r="L681" s="21" t="inlineStr">
        <is>
          <t>+15.0%</t>
        </is>
      </c>
    </row>
    <row r="682">
      <c r="A682" s="15" t="inlineStr">
        <is>
          <t>TR-0681</t>
        </is>
      </c>
      <c r="B682" s="15" t="inlineStr">
        <is>
          <t>9520</t>
        </is>
      </c>
      <c r="C682" s="16" t="inlineStr">
        <is>
          <t>Street Vendors (excluding Food)</t>
        </is>
      </c>
      <c r="D682" s="15" t="inlineStr">
        <is>
          <t>5243</t>
        </is>
      </c>
      <c r="E682" s="16" t="inlineStr">
        <is>
          <t>Door-to-door Salespersons</t>
        </is>
      </c>
      <c r="F682" s="16" t="inlineStr">
        <is>
          <t>B2B영업 / 마케팅 / GTM</t>
        </is>
      </c>
      <c r="G682" s="15" t="inlineStr">
        <is>
          <t>horizontal_transfer</t>
        </is>
      </c>
      <c r="H682" s="16" t="inlineStr">
        <is>
          <t>giving, details, various</t>
        </is>
      </c>
      <c r="I682" s="16" t="inlineStr">
        <is>
          <t>심화 Door-to-door Salespersons 실무, 프로젝트 관리 역량</t>
        </is>
      </c>
      <c r="J682" s="16" t="inlineStr">
        <is>
          <t>실무 1년 이상 및 전문 자격</t>
        </is>
      </c>
      <c r="K682" s="15" t="inlineStr">
        <is>
          <t>★★☆☆☆</t>
        </is>
      </c>
      <c r="L682" s="20" t="inlineStr">
        <is>
          <t>+15.0%</t>
        </is>
      </c>
    </row>
    <row r="683">
      <c r="A683" s="17" t="inlineStr">
        <is>
          <t>TR-0682</t>
        </is>
      </c>
      <c r="B683" s="17" t="inlineStr">
        <is>
          <t>9520</t>
        </is>
      </c>
      <c r="C683" s="18" t="inlineStr">
        <is>
          <t>Street Vendors (excluding Food)</t>
        </is>
      </c>
      <c r="D683" s="17" t="inlineStr">
        <is>
          <t>9510</t>
        </is>
      </c>
      <c r="E683" s="18" t="inlineStr">
        <is>
          <t>Street and Related Service Workers</t>
        </is>
      </c>
      <c r="F683" s="18" t="inlineStr">
        <is>
          <t>B2B영업 / 마케팅 / GTM</t>
        </is>
      </c>
      <c r="G683" s="17" t="inlineStr">
        <is>
          <t>horizontal_transfer</t>
        </is>
      </c>
      <c r="H683" s="18" t="inlineStr">
        <is>
          <t>obtaining, materials, necessary</t>
        </is>
      </c>
      <c r="I683" s="18" t="inlineStr">
        <is>
          <t>심화 Street and Related Service Workers 실무, 프로젝트 관리 역량</t>
        </is>
      </c>
      <c r="J683" s="18" t="inlineStr">
        <is>
          <t>실무 1년 이상 및 전문 자격</t>
        </is>
      </c>
      <c r="K683" s="17" t="inlineStr">
        <is>
          <t>★★☆☆☆</t>
        </is>
      </c>
      <c r="L683" s="21" t="inlineStr">
        <is>
          <t>+15.0%</t>
        </is>
      </c>
    </row>
    <row r="684">
      <c r="A684" s="15" t="inlineStr">
        <is>
          <t>TR-0683</t>
        </is>
      </c>
      <c r="B684" s="15" t="inlineStr">
        <is>
          <t>9611</t>
        </is>
      </c>
      <c r="C684" s="16" t="inlineStr">
        <is>
          <t>Garbage and Recycling Collectors</t>
        </is>
      </c>
      <c r="D684" s="15" t="inlineStr">
        <is>
          <t>8332</t>
        </is>
      </c>
      <c r="E684" s="16" t="inlineStr">
        <is>
          <t>Heavy Truck and Lorry Drivers</t>
        </is>
      </c>
      <c r="F684" s="16" t="inlineStr">
        <is>
          <t>탄소중립 / 산업안전 / ESG</t>
        </is>
      </c>
      <c r="G684" s="15" t="inlineStr">
        <is>
          <t>horizontal_transfer</t>
        </is>
      </c>
      <c r="H684" s="16" t="inlineStr">
        <is>
          <t>driving, tending, heavy</t>
        </is>
      </c>
      <c r="I684" s="16" t="inlineStr">
        <is>
          <t>심화 Heavy Truck and Lorry Drivers 실무, 프로젝트 관리 역량</t>
        </is>
      </c>
      <c r="J684" s="16" t="inlineStr">
        <is>
          <t>실무 1년 이상 및 전문 자격</t>
        </is>
      </c>
      <c r="K684" s="15" t="inlineStr">
        <is>
          <t>★★☆☆☆</t>
        </is>
      </c>
      <c r="L684" s="20" t="inlineStr">
        <is>
          <t>+15.0%</t>
        </is>
      </c>
    </row>
    <row r="685">
      <c r="A685" s="17" t="inlineStr">
        <is>
          <t>TR-0684</t>
        </is>
      </c>
      <c r="B685" s="17" t="inlineStr">
        <is>
          <t>9611</t>
        </is>
      </c>
      <c r="C685" s="18" t="inlineStr">
        <is>
          <t>Garbage and Recycling Collectors</t>
        </is>
      </c>
      <c r="D685" s="17" t="inlineStr">
        <is>
          <t>9612</t>
        </is>
      </c>
      <c r="E685" s="18" t="inlineStr">
        <is>
          <t>Refuse Sorters</t>
        </is>
      </c>
      <c r="F685" s="18" t="inlineStr">
        <is>
          <t>탄소중립 / 산업안전 / ESG</t>
        </is>
      </c>
      <c r="G685" s="17" t="inlineStr">
        <is>
          <t>horizontal_transfer</t>
        </is>
      </c>
      <c r="H685" s="18" t="inlineStr">
        <is>
          <t>searching, through, refuse</t>
        </is>
      </c>
      <c r="I685" s="18" t="inlineStr">
        <is>
          <t>심화 Refuse Sorters 실무, 프로젝트 관리 역량</t>
        </is>
      </c>
      <c r="J685" s="18" t="inlineStr">
        <is>
          <t>실무 1년 이상 및 전문 자격</t>
        </is>
      </c>
      <c r="K685" s="17" t="inlineStr">
        <is>
          <t>★★☆☆☆</t>
        </is>
      </c>
      <c r="L685" s="21" t="inlineStr">
        <is>
          <t>+15.0%</t>
        </is>
      </c>
    </row>
    <row r="686">
      <c r="A686" s="15" t="inlineStr">
        <is>
          <t>TR-0685</t>
        </is>
      </c>
      <c r="B686" s="15" t="inlineStr">
        <is>
          <t>9612</t>
        </is>
      </c>
      <c r="C686" s="16" t="inlineStr">
        <is>
          <t>Refuse Sorters</t>
        </is>
      </c>
      <c r="D686" s="15" t="inlineStr">
        <is>
          <t>9611</t>
        </is>
      </c>
      <c r="E686" s="16" t="inlineStr">
        <is>
          <t>Garbage and Recycling Collectors</t>
        </is>
      </c>
      <c r="F686" s="16" t="inlineStr">
        <is>
          <t>탄소중립 / 산업안전 / ESG</t>
        </is>
      </c>
      <c r="G686" s="15" t="inlineStr">
        <is>
          <t>horizontal_transfer</t>
        </is>
      </c>
      <c r="H686" s="16" t="inlineStr">
        <is>
          <t>collecting, rubbish, recyclable</t>
        </is>
      </c>
      <c r="I686" s="16" t="inlineStr">
        <is>
          <t>심화 Garbage and Recycling Collectors 실무, 프로젝트 관리 역량</t>
        </is>
      </c>
      <c r="J686" s="16" t="inlineStr">
        <is>
          <t>실무 1년 이상 및 전문 자격</t>
        </is>
      </c>
      <c r="K686" s="15" t="inlineStr">
        <is>
          <t>★★☆☆☆</t>
        </is>
      </c>
      <c r="L686" s="20" t="inlineStr">
        <is>
          <t>+15.0%</t>
        </is>
      </c>
    </row>
    <row r="687">
      <c r="A687" s="17" t="inlineStr">
        <is>
          <t>TR-0686</t>
        </is>
      </c>
      <c r="B687" s="17" t="inlineStr">
        <is>
          <t>9612</t>
        </is>
      </c>
      <c r="C687" s="18" t="inlineStr">
        <is>
          <t>Refuse Sorters</t>
        </is>
      </c>
      <c r="D687" s="17" t="inlineStr">
        <is>
          <t>9613</t>
        </is>
      </c>
      <c r="E687" s="18" t="inlineStr">
        <is>
          <t>Sweepers and Related Labourers</t>
        </is>
      </c>
      <c r="F687" s="18" t="inlineStr">
        <is>
          <t>탄소중립 / 산업안전 / ESG</t>
        </is>
      </c>
      <c r="G687" s="17" t="inlineStr">
        <is>
          <t>horizontal_transfer</t>
        </is>
      </c>
      <c r="H687" s="18" t="inlineStr">
        <is>
          <t>sweeping, streets, parks</t>
        </is>
      </c>
      <c r="I687" s="18" t="inlineStr">
        <is>
          <t>심화 Sweepers and Related Labourers 실무, 프로젝트 관리 역량</t>
        </is>
      </c>
      <c r="J687" s="18" t="inlineStr">
        <is>
          <t>실무 1년 이상 및 전문 자격</t>
        </is>
      </c>
      <c r="K687" s="17" t="inlineStr">
        <is>
          <t>★★☆☆☆</t>
        </is>
      </c>
      <c r="L687" s="21" t="inlineStr">
        <is>
          <t>+15.0%</t>
        </is>
      </c>
    </row>
    <row r="688">
      <c r="A688" s="15" t="inlineStr">
        <is>
          <t>TR-0687</t>
        </is>
      </c>
      <c r="B688" s="15" t="inlineStr">
        <is>
          <t>9621</t>
        </is>
      </c>
      <c r="C688" s="16" t="inlineStr">
        <is>
          <t>Messengers, Package Deliverers and Luggage Porters</t>
        </is>
      </c>
      <c r="D688" s="15" t="inlineStr">
        <is>
          <t>4412</t>
        </is>
      </c>
      <c r="E688" s="16" t="inlineStr">
        <is>
          <t>Mail Carriers and Sorting Clerks</t>
        </is>
      </c>
      <c r="F688" s="16" t="inlineStr">
        <is>
          <t>탄소중립 / 산업안전 / ESG</t>
        </is>
      </c>
      <c r="G688" s="15" t="inlineStr">
        <is>
          <t>horizontal_transfer</t>
        </is>
      </c>
      <c r="H688" s="16" t="inlineStr">
        <is>
          <t>mail, handling, duties</t>
        </is>
      </c>
      <c r="I688" s="16" t="inlineStr">
        <is>
          <t>심화 Mail Carriers and Sorting Clerks 실무, 프로젝트 관리 역량</t>
        </is>
      </c>
      <c r="J688" s="16" t="inlineStr">
        <is>
          <t>실무 1년 이상 및 전문 자격</t>
        </is>
      </c>
      <c r="K688" s="15" t="inlineStr">
        <is>
          <t>★★☆☆☆</t>
        </is>
      </c>
      <c r="L688" s="20" t="inlineStr">
        <is>
          <t>+15.0%</t>
        </is>
      </c>
    </row>
    <row r="689">
      <c r="A689" s="17" t="inlineStr">
        <is>
          <t>TR-0688</t>
        </is>
      </c>
      <c r="B689" s="17" t="inlineStr">
        <is>
          <t>9629</t>
        </is>
      </c>
      <c r="C689" s="18" t="inlineStr">
        <is>
          <t>Elementary Workers Not Elsewhere Classified</t>
        </is>
      </c>
      <c r="D689" s="17" t="inlineStr">
        <is>
          <t>8322</t>
        </is>
      </c>
      <c r="E689" s="18" t="inlineStr">
        <is>
          <t>Car, Taxi and Van Drivers</t>
        </is>
      </c>
      <c r="F689" s="18" t="inlineStr">
        <is>
          <t>탄소중립 / 산업안전 / ESG</t>
        </is>
      </c>
      <c r="G689" s="17" t="inlineStr">
        <is>
          <t>horizontal_transfer</t>
        </is>
      </c>
      <c r="H689" s="18" t="inlineStr">
        <is>
          <t>driving, tending, passenger</t>
        </is>
      </c>
      <c r="I689" s="18" t="inlineStr">
        <is>
          <t>심화 Car, Taxi and Van Drivers 실무, 프로젝트 관리 역량</t>
        </is>
      </c>
      <c r="J689" s="18" t="inlineStr">
        <is>
          <t>실무 1년 이상 및 전문 자격</t>
        </is>
      </c>
      <c r="K689" s="17" t="inlineStr">
        <is>
          <t>★★☆☆☆</t>
        </is>
      </c>
      <c r="L689" s="21" t="inlineStr">
        <is>
          <t>+15.0%</t>
        </is>
      </c>
    </row>
    <row r="690">
      <c r="A690" s="15" t="inlineStr">
        <is>
          <t>TR-0689</t>
        </is>
      </c>
      <c r="B690" s="15" t="inlineStr">
        <is>
          <t>1111</t>
        </is>
      </c>
      <c r="C690" s="16" t="inlineStr">
        <is>
          <t>Legislators</t>
        </is>
      </c>
      <c r="D690" s="15" t="inlineStr">
        <is>
          <t>1112</t>
        </is>
      </c>
      <c r="E690" s="16" t="inlineStr">
        <is>
          <t>Senior Government Officials</t>
        </is>
      </c>
      <c r="F690" s="16" t="inlineStr">
        <is>
          <t>경영전략 / 인사 / 사업개발</t>
        </is>
      </c>
      <c r="G690" s="15" t="inlineStr">
        <is>
          <t>intra_cluster_transition</t>
        </is>
      </c>
      <c r="H690" s="16" t="inlineStr">
        <is>
          <t>advising, national, state</t>
        </is>
      </c>
      <c r="I690" s="16" t="inlineStr">
        <is>
          <t>동일 직군 내 고급 도메인 지식</t>
        </is>
      </c>
      <c r="J690" s="16" t="inlineStr">
        <is>
          <t>직무 순환 및 실무 1~2년</t>
        </is>
      </c>
      <c r="K690" s="15" t="inlineStr">
        <is>
          <t>★★☆☆☆</t>
        </is>
      </c>
      <c r="L690" s="20" t="inlineStr">
        <is>
          <t>+12.5%</t>
        </is>
      </c>
    </row>
    <row r="691">
      <c r="A691" s="17" t="inlineStr">
        <is>
          <t>TR-0690</t>
        </is>
      </c>
      <c r="B691" s="17" t="inlineStr">
        <is>
          <t>1112</t>
        </is>
      </c>
      <c r="C691" s="18" t="inlineStr">
        <is>
          <t>Senior Government Officials</t>
        </is>
      </c>
      <c r="D691" s="17" t="inlineStr">
        <is>
          <t>1113</t>
        </is>
      </c>
      <c r="E691" s="18" t="inlineStr">
        <is>
          <t>Traditional Chiefs and Heads of Villages</t>
        </is>
      </c>
      <c r="F691" s="18" t="inlineStr">
        <is>
          <t>경영전략 / 인사 / 사업개발</t>
        </is>
      </c>
      <c r="G691" s="17" t="inlineStr">
        <is>
          <t>intra_cluster_transition</t>
        </is>
      </c>
      <c r="H691" s="18" t="inlineStr">
        <is>
          <t>allocating, communal, land</t>
        </is>
      </c>
      <c r="I691" s="18" t="inlineStr">
        <is>
          <t>동일 직군 내 고급 도메인 지식</t>
        </is>
      </c>
      <c r="J691" s="18" t="inlineStr">
        <is>
          <t>직무 순환 및 실무 1~2년</t>
        </is>
      </c>
      <c r="K691" s="17" t="inlineStr">
        <is>
          <t>★★☆☆☆</t>
        </is>
      </c>
      <c r="L691" s="21" t="inlineStr">
        <is>
          <t>+12.5%</t>
        </is>
      </c>
    </row>
    <row r="692">
      <c r="A692" s="15" t="inlineStr">
        <is>
          <t>TR-0691</t>
        </is>
      </c>
      <c r="B692" s="15" t="inlineStr">
        <is>
          <t>1113</t>
        </is>
      </c>
      <c r="C692" s="16" t="inlineStr">
        <is>
          <t>Traditional Chiefs and Heads of Villages</t>
        </is>
      </c>
      <c r="D692" s="15" t="inlineStr">
        <is>
          <t>1114</t>
        </is>
      </c>
      <c r="E692" s="16" t="inlineStr">
        <is>
          <t>Senior Officials of Special-interest Organizations</t>
        </is>
      </c>
      <c r="F692" s="16" t="inlineStr">
        <is>
          <t>경영전략 / 인사 / 사업개발</t>
        </is>
      </c>
      <c r="G692" s="15" t="inlineStr">
        <is>
          <t>intra_cluster_transition</t>
        </is>
      </c>
      <c r="H692" s="16" t="inlineStr">
        <is>
          <t>determining, formulating, policies</t>
        </is>
      </c>
      <c r="I692" s="16" t="inlineStr">
        <is>
          <t>동일 직군 내 고급 도메인 지식</t>
        </is>
      </c>
      <c r="J692" s="16" t="inlineStr">
        <is>
          <t>직무 순환 및 실무 1~2년</t>
        </is>
      </c>
      <c r="K692" s="15" t="inlineStr">
        <is>
          <t>★★☆☆☆</t>
        </is>
      </c>
      <c r="L692" s="20" t="inlineStr">
        <is>
          <t>+12.5%</t>
        </is>
      </c>
    </row>
    <row r="693">
      <c r="A693" s="17" t="inlineStr">
        <is>
          <t>TR-0692</t>
        </is>
      </c>
      <c r="B693" s="17" t="inlineStr">
        <is>
          <t>1211</t>
        </is>
      </c>
      <c r="C693" s="18" t="inlineStr">
        <is>
          <t>Finance Managers</t>
        </is>
      </c>
      <c r="D693" s="17" t="inlineStr">
        <is>
          <t>1212</t>
        </is>
      </c>
      <c r="E693" s="18" t="inlineStr">
        <is>
          <t>Human Resource Managers</t>
        </is>
      </c>
      <c r="F693" s="18" t="inlineStr">
        <is>
          <t>경영전략 / 인사 / 사업개발</t>
        </is>
      </c>
      <c r="G693" s="17" t="inlineStr">
        <is>
          <t>intra_cluster_transition</t>
        </is>
      </c>
      <c r="H693" s="18" t="inlineStr">
        <is>
          <t>planning, coordinating, personnel</t>
        </is>
      </c>
      <c r="I693" s="18" t="inlineStr">
        <is>
          <t>동일 직군 내 고급 도메인 지식</t>
        </is>
      </c>
      <c r="J693" s="18" t="inlineStr">
        <is>
          <t>직무 순환 및 실무 1~2년</t>
        </is>
      </c>
      <c r="K693" s="17" t="inlineStr">
        <is>
          <t>★★☆☆☆</t>
        </is>
      </c>
      <c r="L693" s="21" t="inlineStr">
        <is>
          <t>+12.5%</t>
        </is>
      </c>
    </row>
    <row r="694">
      <c r="A694" s="15" t="inlineStr">
        <is>
          <t>TR-0693</t>
        </is>
      </c>
      <c r="B694" s="15" t="inlineStr">
        <is>
          <t>1212</t>
        </is>
      </c>
      <c r="C694" s="16" t="inlineStr">
        <is>
          <t>Human Resource Managers</t>
        </is>
      </c>
      <c r="D694" s="15" t="inlineStr">
        <is>
          <t>1213</t>
        </is>
      </c>
      <c r="E694" s="16" t="inlineStr">
        <is>
          <t>Policy and Planning Managers</t>
        </is>
      </c>
      <c r="F694" s="16" t="inlineStr">
        <is>
          <t>경영전략 / 인사 / 사업개발</t>
        </is>
      </c>
      <c r="G694" s="15" t="inlineStr">
        <is>
          <t>intra_cluster_transition</t>
        </is>
      </c>
      <c r="H694" s="16" t="inlineStr">
        <is>
          <t>developing, implementing, monitoring</t>
        </is>
      </c>
      <c r="I694" s="16" t="inlineStr">
        <is>
          <t>동일 직군 내 고급 도메인 지식</t>
        </is>
      </c>
      <c r="J694" s="16" t="inlineStr">
        <is>
          <t>직무 순환 및 실무 1~2년</t>
        </is>
      </c>
      <c r="K694" s="15" t="inlineStr">
        <is>
          <t>★★☆☆☆</t>
        </is>
      </c>
      <c r="L694" s="20" t="inlineStr">
        <is>
          <t>+12.5%</t>
        </is>
      </c>
    </row>
    <row r="695">
      <c r="A695" s="17" t="inlineStr">
        <is>
          <t>TR-0694</t>
        </is>
      </c>
      <c r="B695" s="17" t="inlineStr">
        <is>
          <t>1213</t>
        </is>
      </c>
      <c r="C695" s="18" t="inlineStr">
        <is>
          <t>Policy and Planning Managers</t>
        </is>
      </c>
      <c r="D695" s="17" t="inlineStr">
        <is>
          <t>1219</t>
        </is>
      </c>
      <c r="E695" s="18" t="inlineStr">
        <is>
          <t>Business Services and Administration Managers Not Elsewhere Classified</t>
        </is>
      </c>
      <c r="F695" s="18" t="inlineStr">
        <is>
          <t>경영전략 / 인사 / 사업개발</t>
        </is>
      </c>
      <c r="G695" s="17" t="inlineStr">
        <is>
          <t>intra_cluster_transition</t>
        </is>
      </c>
      <c r="H695" s="18" t="inlineStr">
        <is>
          <t>such, cases, would</t>
        </is>
      </c>
      <c r="I695" s="18" t="inlineStr">
        <is>
          <t>동일 직군 내 고급 도메인 지식</t>
        </is>
      </c>
      <c r="J695" s="18" t="inlineStr">
        <is>
          <t>직무 순환 및 실무 1~2년</t>
        </is>
      </c>
      <c r="K695" s="17" t="inlineStr">
        <is>
          <t>★★☆☆☆</t>
        </is>
      </c>
      <c r="L695" s="21" t="inlineStr">
        <is>
          <t>+12.5%</t>
        </is>
      </c>
    </row>
    <row r="696">
      <c r="A696" s="15" t="inlineStr">
        <is>
          <t>TR-0695</t>
        </is>
      </c>
      <c r="B696" s="15" t="inlineStr">
        <is>
          <t>1221</t>
        </is>
      </c>
      <c r="C696" s="16" t="inlineStr">
        <is>
          <t>Sales and Marketing Managers</t>
        </is>
      </c>
      <c r="D696" s="15" t="inlineStr">
        <is>
          <t>1222</t>
        </is>
      </c>
      <c r="E696" s="16" t="inlineStr">
        <is>
          <t>Advertising and Public Relations Managers</t>
        </is>
      </c>
      <c r="F696" s="16" t="inlineStr">
        <is>
          <t>경영전략 / 인사 / 사업개발</t>
        </is>
      </c>
      <c r="G696" s="15" t="inlineStr">
        <is>
          <t>intra_cluster_transition</t>
        </is>
      </c>
      <c r="H696" s="16" t="inlineStr">
        <is>
          <t>planning, coordinating, advertising</t>
        </is>
      </c>
      <c r="I696" s="16" t="inlineStr">
        <is>
          <t>동일 직군 내 고급 도메인 지식</t>
        </is>
      </c>
      <c r="J696" s="16" t="inlineStr">
        <is>
          <t>직무 순환 및 실무 1~2년</t>
        </is>
      </c>
      <c r="K696" s="15" t="inlineStr">
        <is>
          <t>★★☆☆☆</t>
        </is>
      </c>
      <c r="L696" s="20" t="inlineStr">
        <is>
          <t>+12.5%</t>
        </is>
      </c>
    </row>
    <row r="697">
      <c r="A697" s="17" t="inlineStr">
        <is>
          <t>TR-0696</t>
        </is>
      </c>
      <c r="B697" s="17" t="inlineStr">
        <is>
          <t>1222</t>
        </is>
      </c>
      <c r="C697" s="18" t="inlineStr">
        <is>
          <t>Advertising and Public Relations Managers</t>
        </is>
      </c>
      <c r="D697" s="17" t="inlineStr">
        <is>
          <t>1223</t>
        </is>
      </c>
      <c r="E697" s="18" t="inlineStr">
        <is>
          <t>Research and Development Managers</t>
        </is>
      </c>
      <c r="F697" s="18" t="inlineStr">
        <is>
          <t>경영전략 / 인사 / 사업개발</t>
        </is>
      </c>
      <c r="G697" s="17" t="inlineStr">
        <is>
          <t>intra_cluster_transition</t>
        </is>
      </c>
      <c r="H697" s="18" t="inlineStr">
        <is>
          <t>planning, coordinating, research</t>
        </is>
      </c>
      <c r="I697" s="18" t="inlineStr">
        <is>
          <t>동일 직군 내 고급 도메인 지식</t>
        </is>
      </c>
      <c r="J697" s="18" t="inlineStr">
        <is>
          <t>직무 순환 및 실무 1~2년</t>
        </is>
      </c>
      <c r="K697" s="17" t="inlineStr">
        <is>
          <t>★★☆☆☆</t>
        </is>
      </c>
      <c r="L697" s="21" t="inlineStr">
        <is>
          <t>+12.5%</t>
        </is>
      </c>
    </row>
    <row r="698">
      <c r="A698" s="15" t="inlineStr">
        <is>
          <t>TR-0697</t>
        </is>
      </c>
      <c r="B698" s="15" t="inlineStr">
        <is>
          <t>1311</t>
        </is>
      </c>
      <c r="C698" s="16" t="inlineStr">
        <is>
          <t>Agricultural and Forestry Production Managers</t>
        </is>
      </c>
      <c r="D698" s="15" t="inlineStr">
        <is>
          <t>1312</t>
        </is>
      </c>
      <c r="E698" s="16" t="inlineStr">
        <is>
          <t>Aquaculture and Fisheries Production Managers</t>
        </is>
      </c>
      <c r="F698" s="16" t="inlineStr">
        <is>
          <t>모빌리티 / 자율주행 / 로보틱스</t>
        </is>
      </c>
      <c r="G698" s="15" t="inlineStr">
        <is>
          <t>intra_cluster_transition</t>
        </is>
      </c>
      <c r="H698" s="16" t="inlineStr">
        <is>
          <t>monitoring, aquaculture, fishery</t>
        </is>
      </c>
      <c r="I698" s="16" t="inlineStr">
        <is>
          <t>동일 직군 내 고급 도메인 지식</t>
        </is>
      </c>
      <c r="J698" s="16" t="inlineStr">
        <is>
          <t>직무 순환 및 실무 1~2년</t>
        </is>
      </c>
      <c r="K698" s="15" t="inlineStr">
        <is>
          <t>★★☆☆☆</t>
        </is>
      </c>
      <c r="L698" s="20" t="inlineStr">
        <is>
          <t>+12.5%</t>
        </is>
      </c>
    </row>
    <row r="699">
      <c r="A699" s="17" t="inlineStr">
        <is>
          <t>TR-0698</t>
        </is>
      </c>
      <c r="B699" s="17" t="inlineStr">
        <is>
          <t>1321</t>
        </is>
      </c>
      <c r="C699" s="18" t="inlineStr">
        <is>
          <t>Manufacturing Managers</t>
        </is>
      </c>
      <c r="D699" s="17" t="inlineStr">
        <is>
          <t>1322</t>
        </is>
      </c>
      <c r="E699" s="18" t="inlineStr">
        <is>
          <t>Mining Managers</t>
        </is>
      </c>
      <c r="F699" s="18" t="inlineStr">
        <is>
          <t>모빌리티 / 자율주행 / 로보틱스</t>
        </is>
      </c>
      <c r="G699" s="17" t="inlineStr">
        <is>
          <t>intra_cluster_transition</t>
        </is>
      </c>
      <c r="H699" s="18" t="inlineStr">
        <is>
          <t>conferring, with, other</t>
        </is>
      </c>
      <c r="I699" s="18" t="inlineStr">
        <is>
          <t>동일 직군 내 고급 도메인 지식</t>
        </is>
      </c>
      <c r="J699" s="18" t="inlineStr">
        <is>
          <t>직무 순환 및 실무 1~2년</t>
        </is>
      </c>
      <c r="K699" s="17" t="inlineStr">
        <is>
          <t>★★☆☆☆</t>
        </is>
      </c>
      <c r="L699" s="21" t="inlineStr">
        <is>
          <t>+12.5%</t>
        </is>
      </c>
    </row>
    <row r="700">
      <c r="A700" s="15" t="inlineStr">
        <is>
          <t>TR-0699</t>
        </is>
      </c>
      <c r="B700" s="15" t="inlineStr">
        <is>
          <t>1322</t>
        </is>
      </c>
      <c r="C700" s="16" t="inlineStr">
        <is>
          <t>Mining Managers</t>
        </is>
      </c>
      <c r="D700" s="15" t="inlineStr">
        <is>
          <t>1323</t>
        </is>
      </c>
      <c r="E700" s="16" t="inlineStr">
        <is>
          <t>Construction Managers</t>
        </is>
      </c>
      <c r="F700" s="16" t="inlineStr">
        <is>
          <t>모빌리티 / 자율주행 / 로보틱스</t>
        </is>
      </c>
      <c r="G700" s="15" t="inlineStr">
        <is>
          <t>intra_cluster_transition</t>
        </is>
      </c>
      <c r="H700" s="16" t="inlineStr">
        <is>
          <t>interpreting, architectural, drawings</t>
        </is>
      </c>
      <c r="I700" s="16" t="inlineStr">
        <is>
          <t>동일 직군 내 고급 도메인 지식</t>
        </is>
      </c>
      <c r="J700" s="16" t="inlineStr">
        <is>
          <t>직무 순환 및 실무 1~2년</t>
        </is>
      </c>
      <c r="K700" s="15" t="inlineStr">
        <is>
          <t>★★☆☆☆</t>
        </is>
      </c>
      <c r="L700" s="20" t="inlineStr">
        <is>
          <t>+12.5%</t>
        </is>
      </c>
    </row>
    <row r="701">
      <c r="A701" s="17" t="inlineStr">
        <is>
          <t>TR-0700</t>
        </is>
      </c>
      <c r="B701" s="17" t="inlineStr">
        <is>
          <t>1323</t>
        </is>
      </c>
      <c r="C701" s="18" t="inlineStr">
        <is>
          <t>Construction Managers</t>
        </is>
      </c>
      <c r="D701" s="17" t="inlineStr">
        <is>
          <t>1324</t>
        </is>
      </c>
      <c r="E701" s="18" t="inlineStr">
        <is>
          <t>Supply, Distribution and Related Managers</t>
        </is>
      </c>
      <c r="F701" s="18" t="inlineStr">
        <is>
          <t>모빌리티 / 자율주행 / 로보틱스</t>
        </is>
      </c>
      <c r="G701" s="17" t="inlineStr">
        <is>
          <t>intra_cluster_transition</t>
        </is>
      </c>
      <c r="H701" s="18" t="inlineStr">
        <is>
          <t>determining, implementing, monitoring</t>
        </is>
      </c>
      <c r="I701" s="18" t="inlineStr">
        <is>
          <t>동일 직군 내 고급 도메인 지식</t>
        </is>
      </c>
      <c r="J701" s="18" t="inlineStr">
        <is>
          <t>직무 순환 및 실무 1~2년</t>
        </is>
      </c>
      <c r="K701" s="17" t="inlineStr">
        <is>
          <t>★★☆☆☆</t>
        </is>
      </c>
      <c r="L701" s="21" t="inlineStr">
        <is>
          <t>+12.5%</t>
        </is>
      </c>
    </row>
    <row r="702">
      <c r="A702" s="15" t="inlineStr">
        <is>
          <t>TR-0701</t>
        </is>
      </c>
      <c r="B702" s="15" t="inlineStr">
        <is>
          <t>1341</t>
        </is>
      </c>
      <c r="C702" s="16" t="inlineStr">
        <is>
          <t>Child Care Service Managers</t>
        </is>
      </c>
      <c r="D702" s="15" t="inlineStr">
        <is>
          <t>1342</t>
        </is>
      </c>
      <c r="E702" s="16" t="inlineStr">
        <is>
          <t>Health Service Managers</t>
        </is>
      </c>
      <c r="F702" s="16" t="inlineStr">
        <is>
          <t>모빌리티 / 자율주행 / 로보틱스</t>
        </is>
      </c>
      <c r="G702" s="15" t="inlineStr">
        <is>
          <t>intra_cluster_transition</t>
        </is>
      </c>
      <c r="H702" s="16" t="inlineStr">
        <is>
          <t>overall, direction, management</t>
        </is>
      </c>
      <c r="I702" s="16" t="inlineStr">
        <is>
          <t>동일 직군 내 고급 도메인 지식</t>
        </is>
      </c>
      <c r="J702" s="16" t="inlineStr">
        <is>
          <t>직무 순환 및 실무 1~2년</t>
        </is>
      </c>
      <c r="K702" s="15" t="inlineStr">
        <is>
          <t>★★☆☆☆</t>
        </is>
      </c>
      <c r="L702" s="20" t="inlineStr">
        <is>
          <t>+12.5%</t>
        </is>
      </c>
    </row>
    <row r="703">
      <c r="A703" s="17" t="inlineStr">
        <is>
          <t>TR-0702</t>
        </is>
      </c>
      <c r="B703" s="17" t="inlineStr">
        <is>
          <t>1343</t>
        </is>
      </c>
      <c r="C703" s="18" t="inlineStr">
        <is>
          <t>Aged Care Service Managers</t>
        </is>
      </c>
      <c r="D703" s="17" t="inlineStr">
        <is>
          <t>1344</t>
        </is>
      </c>
      <c r="E703" s="18" t="inlineStr">
        <is>
          <t>Social Welfare Managers</t>
        </is>
      </c>
      <c r="F703" s="18" t="inlineStr">
        <is>
          <t>모빌리티 / 자율주행 / 로보틱스</t>
        </is>
      </c>
      <c r="G703" s="17" t="inlineStr">
        <is>
          <t>intra_cluster_transition</t>
        </is>
      </c>
      <c r="H703" s="18" t="inlineStr">
        <is>
          <t>overall, direction, management</t>
        </is>
      </c>
      <c r="I703" s="18" t="inlineStr">
        <is>
          <t>동일 직군 내 고급 도메인 지식</t>
        </is>
      </c>
      <c r="J703" s="18" t="inlineStr">
        <is>
          <t>직무 순환 및 실무 1~2년</t>
        </is>
      </c>
      <c r="K703" s="17" t="inlineStr">
        <is>
          <t>★★☆☆☆</t>
        </is>
      </c>
      <c r="L703" s="21" t="inlineStr">
        <is>
          <t>+12.5%</t>
        </is>
      </c>
    </row>
    <row r="704">
      <c r="A704" s="15" t="inlineStr">
        <is>
          <t>TR-0703</t>
        </is>
      </c>
      <c r="B704" s="15" t="inlineStr">
        <is>
          <t>1344</t>
        </is>
      </c>
      <c r="C704" s="16" t="inlineStr">
        <is>
          <t>Social Welfare Managers</t>
        </is>
      </c>
      <c r="D704" s="15" t="inlineStr">
        <is>
          <t>1345</t>
        </is>
      </c>
      <c r="E704" s="16" t="inlineStr">
        <is>
          <t>Education Managers</t>
        </is>
      </c>
      <c r="F704" s="16" t="inlineStr">
        <is>
          <t>모빌리티 / 자율주행 / 로보틱스</t>
        </is>
      </c>
      <c r="G704" s="15" t="inlineStr">
        <is>
          <t>intra_cluster_transition</t>
        </is>
      </c>
      <c r="H704" s="16" t="inlineStr">
        <is>
          <t>determining, educational, programmes</t>
        </is>
      </c>
      <c r="I704" s="16" t="inlineStr">
        <is>
          <t>동일 직군 내 고급 도메인 지식</t>
        </is>
      </c>
      <c r="J704" s="16" t="inlineStr">
        <is>
          <t>직무 순환 및 실무 1~2년</t>
        </is>
      </c>
      <c r="K704" s="15" t="inlineStr">
        <is>
          <t>★★☆☆☆</t>
        </is>
      </c>
      <c r="L704" s="20" t="inlineStr">
        <is>
          <t>+12.5%</t>
        </is>
      </c>
    </row>
    <row r="705">
      <c r="A705" s="17" t="inlineStr">
        <is>
          <t>TR-0704</t>
        </is>
      </c>
      <c r="B705" s="17" t="inlineStr">
        <is>
          <t>1345</t>
        </is>
      </c>
      <c r="C705" s="18" t="inlineStr">
        <is>
          <t>Education Managers</t>
        </is>
      </c>
      <c r="D705" s="17" t="inlineStr">
        <is>
          <t>1346</t>
        </is>
      </c>
      <c r="E705" s="18" t="inlineStr">
        <is>
          <t>Financial and Insurance Services Branch managers</t>
        </is>
      </c>
      <c r="F705" s="18" t="inlineStr">
        <is>
          <t>모빌리티 / 자율주행 / 로보틱스</t>
        </is>
      </c>
      <c r="G705" s="17" t="inlineStr">
        <is>
          <t>intra_cluster_transition</t>
        </is>
      </c>
      <c r="H705" s="18" t="inlineStr">
        <is>
          <t>planning, coordinating, activities</t>
        </is>
      </c>
      <c r="I705" s="18" t="inlineStr">
        <is>
          <t>동일 직군 내 고급 도메인 지식</t>
        </is>
      </c>
      <c r="J705" s="18" t="inlineStr">
        <is>
          <t>직무 순환 및 실무 1~2년</t>
        </is>
      </c>
      <c r="K705" s="17" t="inlineStr">
        <is>
          <t>★★☆☆☆</t>
        </is>
      </c>
      <c r="L705" s="21" t="inlineStr">
        <is>
          <t>+12.5%</t>
        </is>
      </c>
    </row>
    <row r="706">
      <c r="A706" s="15" t="inlineStr">
        <is>
          <t>TR-0705</t>
        </is>
      </c>
      <c r="B706" s="15" t="inlineStr">
        <is>
          <t>1346</t>
        </is>
      </c>
      <c r="C706" s="16" t="inlineStr">
        <is>
          <t>Financial and Insurance Services Branch managers</t>
        </is>
      </c>
      <c r="D706" s="15" t="inlineStr">
        <is>
          <t>1349</t>
        </is>
      </c>
      <c r="E706" s="16" t="inlineStr">
        <is>
          <t>Professional Services Managers Not Elsewhere Classified</t>
        </is>
      </c>
      <c r="F706" s="16" t="inlineStr">
        <is>
          <t>모빌리티 / 자율주행 / 로보틱스</t>
        </is>
      </c>
      <c r="G706" s="15" t="inlineStr">
        <is>
          <t>intra_cluster_transition</t>
        </is>
      </c>
      <c r="H706" s="16" t="inlineStr">
        <is>
          <t>such, cases, would</t>
        </is>
      </c>
      <c r="I706" s="16" t="inlineStr">
        <is>
          <t>동일 직군 내 고급 도메인 지식</t>
        </is>
      </c>
      <c r="J706" s="16" t="inlineStr">
        <is>
          <t>직무 순환 및 실무 1~2년</t>
        </is>
      </c>
      <c r="K706" s="15" t="inlineStr">
        <is>
          <t>★★☆☆☆</t>
        </is>
      </c>
      <c r="L706" s="20" t="inlineStr">
        <is>
          <t>+12.5%</t>
        </is>
      </c>
    </row>
    <row r="707">
      <c r="A707" s="17" t="inlineStr">
        <is>
          <t>TR-0706</t>
        </is>
      </c>
      <c r="B707" s="17" t="inlineStr">
        <is>
          <t>1411</t>
        </is>
      </c>
      <c r="C707" s="18" t="inlineStr">
        <is>
          <t>Hotel Managers</t>
        </is>
      </c>
      <c r="D707" s="17" t="inlineStr">
        <is>
          <t>1412</t>
        </is>
      </c>
      <c r="E707" s="18" t="inlineStr">
        <is>
          <t>Restaurant Managers</t>
        </is>
      </c>
      <c r="F707" s="18" t="inlineStr">
        <is>
          <t>B2B영업 / 마케팅 / GTM</t>
        </is>
      </c>
      <c r="G707" s="17" t="inlineStr">
        <is>
          <t>intra_cluster_transition</t>
        </is>
      </c>
      <c r="H707" s="18" t="inlineStr">
        <is>
          <t>planning, menus, consultation</t>
        </is>
      </c>
      <c r="I707" s="18" t="inlineStr">
        <is>
          <t>동일 직군 내 고급 도메인 지식</t>
        </is>
      </c>
      <c r="J707" s="18" t="inlineStr">
        <is>
          <t>직무 순환 및 실무 1~2년</t>
        </is>
      </c>
      <c r="K707" s="17" t="inlineStr">
        <is>
          <t>★★☆☆☆</t>
        </is>
      </c>
      <c r="L707" s="21" t="inlineStr">
        <is>
          <t>+12.5%</t>
        </is>
      </c>
    </row>
    <row r="708">
      <c r="A708" s="15" t="inlineStr">
        <is>
          <t>TR-0707</t>
        </is>
      </c>
      <c r="B708" s="15" t="inlineStr">
        <is>
          <t>1431</t>
        </is>
      </c>
      <c r="C708" s="16" t="inlineStr">
        <is>
          <t>Sports, Recreation and Cultural Centre Managers</t>
        </is>
      </c>
      <c r="D708" s="15" t="inlineStr">
        <is>
          <t>1439</t>
        </is>
      </c>
      <c r="E708" s="16" t="inlineStr">
        <is>
          <t>Services Managers Not Elsewhere Classified</t>
        </is>
      </c>
      <c r="F708" s="16" t="inlineStr">
        <is>
          <t>B2B영업 / 마케팅 / GTM</t>
        </is>
      </c>
      <c r="G708" s="15" t="inlineStr">
        <is>
          <t>intra_cluster_transition</t>
        </is>
      </c>
      <c r="H708" s="16" t="inlineStr">
        <is>
          <t>Services Managers Not Elsewhere Classified 실무, 표준 프로세스 준수, 데이터/지표 분석</t>
        </is>
      </c>
      <c r="I708" s="16" t="inlineStr">
        <is>
          <t>동일 직군 내 고급 도메인 지식</t>
        </is>
      </c>
      <c r="J708" s="16" t="inlineStr">
        <is>
          <t>직무 순환 및 실무 1~2년</t>
        </is>
      </c>
      <c r="K708" s="15" t="inlineStr">
        <is>
          <t>★★☆☆☆</t>
        </is>
      </c>
      <c r="L708" s="20" t="inlineStr">
        <is>
          <t>+12.5%</t>
        </is>
      </c>
    </row>
    <row r="709">
      <c r="A709" s="17" t="inlineStr">
        <is>
          <t>TR-0708</t>
        </is>
      </c>
      <c r="B709" s="17" t="inlineStr">
        <is>
          <t>2111</t>
        </is>
      </c>
      <c r="C709" s="18" t="inlineStr">
        <is>
          <t>Physicists and Astronomers</t>
        </is>
      </c>
      <c r="D709" s="17" t="inlineStr">
        <is>
          <t>2112</t>
        </is>
      </c>
      <c r="E709" s="18" t="inlineStr">
        <is>
          <t>Meteorologists</t>
        </is>
      </c>
      <c r="F709" s="18" t="inlineStr">
        <is>
          <t>반도체 / 전자회로 / 하드웨어</t>
        </is>
      </c>
      <c r="G709" s="17" t="inlineStr">
        <is>
          <t>intra_cluster_transition</t>
        </is>
      </c>
      <c r="H709" s="18" t="inlineStr">
        <is>
          <t>investigating, direction, speed</t>
        </is>
      </c>
      <c r="I709" s="18" t="inlineStr">
        <is>
          <t>동일 직군 내 고급 도메인 지식</t>
        </is>
      </c>
      <c r="J709" s="18" t="inlineStr">
        <is>
          <t>직무 순환 및 실무 1~2년</t>
        </is>
      </c>
      <c r="K709" s="17" t="inlineStr">
        <is>
          <t>★★☆☆☆</t>
        </is>
      </c>
      <c r="L709" s="21" t="inlineStr">
        <is>
          <t>+12.5%</t>
        </is>
      </c>
    </row>
    <row r="710">
      <c r="A710" s="15" t="inlineStr">
        <is>
          <t>TR-0709</t>
        </is>
      </c>
      <c r="B710" s="15" t="inlineStr">
        <is>
          <t>2112</t>
        </is>
      </c>
      <c r="C710" s="16" t="inlineStr">
        <is>
          <t>Meteorologists</t>
        </is>
      </c>
      <c r="D710" s="15" t="inlineStr">
        <is>
          <t>2113</t>
        </is>
      </c>
      <c r="E710" s="16" t="inlineStr">
        <is>
          <t>Chemists</t>
        </is>
      </c>
      <c r="F710" s="16" t="inlineStr">
        <is>
          <t>반도체 / 전자회로 / 하드웨어</t>
        </is>
      </c>
      <c r="G710" s="15" t="inlineStr">
        <is>
          <t>intra_cluster_transition</t>
        </is>
      </c>
      <c r="H710" s="16" t="inlineStr">
        <is>
          <t>conducting, research, improving</t>
        </is>
      </c>
      <c r="I710" s="16" t="inlineStr">
        <is>
          <t>동일 직군 내 고급 도메인 지식</t>
        </is>
      </c>
      <c r="J710" s="16" t="inlineStr">
        <is>
          <t>직무 순환 및 실무 1~2년</t>
        </is>
      </c>
      <c r="K710" s="15" t="inlineStr">
        <is>
          <t>★★☆☆☆</t>
        </is>
      </c>
      <c r="L710" s="20" t="inlineStr">
        <is>
          <t>+12.5%</t>
        </is>
      </c>
    </row>
    <row r="711">
      <c r="A711" s="17" t="inlineStr">
        <is>
          <t>TR-0710</t>
        </is>
      </c>
      <c r="B711" s="17" t="inlineStr">
        <is>
          <t>2113</t>
        </is>
      </c>
      <c r="C711" s="18" t="inlineStr">
        <is>
          <t>Chemists</t>
        </is>
      </c>
      <c r="D711" s="17" t="inlineStr">
        <is>
          <t>2114</t>
        </is>
      </c>
      <c r="E711" s="18" t="inlineStr">
        <is>
          <t>Geologists and geophysicists</t>
        </is>
      </c>
      <c r="F711" s="18" t="inlineStr">
        <is>
          <t>반도체 / 전자회로 / 하드웨어</t>
        </is>
      </c>
      <c r="G711" s="17" t="inlineStr">
        <is>
          <t>intra_cluster_transition</t>
        </is>
      </c>
      <c r="H711" s="18" t="inlineStr">
        <is>
          <t>conducting, research, improving</t>
        </is>
      </c>
      <c r="I711" s="18" t="inlineStr">
        <is>
          <t>동일 직군 내 고급 도메인 지식</t>
        </is>
      </c>
      <c r="J711" s="18" t="inlineStr">
        <is>
          <t>직무 순환 및 실무 1~2년</t>
        </is>
      </c>
      <c r="K711" s="17" t="inlineStr">
        <is>
          <t>★★☆☆☆</t>
        </is>
      </c>
      <c r="L711" s="21" t="inlineStr">
        <is>
          <t>+12.5%</t>
        </is>
      </c>
    </row>
    <row r="712">
      <c r="A712" s="15" t="inlineStr">
        <is>
          <t>TR-0711</t>
        </is>
      </c>
      <c r="B712" s="15" t="inlineStr">
        <is>
          <t>2131</t>
        </is>
      </c>
      <c r="C712" s="16" t="inlineStr">
        <is>
          <t>Biologists, Botanists, Zoologists and Related Professionals</t>
        </is>
      </c>
      <c r="D712" s="15" t="inlineStr">
        <is>
          <t>2132</t>
        </is>
      </c>
      <c r="E712" s="16" t="inlineStr">
        <is>
          <t>Farming, Forestry and Fisheries Advisers</t>
        </is>
      </c>
      <c r="F712" s="16" t="inlineStr">
        <is>
          <t>반도체 / 전자회로 / 하드웨어</t>
        </is>
      </c>
      <c r="G712" s="15" t="inlineStr">
        <is>
          <t>intra_cluster_transition</t>
        </is>
      </c>
      <c r="H712" s="16" t="inlineStr">
        <is>
          <t>collecting, analysing, data</t>
        </is>
      </c>
      <c r="I712" s="16" t="inlineStr">
        <is>
          <t>동일 직군 내 고급 도메인 지식</t>
        </is>
      </c>
      <c r="J712" s="16" t="inlineStr">
        <is>
          <t>직무 순환 및 실무 1~2년</t>
        </is>
      </c>
      <c r="K712" s="15" t="inlineStr">
        <is>
          <t>★★☆☆☆</t>
        </is>
      </c>
      <c r="L712" s="20" t="inlineStr">
        <is>
          <t>+12.5%</t>
        </is>
      </c>
    </row>
    <row r="713">
      <c r="A713" s="17" t="inlineStr">
        <is>
          <t>TR-0712</t>
        </is>
      </c>
      <c r="B713" s="17" t="inlineStr">
        <is>
          <t>2132</t>
        </is>
      </c>
      <c r="C713" s="18" t="inlineStr">
        <is>
          <t>Farming, Forestry and Fisheries Advisers</t>
        </is>
      </c>
      <c r="D713" s="17" t="inlineStr">
        <is>
          <t>2133</t>
        </is>
      </c>
      <c r="E713" s="18" t="inlineStr">
        <is>
          <t>Environmental Protection Professionals</t>
        </is>
      </c>
      <c r="F713" s="18" t="inlineStr">
        <is>
          <t>반도체 / 전자회로 / 하드웨어</t>
        </is>
      </c>
      <c r="G713" s="17" t="inlineStr">
        <is>
          <t>intra_cluster_transition</t>
        </is>
      </c>
      <c r="H713" s="18" t="inlineStr">
        <is>
          <t>conducting, research, tests</t>
        </is>
      </c>
      <c r="I713" s="18" t="inlineStr">
        <is>
          <t>동일 직군 내 고급 도메인 지식</t>
        </is>
      </c>
      <c r="J713" s="18" t="inlineStr">
        <is>
          <t>직무 순환 및 실무 1~2년</t>
        </is>
      </c>
      <c r="K713" s="17" t="inlineStr">
        <is>
          <t>★★☆☆☆</t>
        </is>
      </c>
      <c r="L713" s="21" t="inlineStr">
        <is>
          <t>+12.5%</t>
        </is>
      </c>
    </row>
    <row r="714">
      <c r="A714" s="15" t="inlineStr">
        <is>
          <t>TR-0713</t>
        </is>
      </c>
      <c r="B714" s="15" t="inlineStr">
        <is>
          <t>2141</t>
        </is>
      </c>
      <c r="C714" s="16" t="inlineStr">
        <is>
          <t>Industrial and Production Engineers</t>
        </is>
      </c>
      <c r="D714" s="15" t="inlineStr">
        <is>
          <t>2142</t>
        </is>
      </c>
      <c r="E714" s="16" t="inlineStr">
        <is>
          <t>Civil Engineers</t>
        </is>
      </c>
      <c r="F714" s="16" t="inlineStr">
        <is>
          <t>반도체 / 전자회로 / 하드웨어</t>
        </is>
      </c>
      <c r="G714" s="15" t="inlineStr">
        <is>
          <t>intra_cluster_transition</t>
        </is>
      </c>
      <c r="H714" s="16" t="inlineStr">
        <is>
          <t>conducting, research, developing</t>
        </is>
      </c>
      <c r="I714" s="16" t="inlineStr">
        <is>
          <t>동일 직군 내 고급 도메인 지식</t>
        </is>
      </c>
      <c r="J714" s="16" t="inlineStr">
        <is>
          <t>직무 순환 및 실무 1~2년</t>
        </is>
      </c>
      <c r="K714" s="15" t="inlineStr">
        <is>
          <t>★★☆☆☆</t>
        </is>
      </c>
      <c r="L714" s="20" t="inlineStr">
        <is>
          <t>+12.5%</t>
        </is>
      </c>
    </row>
    <row r="715">
      <c r="A715" s="17" t="inlineStr">
        <is>
          <t>TR-0714</t>
        </is>
      </c>
      <c r="B715" s="17" t="inlineStr">
        <is>
          <t>2142</t>
        </is>
      </c>
      <c r="C715" s="18" t="inlineStr">
        <is>
          <t>Civil Engineers</t>
        </is>
      </c>
      <c r="D715" s="17" t="inlineStr">
        <is>
          <t>2143</t>
        </is>
      </c>
      <c r="E715" s="18" t="inlineStr">
        <is>
          <t>Environmental Engineers</t>
        </is>
      </c>
      <c r="F715" s="18" t="inlineStr">
        <is>
          <t>반도체 / 전자회로 / 하드웨어</t>
        </is>
      </c>
      <c r="G715" s="17" t="inlineStr">
        <is>
          <t>intra_cluster_transition</t>
        </is>
      </c>
      <c r="H715" s="18" t="inlineStr">
        <is>
          <t>conducting, research, assessing</t>
        </is>
      </c>
      <c r="I715" s="18" t="inlineStr">
        <is>
          <t>동일 직군 내 고급 도메인 지식</t>
        </is>
      </c>
      <c r="J715" s="18" t="inlineStr">
        <is>
          <t>직무 순환 및 실무 1~2년</t>
        </is>
      </c>
      <c r="K715" s="17" t="inlineStr">
        <is>
          <t>★★☆☆☆</t>
        </is>
      </c>
      <c r="L715" s="21" t="inlineStr">
        <is>
          <t>+12.5%</t>
        </is>
      </c>
    </row>
    <row r="716">
      <c r="A716" s="15" t="inlineStr">
        <is>
          <t>TR-0715</t>
        </is>
      </c>
      <c r="B716" s="15" t="inlineStr">
        <is>
          <t>2143</t>
        </is>
      </c>
      <c r="C716" s="16" t="inlineStr">
        <is>
          <t>Environmental Engineers</t>
        </is>
      </c>
      <c r="D716" s="15" t="inlineStr">
        <is>
          <t>2144</t>
        </is>
      </c>
      <c r="E716" s="16" t="inlineStr">
        <is>
          <t>Mechanical Engineers</t>
        </is>
      </c>
      <c r="F716" s="16" t="inlineStr">
        <is>
          <t>반도체 / 전자회로 / 하드웨어</t>
        </is>
      </c>
      <c r="G716" s="15" t="inlineStr">
        <is>
          <t>intra_cluster_transition</t>
        </is>
      </c>
      <c r="H716" s="16" t="inlineStr">
        <is>
          <t>advising, designing, machinery</t>
        </is>
      </c>
      <c r="I716" s="16" t="inlineStr">
        <is>
          <t>동일 직군 내 고급 도메인 지식</t>
        </is>
      </c>
      <c r="J716" s="16" t="inlineStr">
        <is>
          <t>직무 순환 및 실무 1~2년</t>
        </is>
      </c>
      <c r="K716" s="15" t="inlineStr">
        <is>
          <t>★★☆☆☆</t>
        </is>
      </c>
      <c r="L716" s="20" t="inlineStr">
        <is>
          <t>+12.5%</t>
        </is>
      </c>
    </row>
    <row r="717">
      <c r="A717" s="17" t="inlineStr">
        <is>
          <t>TR-0716</t>
        </is>
      </c>
      <c r="B717" s="17" t="inlineStr">
        <is>
          <t>2144</t>
        </is>
      </c>
      <c r="C717" s="18" t="inlineStr">
        <is>
          <t>Mechanical Engineers</t>
        </is>
      </c>
      <c r="D717" s="17" t="inlineStr">
        <is>
          <t>2145</t>
        </is>
      </c>
      <c r="E717" s="18" t="inlineStr">
        <is>
          <t>Chemical Engineers</t>
        </is>
      </c>
      <c r="F717" s="18" t="inlineStr">
        <is>
          <t>반도체 / 전자회로 / 하드웨어</t>
        </is>
      </c>
      <c r="G717" s="17" t="inlineStr">
        <is>
          <t>intra_cluster_transition</t>
        </is>
      </c>
      <c r="H717" s="18" t="inlineStr">
        <is>
          <t>conducting, research, advising</t>
        </is>
      </c>
      <c r="I717" s="18" t="inlineStr">
        <is>
          <t>동일 직군 내 고급 도메인 지식</t>
        </is>
      </c>
      <c r="J717" s="18" t="inlineStr">
        <is>
          <t>직무 순환 및 실무 1~2년</t>
        </is>
      </c>
      <c r="K717" s="17" t="inlineStr">
        <is>
          <t>★★☆☆☆</t>
        </is>
      </c>
      <c r="L717" s="21" t="inlineStr">
        <is>
          <t>+12.5%</t>
        </is>
      </c>
    </row>
    <row r="718">
      <c r="A718" s="15" t="inlineStr">
        <is>
          <t>TR-0717</t>
        </is>
      </c>
      <c r="B718" s="15" t="inlineStr">
        <is>
          <t>2145</t>
        </is>
      </c>
      <c r="C718" s="16" t="inlineStr">
        <is>
          <t>Chemical Engineers</t>
        </is>
      </c>
      <c r="D718" s="15" t="inlineStr">
        <is>
          <t>2146</t>
        </is>
      </c>
      <c r="E718" s="16" t="inlineStr">
        <is>
          <t>Mining Engineers, Metallurgists and Related Professionals</t>
        </is>
      </c>
      <c r="F718" s="16" t="inlineStr">
        <is>
          <t>반도체 / 전자회로 / 하드웨어</t>
        </is>
      </c>
      <c r="G718" s="15" t="inlineStr">
        <is>
          <t>intra_cluster_transition</t>
        </is>
      </c>
      <c r="H718" s="16" t="inlineStr">
        <is>
          <t>determining, location, planning</t>
        </is>
      </c>
      <c r="I718" s="16" t="inlineStr">
        <is>
          <t>동일 직군 내 고급 도메인 지식</t>
        </is>
      </c>
      <c r="J718" s="16" t="inlineStr">
        <is>
          <t>직무 순환 및 실무 1~2년</t>
        </is>
      </c>
      <c r="K718" s="15" t="inlineStr">
        <is>
          <t>★★☆☆☆</t>
        </is>
      </c>
      <c r="L718" s="20" t="inlineStr">
        <is>
          <t>+12.5%</t>
        </is>
      </c>
    </row>
    <row r="719">
      <c r="A719" s="17" t="inlineStr">
        <is>
          <t>TR-0718</t>
        </is>
      </c>
      <c r="B719" s="17" t="inlineStr">
        <is>
          <t>2146</t>
        </is>
      </c>
      <c r="C719" s="18" t="inlineStr">
        <is>
          <t>Mining Engineers, Metallurgists and Related Professionals</t>
        </is>
      </c>
      <c r="D719" s="17" t="inlineStr">
        <is>
          <t>2149</t>
        </is>
      </c>
      <c r="E719" s="18" t="inlineStr">
        <is>
          <t>Engineering Professionals Not Elsewhere Classified</t>
        </is>
      </c>
      <c r="F719" s="18" t="inlineStr">
        <is>
          <t>반도체 / 전자회로 / 하드웨어</t>
        </is>
      </c>
      <c r="G719" s="17" t="inlineStr">
        <is>
          <t>intra_cluster_transition</t>
        </is>
      </c>
      <c r="H719" s="18" t="inlineStr">
        <is>
          <t>such, cases, would</t>
        </is>
      </c>
      <c r="I719" s="18" t="inlineStr">
        <is>
          <t>동일 직군 내 고급 도메인 지식</t>
        </is>
      </c>
      <c r="J719" s="18" t="inlineStr">
        <is>
          <t>직무 순환 및 실무 1~2년</t>
        </is>
      </c>
      <c r="K719" s="17" t="inlineStr">
        <is>
          <t>★★☆☆☆</t>
        </is>
      </c>
      <c r="L719" s="21" t="inlineStr">
        <is>
          <t>+12.5%</t>
        </is>
      </c>
    </row>
    <row r="720">
      <c r="A720" s="15" t="inlineStr">
        <is>
          <t>TR-0719</t>
        </is>
      </c>
      <c r="B720" s="15" t="inlineStr">
        <is>
          <t>2162</t>
        </is>
      </c>
      <c r="C720" s="16" t="inlineStr">
        <is>
          <t>Landscape Architects</t>
        </is>
      </c>
      <c r="D720" s="15" t="inlineStr">
        <is>
          <t>2163</t>
        </is>
      </c>
      <c r="E720" s="16" t="inlineStr">
        <is>
          <t>Product and Garment Designers</t>
        </is>
      </c>
      <c r="F720" s="16" t="inlineStr">
        <is>
          <t>반도체 / 전자회로 / 하드웨어</t>
        </is>
      </c>
      <c r="G720" s="15" t="inlineStr">
        <is>
          <t>intra_cluster_transition</t>
        </is>
      </c>
      <c r="H720" s="16" t="inlineStr">
        <is>
          <t>determining, objectives, constraints</t>
        </is>
      </c>
      <c r="I720" s="16" t="inlineStr">
        <is>
          <t>동일 직군 내 고급 도메인 지식</t>
        </is>
      </c>
      <c r="J720" s="16" t="inlineStr">
        <is>
          <t>직무 순환 및 실무 1~2년</t>
        </is>
      </c>
      <c r="K720" s="15" t="inlineStr">
        <is>
          <t>★★☆☆☆</t>
        </is>
      </c>
      <c r="L720" s="20" t="inlineStr">
        <is>
          <t>+12.5%</t>
        </is>
      </c>
    </row>
    <row r="721">
      <c r="A721" s="17" t="inlineStr">
        <is>
          <t>TR-0720</t>
        </is>
      </c>
      <c r="B721" s="17" t="inlineStr">
        <is>
          <t>2163</t>
        </is>
      </c>
      <c r="C721" s="18" t="inlineStr">
        <is>
          <t>Product and Garment Designers</t>
        </is>
      </c>
      <c r="D721" s="17" t="inlineStr">
        <is>
          <t>2164</t>
        </is>
      </c>
      <c r="E721" s="18" t="inlineStr">
        <is>
          <t>Town and Traffic Planners</t>
        </is>
      </c>
      <c r="F721" s="18" t="inlineStr">
        <is>
          <t>반도체 / 전자회로 / 하드웨어</t>
        </is>
      </c>
      <c r="G721" s="17" t="inlineStr">
        <is>
          <t>intra_cluster_transition</t>
        </is>
      </c>
      <c r="H721" s="18" t="inlineStr">
        <is>
          <t>planning, layout, coordinating</t>
        </is>
      </c>
      <c r="I721" s="18" t="inlineStr">
        <is>
          <t>동일 직군 내 고급 도메인 지식</t>
        </is>
      </c>
      <c r="J721" s="18" t="inlineStr">
        <is>
          <t>직무 순환 및 실무 1~2년</t>
        </is>
      </c>
      <c r="K721" s="17" t="inlineStr">
        <is>
          <t>★★☆☆☆</t>
        </is>
      </c>
      <c r="L721" s="21" t="inlineStr">
        <is>
          <t>+12.5%</t>
        </is>
      </c>
    </row>
    <row r="722">
      <c r="A722" s="15" t="inlineStr">
        <is>
          <t>TR-0721</t>
        </is>
      </c>
      <c r="B722" s="15" t="inlineStr">
        <is>
          <t>2164</t>
        </is>
      </c>
      <c r="C722" s="16" t="inlineStr">
        <is>
          <t>Town and Traffic Planners</t>
        </is>
      </c>
      <c r="D722" s="15" t="inlineStr">
        <is>
          <t>2165</t>
        </is>
      </c>
      <c r="E722" s="16" t="inlineStr">
        <is>
          <t>Cartographers and Surveyors</t>
        </is>
      </c>
      <c r="F722" s="16" t="inlineStr">
        <is>
          <t>반도체 / 전자회로 / 하드웨어</t>
        </is>
      </c>
      <c r="G722" s="15" t="inlineStr">
        <is>
          <t>intra_cluster_transition</t>
        </is>
      </c>
      <c r="H722" s="16" t="inlineStr">
        <is>
          <t>surveying, measuring, describing</t>
        </is>
      </c>
      <c r="I722" s="16" t="inlineStr">
        <is>
          <t>동일 직군 내 고급 도메인 지식</t>
        </is>
      </c>
      <c r="J722" s="16" t="inlineStr">
        <is>
          <t>직무 순환 및 실무 1~2년</t>
        </is>
      </c>
      <c r="K722" s="15" t="inlineStr">
        <is>
          <t>★★☆☆☆</t>
        </is>
      </c>
      <c r="L722" s="20" t="inlineStr">
        <is>
          <t>+12.5%</t>
        </is>
      </c>
    </row>
    <row r="723">
      <c r="A723" s="17" t="inlineStr">
        <is>
          <t>TR-0722</t>
        </is>
      </c>
      <c r="B723" s="17" t="inlineStr">
        <is>
          <t>2165</t>
        </is>
      </c>
      <c r="C723" s="18" t="inlineStr">
        <is>
          <t>Cartographers and Surveyors</t>
        </is>
      </c>
      <c r="D723" s="17" t="inlineStr">
        <is>
          <t>2166</t>
        </is>
      </c>
      <c r="E723" s="18" t="inlineStr">
        <is>
          <t>Graphic and Multimedia Designers</t>
        </is>
      </c>
      <c r="F723" s="18" t="inlineStr">
        <is>
          <t>반도체 / 전자회로 / 하드웨어</t>
        </is>
      </c>
      <c r="G723" s="17" t="inlineStr">
        <is>
          <t>intra_cluster_transition</t>
        </is>
      </c>
      <c r="H723" s="18" t="inlineStr">
        <is>
          <t>determining, objectives, constraints</t>
        </is>
      </c>
      <c r="I723" s="18" t="inlineStr">
        <is>
          <t>동일 직군 내 고급 도메인 지식</t>
        </is>
      </c>
      <c r="J723" s="18" t="inlineStr">
        <is>
          <t>직무 순환 및 실무 1~2년</t>
        </is>
      </c>
      <c r="K723" s="17" t="inlineStr">
        <is>
          <t>★★☆☆☆</t>
        </is>
      </c>
      <c r="L723" s="21" t="inlineStr">
        <is>
          <t>+12.5%</t>
        </is>
      </c>
    </row>
    <row r="724">
      <c r="A724" s="15" t="inlineStr">
        <is>
          <t>TR-0723</t>
        </is>
      </c>
      <c r="B724" s="15" t="inlineStr">
        <is>
          <t>2261</t>
        </is>
      </c>
      <c r="C724" s="16" t="inlineStr">
        <is>
          <t>Dentists</t>
        </is>
      </c>
      <c r="D724" s="15" t="inlineStr">
        <is>
          <t>2262</t>
        </is>
      </c>
      <c r="E724" s="16" t="inlineStr">
        <is>
          <t>Pharmacists</t>
        </is>
      </c>
      <c r="F724" s="16" t="inlineStr">
        <is>
          <t>바이오 / 제약 / 임상헬스케어</t>
        </is>
      </c>
      <c r="G724" s="15" t="inlineStr">
        <is>
          <t>intra_cluster_transition</t>
        </is>
      </c>
      <c r="H724" s="16" t="inlineStr">
        <is>
          <t>receiving, prescriptions, medicinal</t>
        </is>
      </c>
      <c r="I724" s="16" t="inlineStr">
        <is>
          <t>동일 직군 내 고급 도메인 지식</t>
        </is>
      </c>
      <c r="J724" s="16" t="inlineStr">
        <is>
          <t>직무 순환 및 실무 1~2년</t>
        </is>
      </c>
      <c r="K724" s="15" t="inlineStr">
        <is>
          <t>★★☆☆☆</t>
        </is>
      </c>
      <c r="L724" s="20" t="inlineStr">
        <is>
          <t>+12.5%</t>
        </is>
      </c>
    </row>
    <row r="725">
      <c r="A725" s="17" t="inlineStr">
        <is>
          <t>TR-0724</t>
        </is>
      </c>
      <c r="B725" s="17" t="inlineStr">
        <is>
          <t>2262</t>
        </is>
      </c>
      <c r="C725" s="18" t="inlineStr">
        <is>
          <t>Pharmacists</t>
        </is>
      </c>
      <c r="D725" s="17" t="inlineStr">
        <is>
          <t>2263</t>
        </is>
      </c>
      <c r="E725" s="18" t="inlineStr">
        <is>
          <t>Environmental and Occupational Health and Hygiene Professionals</t>
        </is>
      </c>
      <c r="F725" s="18" t="inlineStr">
        <is>
          <t>바이오 / 제약 / 임상헬스케어</t>
        </is>
      </c>
      <c r="G725" s="17" t="inlineStr">
        <is>
          <t>intra_cluster_transition</t>
        </is>
      </c>
      <c r="H725" s="18" t="inlineStr">
        <is>
          <t>developing, implementing, reviewing</t>
        </is>
      </c>
      <c r="I725" s="18" t="inlineStr">
        <is>
          <t>동일 직군 내 고급 도메인 지식</t>
        </is>
      </c>
      <c r="J725" s="18" t="inlineStr">
        <is>
          <t>직무 순환 및 실무 1~2년</t>
        </is>
      </c>
      <c r="K725" s="17" t="inlineStr">
        <is>
          <t>★★☆☆☆</t>
        </is>
      </c>
      <c r="L725" s="21" t="inlineStr">
        <is>
          <t>+12.5%</t>
        </is>
      </c>
    </row>
    <row r="726">
      <c r="A726" s="15" t="inlineStr">
        <is>
          <t>TR-0725</t>
        </is>
      </c>
      <c r="B726" s="15" t="inlineStr">
        <is>
          <t>2263</t>
        </is>
      </c>
      <c r="C726" s="16" t="inlineStr">
        <is>
          <t>Environmental and Occupational Health and Hygiene Professionals</t>
        </is>
      </c>
      <c r="D726" s="15" t="inlineStr">
        <is>
          <t>2264</t>
        </is>
      </c>
      <c r="E726" s="16" t="inlineStr">
        <is>
          <t>Physiotherapists</t>
        </is>
      </c>
      <c r="F726" s="16" t="inlineStr">
        <is>
          <t>바이오 / 제약 / 임상헬스케어</t>
        </is>
      </c>
      <c r="G726" s="15" t="inlineStr">
        <is>
          <t>intra_cluster_transition</t>
        </is>
      </c>
      <c r="H726" s="16" t="inlineStr">
        <is>
          <t>administering, muscle, nerve</t>
        </is>
      </c>
      <c r="I726" s="16" t="inlineStr">
        <is>
          <t>동일 직군 내 고급 도메인 지식</t>
        </is>
      </c>
      <c r="J726" s="16" t="inlineStr">
        <is>
          <t>직무 순환 및 실무 1~2년</t>
        </is>
      </c>
      <c r="K726" s="15" t="inlineStr">
        <is>
          <t>★★☆☆☆</t>
        </is>
      </c>
      <c r="L726" s="20" t="inlineStr">
        <is>
          <t>+12.5%</t>
        </is>
      </c>
    </row>
    <row r="727">
      <c r="A727" s="17" t="inlineStr">
        <is>
          <t>TR-0726</t>
        </is>
      </c>
      <c r="B727" s="17" t="inlineStr">
        <is>
          <t>2264</t>
        </is>
      </c>
      <c r="C727" s="18" t="inlineStr">
        <is>
          <t>Physiotherapists</t>
        </is>
      </c>
      <c r="D727" s="17" t="inlineStr">
        <is>
          <t>2265</t>
        </is>
      </c>
      <c r="E727" s="18" t="inlineStr">
        <is>
          <t>Dieticians and Nutritionists</t>
        </is>
      </c>
      <c r="F727" s="18" t="inlineStr">
        <is>
          <t>바이오 / 제약 / 임상헬스케어</t>
        </is>
      </c>
      <c r="G727" s="17" t="inlineStr">
        <is>
          <t>intra_cluster_transition</t>
        </is>
      </c>
      <c r="H727" s="18" t="inlineStr">
        <is>
          <t>instructing, individuals, families</t>
        </is>
      </c>
      <c r="I727" s="18" t="inlineStr">
        <is>
          <t>동일 직군 내 고급 도메인 지식</t>
        </is>
      </c>
      <c r="J727" s="18" t="inlineStr">
        <is>
          <t>직무 순환 및 실무 1~2년</t>
        </is>
      </c>
      <c r="K727" s="17" t="inlineStr">
        <is>
          <t>★★☆☆☆</t>
        </is>
      </c>
      <c r="L727" s="21" t="inlineStr">
        <is>
          <t>+12.5%</t>
        </is>
      </c>
    </row>
    <row r="728">
      <c r="A728" s="15" t="inlineStr">
        <is>
          <t>TR-0727</t>
        </is>
      </c>
      <c r="B728" s="15" t="inlineStr">
        <is>
          <t>2265</t>
        </is>
      </c>
      <c r="C728" s="16" t="inlineStr">
        <is>
          <t>Dieticians and Nutritionists</t>
        </is>
      </c>
      <c r="D728" s="15" t="inlineStr">
        <is>
          <t>2266</t>
        </is>
      </c>
      <c r="E728" s="16" t="inlineStr">
        <is>
          <t>Audiologists and Speech Therapists</t>
        </is>
      </c>
      <c r="F728" s="16" t="inlineStr">
        <is>
          <t>바이오 / 제약 / 임상헬스케어</t>
        </is>
      </c>
      <c r="G728" s="15" t="inlineStr">
        <is>
          <t>intra_cluster_transition</t>
        </is>
      </c>
      <c r="H728" s="16" t="inlineStr">
        <is>
          <t>evaluating, hearing, speech</t>
        </is>
      </c>
      <c r="I728" s="16" t="inlineStr">
        <is>
          <t>동일 직군 내 고급 도메인 지식</t>
        </is>
      </c>
      <c r="J728" s="16" t="inlineStr">
        <is>
          <t>직무 순환 및 실무 1~2년</t>
        </is>
      </c>
      <c r="K728" s="15" t="inlineStr">
        <is>
          <t>★★☆☆☆</t>
        </is>
      </c>
      <c r="L728" s="20" t="inlineStr">
        <is>
          <t>+12.5%</t>
        </is>
      </c>
    </row>
    <row r="729">
      <c r="A729" s="17" t="inlineStr">
        <is>
          <t>TR-0728</t>
        </is>
      </c>
      <c r="B729" s="17" t="inlineStr">
        <is>
          <t>2266</t>
        </is>
      </c>
      <c r="C729" s="18" t="inlineStr">
        <is>
          <t>Audiologists and Speech Therapists</t>
        </is>
      </c>
      <c r="D729" s="17" t="inlineStr">
        <is>
          <t>2267</t>
        </is>
      </c>
      <c r="E729" s="18" t="inlineStr">
        <is>
          <t>Optometrists and Ophthalmic Opticians</t>
        </is>
      </c>
      <c r="F729" s="18" t="inlineStr">
        <is>
          <t>바이오 / 제약 / 임상헬스케어</t>
        </is>
      </c>
      <c r="G729" s="17" t="inlineStr">
        <is>
          <t>intra_cluster_transition</t>
        </is>
      </c>
      <c r="H729" s="18" t="inlineStr">
        <is>
          <t>examining, patients, eyes</t>
        </is>
      </c>
      <c r="I729" s="18" t="inlineStr">
        <is>
          <t>동일 직군 내 고급 도메인 지식</t>
        </is>
      </c>
      <c r="J729" s="18" t="inlineStr">
        <is>
          <t>직무 순환 및 실무 1~2년</t>
        </is>
      </c>
      <c r="K729" s="17" t="inlineStr">
        <is>
          <t>★★☆☆☆</t>
        </is>
      </c>
      <c r="L729" s="21" t="inlineStr">
        <is>
          <t>+12.5%</t>
        </is>
      </c>
    </row>
    <row r="730">
      <c r="A730" s="15" t="inlineStr">
        <is>
          <t>TR-0729</t>
        </is>
      </c>
      <c r="B730" s="15" t="inlineStr">
        <is>
          <t>2267</t>
        </is>
      </c>
      <c r="C730" s="16" t="inlineStr">
        <is>
          <t>Optometrists and Ophthalmic Opticians</t>
        </is>
      </c>
      <c r="D730" s="15" t="inlineStr">
        <is>
          <t>2269</t>
        </is>
      </c>
      <c r="E730" s="16" t="inlineStr">
        <is>
          <t>Health Professionals Not Elsewhere Classified</t>
        </is>
      </c>
      <c r="F730" s="16" t="inlineStr">
        <is>
          <t>바이오 / 제약 / 임상헬스케어</t>
        </is>
      </c>
      <c r="G730" s="15" t="inlineStr">
        <is>
          <t>intra_cluster_transition</t>
        </is>
      </c>
      <c r="H730" s="16" t="inlineStr">
        <is>
          <t>such, cases, would</t>
        </is>
      </c>
      <c r="I730" s="16" t="inlineStr">
        <is>
          <t>동일 직군 내 고급 도메인 지식</t>
        </is>
      </c>
      <c r="J730" s="16" t="inlineStr">
        <is>
          <t>직무 순환 및 실무 1~2년</t>
        </is>
      </c>
      <c r="K730" s="15" t="inlineStr">
        <is>
          <t>★★☆☆☆</t>
        </is>
      </c>
      <c r="L730" s="20" t="inlineStr">
        <is>
          <t>+12.5%</t>
        </is>
      </c>
    </row>
    <row r="731">
      <c r="A731" s="17" t="inlineStr">
        <is>
          <t>TR-0730</t>
        </is>
      </c>
      <c r="B731" s="17" t="inlineStr">
        <is>
          <t>2341</t>
        </is>
      </c>
      <c r="C731" s="18" t="inlineStr">
        <is>
          <t>Primary School Teachers</t>
        </is>
      </c>
      <c r="D731" s="17" t="inlineStr">
        <is>
          <t>2342</t>
        </is>
      </c>
      <c r="E731" s="18" t="inlineStr">
        <is>
          <t>Early Childhood Educators</t>
        </is>
      </c>
      <c r="F731" s="18" t="inlineStr">
        <is>
          <t>경영전략 / 인사 / 사업개발</t>
        </is>
      </c>
      <c r="G731" s="17" t="inlineStr">
        <is>
          <t>intra_cluster_transition</t>
        </is>
      </c>
      <c r="H731" s="18" t="inlineStr">
        <is>
          <t>planning, organizing, individual</t>
        </is>
      </c>
      <c r="I731" s="18" t="inlineStr">
        <is>
          <t>동일 직군 내 고급 도메인 지식</t>
        </is>
      </c>
      <c r="J731" s="18" t="inlineStr">
        <is>
          <t>직무 순환 및 실무 1~2년</t>
        </is>
      </c>
      <c r="K731" s="17" t="inlineStr">
        <is>
          <t>★★☆☆☆</t>
        </is>
      </c>
      <c r="L731" s="21" t="inlineStr">
        <is>
          <t>+12.5%</t>
        </is>
      </c>
    </row>
    <row r="732">
      <c r="A732" s="15" t="inlineStr">
        <is>
          <t>TR-0731</t>
        </is>
      </c>
      <c r="B732" s="15" t="inlineStr">
        <is>
          <t>2351</t>
        </is>
      </c>
      <c r="C732" s="16" t="inlineStr">
        <is>
          <t>Education Methods Specialists</t>
        </is>
      </c>
      <c r="D732" s="15" t="inlineStr">
        <is>
          <t>2352</t>
        </is>
      </c>
      <c r="E732" s="16" t="inlineStr">
        <is>
          <t>Special Needs Teachers</t>
        </is>
      </c>
      <c r="F732" s="16" t="inlineStr">
        <is>
          <t>경영전략 / 인사 / 사업개발</t>
        </is>
      </c>
      <c r="G732" s="15" t="inlineStr">
        <is>
          <t>intra_cluster_transition</t>
        </is>
      </c>
      <c r="H732" s="16" t="inlineStr">
        <is>
          <t>assessing, students, abilities</t>
        </is>
      </c>
      <c r="I732" s="16" t="inlineStr">
        <is>
          <t>동일 직군 내 고급 도메인 지식</t>
        </is>
      </c>
      <c r="J732" s="16" t="inlineStr">
        <is>
          <t>직무 순환 및 실무 1~2년</t>
        </is>
      </c>
      <c r="K732" s="15" t="inlineStr">
        <is>
          <t>★★☆☆☆</t>
        </is>
      </c>
      <c r="L732" s="20" t="inlineStr">
        <is>
          <t>+12.5%</t>
        </is>
      </c>
    </row>
    <row r="733">
      <c r="A733" s="17" t="inlineStr">
        <is>
          <t>TR-0732</t>
        </is>
      </c>
      <c r="B733" s="17" t="inlineStr">
        <is>
          <t>2352</t>
        </is>
      </c>
      <c r="C733" s="18" t="inlineStr">
        <is>
          <t>Special Needs Teachers</t>
        </is>
      </c>
      <c r="D733" s="17" t="inlineStr">
        <is>
          <t>2353</t>
        </is>
      </c>
      <c r="E733" s="18" t="inlineStr">
        <is>
          <t>Other Language Teachers</t>
        </is>
      </c>
      <c r="F733" s="18" t="inlineStr">
        <is>
          <t>경영전략 / 인사 / 사업개발</t>
        </is>
      </c>
      <c r="G733" s="17" t="inlineStr">
        <is>
          <t>intra_cluster_transition</t>
        </is>
      </c>
      <c r="H733" s="18" t="inlineStr">
        <is>
          <t>assessing, level, ability</t>
        </is>
      </c>
      <c r="I733" s="18" t="inlineStr">
        <is>
          <t>동일 직군 내 고급 도메인 지식</t>
        </is>
      </c>
      <c r="J733" s="18" t="inlineStr">
        <is>
          <t>직무 순환 및 실무 1~2년</t>
        </is>
      </c>
      <c r="K733" s="17" t="inlineStr">
        <is>
          <t>★★☆☆☆</t>
        </is>
      </c>
      <c r="L733" s="21" t="inlineStr">
        <is>
          <t>+12.5%</t>
        </is>
      </c>
    </row>
    <row r="734">
      <c r="A734" s="15" t="inlineStr">
        <is>
          <t>TR-0733</t>
        </is>
      </c>
      <c r="B734" s="15" t="inlineStr">
        <is>
          <t>2353</t>
        </is>
      </c>
      <c r="C734" s="16" t="inlineStr">
        <is>
          <t>Other Language Teachers</t>
        </is>
      </c>
      <c r="D734" s="15" t="inlineStr">
        <is>
          <t>2354</t>
        </is>
      </c>
      <c r="E734" s="16" t="inlineStr">
        <is>
          <t>Other Music Teachers</t>
        </is>
      </c>
      <c r="F734" s="16" t="inlineStr">
        <is>
          <t>경영전략 / 인사 / 사업개발</t>
        </is>
      </c>
      <c r="G734" s="15" t="inlineStr">
        <is>
          <t>intra_cluster_transition</t>
        </is>
      </c>
      <c r="H734" s="16" t="inlineStr">
        <is>
          <t>assessing, students, level</t>
        </is>
      </c>
      <c r="I734" s="16" t="inlineStr">
        <is>
          <t>동일 직군 내 고급 도메인 지식</t>
        </is>
      </c>
      <c r="J734" s="16" t="inlineStr">
        <is>
          <t>직무 순환 및 실무 1~2년</t>
        </is>
      </c>
      <c r="K734" s="15" t="inlineStr">
        <is>
          <t>★★☆☆☆</t>
        </is>
      </c>
      <c r="L734" s="20" t="inlineStr">
        <is>
          <t>+12.5%</t>
        </is>
      </c>
    </row>
    <row r="735">
      <c r="A735" s="17" t="inlineStr">
        <is>
          <t>TR-0734</t>
        </is>
      </c>
      <c r="B735" s="17" t="inlineStr">
        <is>
          <t>2354</t>
        </is>
      </c>
      <c r="C735" s="18" t="inlineStr">
        <is>
          <t>Other Music Teachers</t>
        </is>
      </c>
      <c r="D735" s="17" t="inlineStr">
        <is>
          <t>2355</t>
        </is>
      </c>
      <c r="E735" s="18" t="inlineStr">
        <is>
          <t>Other Arts Teachers</t>
        </is>
      </c>
      <c r="F735" s="18" t="inlineStr">
        <is>
          <t>경영전략 / 인사 / 사업개발</t>
        </is>
      </c>
      <c r="G735" s="17" t="inlineStr">
        <is>
          <t>intra_cluster_transition</t>
        </is>
      </c>
      <c r="H735" s="18" t="inlineStr">
        <is>
          <t>assessing, students, level</t>
        </is>
      </c>
      <c r="I735" s="18" t="inlineStr">
        <is>
          <t>동일 직군 내 고급 도메인 지식</t>
        </is>
      </c>
      <c r="J735" s="18" t="inlineStr">
        <is>
          <t>직무 순환 및 실무 1~2년</t>
        </is>
      </c>
      <c r="K735" s="17" t="inlineStr">
        <is>
          <t>★★☆☆☆</t>
        </is>
      </c>
      <c r="L735" s="21" t="inlineStr">
        <is>
          <t>+12.5%</t>
        </is>
      </c>
    </row>
    <row r="736">
      <c r="A736" s="15" t="inlineStr">
        <is>
          <t>TR-0735</t>
        </is>
      </c>
      <c r="B736" s="15" t="inlineStr">
        <is>
          <t>2355</t>
        </is>
      </c>
      <c r="C736" s="16" t="inlineStr">
        <is>
          <t>Other Arts Teachers</t>
        </is>
      </c>
      <c r="D736" s="15" t="inlineStr">
        <is>
          <t>2356</t>
        </is>
      </c>
      <c r="E736" s="16" t="inlineStr">
        <is>
          <t>Information Technology Trainers</t>
        </is>
      </c>
      <c r="F736" s="16" t="inlineStr">
        <is>
          <t>경영전략 / 인사 / 사업개발</t>
        </is>
      </c>
      <c r="G736" s="15" t="inlineStr">
        <is>
          <t>intra_cluster_transition</t>
        </is>
      </c>
      <c r="H736" s="16" t="inlineStr">
        <is>
          <t>identifying, information, technology</t>
        </is>
      </c>
      <c r="I736" s="16" t="inlineStr">
        <is>
          <t>동일 직군 내 고급 도메인 지식</t>
        </is>
      </c>
      <c r="J736" s="16" t="inlineStr">
        <is>
          <t>직무 순환 및 실무 1~2년</t>
        </is>
      </c>
      <c r="K736" s="15" t="inlineStr">
        <is>
          <t>★★☆☆☆</t>
        </is>
      </c>
      <c r="L736" s="20" t="inlineStr">
        <is>
          <t>+12.5%</t>
        </is>
      </c>
    </row>
    <row r="737">
      <c r="A737" s="17" t="inlineStr">
        <is>
          <t>TR-0736</t>
        </is>
      </c>
      <c r="B737" s="17" t="inlineStr">
        <is>
          <t>2356</t>
        </is>
      </c>
      <c r="C737" s="18" t="inlineStr">
        <is>
          <t>Information Technology Trainers</t>
        </is>
      </c>
      <c r="D737" s="17" t="inlineStr">
        <is>
          <t>2359</t>
        </is>
      </c>
      <c r="E737" s="18" t="inlineStr">
        <is>
          <t>Teaching Professionals Not Elsewhere Classified</t>
        </is>
      </c>
      <c r="F737" s="18" t="inlineStr">
        <is>
          <t>경영전략 / 인사 / 사업개발</t>
        </is>
      </c>
      <c r="G737" s="17" t="inlineStr">
        <is>
          <t>intra_cluster_transition</t>
        </is>
      </c>
      <c r="H737" s="18" t="inlineStr">
        <is>
          <t>such, cases, performed</t>
        </is>
      </c>
      <c r="I737" s="18" t="inlineStr">
        <is>
          <t>동일 직군 내 고급 도메인 지식</t>
        </is>
      </c>
      <c r="J737" s="18" t="inlineStr">
        <is>
          <t>직무 순환 및 실무 1~2년</t>
        </is>
      </c>
      <c r="K737" s="17" t="inlineStr">
        <is>
          <t>★★☆☆☆</t>
        </is>
      </c>
      <c r="L737" s="21" t="inlineStr">
        <is>
          <t>+12.5%</t>
        </is>
      </c>
    </row>
    <row r="738">
      <c r="A738" s="15" t="inlineStr">
        <is>
          <t>TR-0737</t>
        </is>
      </c>
      <c r="B738" s="15" t="inlineStr">
        <is>
          <t>2411</t>
        </is>
      </c>
      <c r="C738" s="16" t="inlineStr">
        <is>
          <t>Accountants</t>
        </is>
      </c>
      <c r="D738" s="15" t="inlineStr">
        <is>
          <t>2412</t>
        </is>
      </c>
      <c r="E738" s="16" t="inlineStr">
        <is>
          <t>Financial and Investment Advisers</t>
        </is>
      </c>
      <c r="F738" s="16" t="inlineStr">
        <is>
          <t>금융투자 / 핀테크 / 리스크</t>
        </is>
      </c>
      <c r="G738" s="15" t="inlineStr">
        <is>
          <t>intra_cluster_transition</t>
        </is>
      </c>
      <c r="H738" s="16" t="inlineStr">
        <is>
          <t>building, maintaining, client</t>
        </is>
      </c>
      <c r="I738" s="16" t="inlineStr">
        <is>
          <t>동일 직군 내 고급 도메인 지식</t>
        </is>
      </c>
      <c r="J738" s="16" t="inlineStr">
        <is>
          <t>직무 순환 및 실무 1~2년</t>
        </is>
      </c>
      <c r="K738" s="15" t="inlineStr">
        <is>
          <t>★★☆☆☆</t>
        </is>
      </c>
      <c r="L738" s="20" t="inlineStr">
        <is>
          <t>+12.5%</t>
        </is>
      </c>
    </row>
    <row r="739">
      <c r="A739" s="17" t="inlineStr">
        <is>
          <t>TR-0738</t>
        </is>
      </c>
      <c r="B739" s="17" t="inlineStr">
        <is>
          <t>2412</t>
        </is>
      </c>
      <c r="C739" s="18" t="inlineStr">
        <is>
          <t>Financial and Investment Advisers</t>
        </is>
      </c>
      <c r="D739" s="17" t="inlineStr">
        <is>
          <t>2413</t>
        </is>
      </c>
      <c r="E739" s="18" t="inlineStr">
        <is>
          <t>Financial Analysts</t>
        </is>
      </c>
      <c r="F739" s="18" t="inlineStr">
        <is>
          <t>금융투자 / 핀테크 / 리스크</t>
        </is>
      </c>
      <c r="G739" s="17" t="inlineStr">
        <is>
          <t>intra_cluster_transition</t>
        </is>
      </c>
      <c r="H739" s="18" t="inlineStr">
        <is>
          <t>analysing, financial, information</t>
        </is>
      </c>
      <c r="I739" s="18" t="inlineStr">
        <is>
          <t>동일 직군 내 고급 도메인 지식</t>
        </is>
      </c>
      <c r="J739" s="18" t="inlineStr">
        <is>
          <t>직무 순환 및 실무 1~2년</t>
        </is>
      </c>
      <c r="K739" s="17" t="inlineStr">
        <is>
          <t>★★☆☆☆</t>
        </is>
      </c>
      <c r="L739" s="21" t="inlineStr">
        <is>
          <t>+12.5%</t>
        </is>
      </c>
    </row>
    <row r="740">
      <c r="A740" s="15" t="inlineStr">
        <is>
          <t>TR-0739</t>
        </is>
      </c>
      <c r="B740" s="15" t="inlineStr">
        <is>
          <t>2421</t>
        </is>
      </c>
      <c r="C740" s="16" t="inlineStr">
        <is>
          <t>Management and Organization Analysts</t>
        </is>
      </c>
      <c r="D740" s="15" t="inlineStr">
        <is>
          <t>2422</t>
        </is>
      </c>
      <c r="E740" s="16" t="inlineStr">
        <is>
          <t>Policy Administration Professionals</t>
        </is>
      </c>
      <c r="F740" s="16" t="inlineStr">
        <is>
          <t>금융투자 / 핀테크 / 리스크</t>
        </is>
      </c>
      <c r="G740" s="15" t="inlineStr">
        <is>
          <t>intra_cluster_transition</t>
        </is>
      </c>
      <c r="H740" s="16" t="inlineStr">
        <is>
          <t>liaising, consulting, with</t>
        </is>
      </c>
      <c r="I740" s="16" t="inlineStr">
        <is>
          <t>동일 직군 내 고급 도메인 지식</t>
        </is>
      </c>
      <c r="J740" s="16" t="inlineStr">
        <is>
          <t>직무 순환 및 실무 1~2년</t>
        </is>
      </c>
      <c r="K740" s="15" t="inlineStr">
        <is>
          <t>★★☆☆☆</t>
        </is>
      </c>
      <c r="L740" s="20" t="inlineStr">
        <is>
          <t>+12.5%</t>
        </is>
      </c>
    </row>
    <row r="741">
      <c r="A741" s="17" t="inlineStr">
        <is>
          <t>TR-0740</t>
        </is>
      </c>
      <c r="B741" s="17" t="inlineStr">
        <is>
          <t>2422</t>
        </is>
      </c>
      <c r="C741" s="18" t="inlineStr">
        <is>
          <t>Policy Administration Professionals</t>
        </is>
      </c>
      <c r="D741" s="17" t="inlineStr">
        <is>
          <t>2423</t>
        </is>
      </c>
      <c r="E741" s="18" t="inlineStr">
        <is>
          <t>Personnel and Careers Professionals</t>
        </is>
      </c>
      <c r="F741" s="18" t="inlineStr">
        <is>
          <t>금융투자 / 핀테크 / 리스크</t>
        </is>
      </c>
      <c r="G741" s="17" t="inlineStr">
        <is>
          <t>intra_cluster_transition</t>
        </is>
      </c>
      <c r="H741" s="18" t="inlineStr">
        <is>
          <t>advising, personnel, functions</t>
        </is>
      </c>
      <c r="I741" s="18" t="inlineStr">
        <is>
          <t>동일 직군 내 고급 도메인 지식</t>
        </is>
      </c>
      <c r="J741" s="18" t="inlineStr">
        <is>
          <t>직무 순환 및 실무 1~2년</t>
        </is>
      </c>
      <c r="K741" s="17" t="inlineStr">
        <is>
          <t>★★☆☆☆</t>
        </is>
      </c>
      <c r="L741" s="21" t="inlineStr">
        <is>
          <t>+12.5%</t>
        </is>
      </c>
    </row>
    <row r="742">
      <c r="A742" s="15" t="inlineStr">
        <is>
          <t>TR-0741</t>
        </is>
      </c>
      <c r="B742" s="15" t="inlineStr">
        <is>
          <t>2423</t>
        </is>
      </c>
      <c r="C742" s="16" t="inlineStr">
        <is>
          <t>Personnel and Careers Professionals</t>
        </is>
      </c>
      <c r="D742" s="15" t="inlineStr">
        <is>
          <t>2424</t>
        </is>
      </c>
      <c r="E742" s="16" t="inlineStr">
        <is>
          <t>Training and Staff Development Professionals</t>
        </is>
      </c>
      <c r="F742" s="16" t="inlineStr">
        <is>
          <t>금융투자 / 핀테크 / 리스크</t>
        </is>
      </c>
      <c r="G742" s="15" t="inlineStr">
        <is>
          <t>intra_cluster_transition</t>
        </is>
      </c>
      <c r="H742" s="16" t="inlineStr">
        <is>
          <t>identifying, training, needs</t>
        </is>
      </c>
      <c r="I742" s="16" t="inlineStr">
        <is>
          <t>동일 직군 내 고급 도메인 지식</t>
        </is>
      </c>
      <c r="J742" s="16" t="inlineStr">
        <is>
          <t>직무 순환 및 실무 1~2년</t>
        </is>
      </c>
      <c r="K742" s="15" t="inlineStr">
        <is>
          <t>★★☆☆☆</t>
        </is>
      </c>
      <c r="L742" s="20" t="inlineStr">
        <is>
          <t>+12.5%</t>
        </is>
      </c>
    </row>
    <row r="743">
      <c r="A743" s="17" t="inlineStr">
        <is>
          <t>TR-0742</t>
        </is>
      </c>
      <c r="B743" s="17" t="inlineStr">
        <is>
          <t>2431</t>
        </is>
      </c>
      <c r="C743" s="18" t="inlineStr">
        <is>
          <t>Advertising and Marketing Professionals</t>
        </is>
      </c>
      <c r="D743" s="17" t="inlineStr">
        <is>
          <t>2432</t>
        </is>
      </c>
      <c r="E743" s="18" t="inlineStr">
        <is>
          <t>Public Relations Professionals</t>
        </is>
      </c>
      <c r="F743" s="18" t="inlineStr">
        <is>
          <t>금융투자 / 핀테크 / 리스크</t>
        </is>
      </c>
      <c r="G743" s="17" t="inlineStr">
        <is>
          <t>intra_cluster_transition</t>
        </is>
      </c>
      <c r="H743" s="18" t="inlineStr">
        <is>
          <t>planning, organizing, publicity</t>
        </is>
      </c>
      <c r="I743" s="18" t="inlineStr">
        <is>
          <t>동일 직군 내 고급 도메인 지식</t>
        </is>
      </c>
      <c r="J743" s="18" t="inlineStr">
        <is>
          <t>직무 순환 및 실무 1~2년</t>
        </is>
      </c>
      <c r="K743" s="17" t="inlineStr">
        <is>
          <t>★★☆☆☆</t>
        </is>
      </c>
      <c r="L743" s="21" t="inlineStr">
        <is>
          <t>+12.5%</t>
        </is>
      </c>
    </row>
    <row r="744">
      <c r="A744" s="15" t="inlineStr">
        <is>
          <t>TR-0743</t>
        </is>
      </c>
      <c r="B744" s="15" t="inlineStr">
        <is>
          <t>2432</t>
        </is>
      </c>
      <c r="C744" s="16" t="inlineStr">
        <is>
          <t>Public Relations Professionals</t>
        </is>
      </c>
      <c r="D744" s="15" t="inlineStr">
        <is>
          <t>2433</t>
        </is>
      </c>
      <c r="E744" s="16" t="inlineStr">
        <is>
          <t>Technical and Medical Sales Professionals (excluding ICT)</t>
        </is>
      </c>
      <c r="F744" s="16" t="inlineStr">
        <is>
          <t>금융투자 / 핀테크 / 리스크</t>
        </is>
      </c>
      <c r="G744" s="15" t="inlineStr">
        <is>
          <t>intra_cluster_transition</t>
        </is>
      </c>
      <c r="H744" s="16" t="inlineStr">
        <is>
          <t>compiling, lists, prospective</t>
        </is>
      </c>
      <c r="I744" s="16" t="inlineStr">
        <is>
          <t>동일 직군 내 고급 도메인 지식</t>
        </is>
      </c>
      <c r="J744" s="16" t="inlineStr">
        <is>
          <t>직무 순환 및 실무 1~2년</t>
        </is>
      </c>
      <c r="K744" s="15" t="inlineStr">
        <is>
          <t>★★☆☆☆</t>
        </is>
      </c>
      <c r="L744" s="20" t="inlineStr">
        <is>
          <t>+12.5%</t>
        </is>
      </c>
    </row>
    <row r="745">
      <c r="A745" s="17" t="inlineStr">
        <is>
          <t>TR-0744</t>
        </is>
      </c>
      <c r="B745" s="17" t="inlineStr">
        <is>
          <t>2511</t>
        </is>
      </c>
      <c r="C745" s="18" t="inlineStr">
        <is>
          <t>Systems Analysts</t>
        </is>
      </c>
      <c r="D745" s="17" t="inlineStr">
        <is>
          <t>2512</t>
        </is>
      </c>
      <c r="E745" s="18" t="inlineStr">
        <is>
          <t>Software Developers</t>
        </is>
      </c>
      <c r="F745" s="18" t="inlineStr">
        <is>
          <t>ICT / Software &amp; Data / AI</t>
        </is>
      </c>
      <c r="G745" s="17" t="inlineStr">
        <is>
          <t>intra_cluster_transition</t>
        </is>
      </c>
      <c r="H745" s="18" t="inlineStr">
        <is>
          <t>researching, analysing, evaluating</t>
        </is>
      </c>
      <c r="I745" s="18" t="inlineStr">
        <is>
          <t>동일 직군 내 고급 도메인 지식</t>
        </is>
      </c>
      <c r="J745" s="18" t="inlineStr">
        <is>
          <t>직무 순환 및 실무 1~2년</t>
        </is>
      </c>
      <c r="K745" s="17" t="inlineStr">
        <is>
          <t>★★☆☆☆</t>
        </is>
      </c>
      <c r="L745" s="21" t="inlineStr">
        <is>
          <t>+12.5%</t>
        </is>
      </c>
    </row>
    <row r="746">
      <c r="A746" s="15" t="inlineStr">
        <is>
          <t>TR-0745</t>
        </is>
      </c>
      <c r="B746" s="15" t="inlineStr">
        <is>
          <t>2512</t>
        </is>
      </c>
      <c r="C746" s="16" t="inlineStr">
        <is>
          <t>Software Developers</t>
        </is>
      </c>
      <c r="D746" s="15" t="inlineStr">
        <is>
          <t>2513</t>
        </is>
      </c>
      <c r="E746" s="16" t="inlineStr">
        <is>
          <t>Web and Multimedia Developers</t>
        </is>
      </c>
      <c r="F746" s="16" t="inlineStr">
        <is>
          <t>ICT / Software &amp; Data / AI</t>
        </is>
      </c>
      <c r="G746" s="15" t="inlineStr">
        <is>
          <t>intra_cluster_transition</t>
        </is>
      </c>
      <c r="H746" s="16" t="inlineStr">
        <is>
          <t>analysing, designing, developing</t>
        </is>
      </c>
      <c r="I746" s="16" t="inlineStr">
        <is>
          <t>동일 직군 내 고급 도메인 지식</t>
        </is>
      </c>
      <c r="J746" s="16" t="inlineStr">
        <is>
          <t>직무 순환 및 실무 1~2년</t>
        </is>
      </c>
      <c r="K746" s="15" t="inlineStr">
        <is>
          <t>★★☆☆☆</t>
        </is>
      </c>
      <c r="L746" s="20" t="inlineStr">
        <is>
          <t>+12.5%</t>
        </is>
      </c>
    </row>
    <row r="747">
      <c r="A747" s="17" t="inlineStr">
        <is>
          <t>TR-0746</t>
        </is>
      </c>
      <c r="B747" s="17" t="inlineStr">
        <is>
          <t>2513</t>
        </is>
      </c>
      <c r="C747" s="18" t="inlineStr">
        <is>
          <t>Web and Multimedia Developers</t>
        </is>
      </c>
      <c r="D747" s="17" t="inlineStr">
        <is>
          <t>2514</t>
        </is>
      </c>
      <c r="E747" s="18" t="inlineStr">
        <is>
          <t>Applications Programmers</t>
        </is>
      </c>
      <c r="F747" s="18" t="inlineStr">
        <is>
          <t>ICT / Software &amp; Data / AI</t>
        </is>
      </c>
      <c r="G747" s="17" t="inlineStr">
        <is>
          <t>intra_cluster_transition</t>
        </is>
      </c>
      <c r="H747" s="18" t="inlineStr">
        <is>
          <t>writing, maintaining, programme</t>
        </is>
      </c>
      <c r="I747" s="18" t="inlineStr">
        <is>
          <t>동일 직군 내 고급 도메인 지식</t>
        </is>
      </c>
      <c r="J747" s="18" t="inlineStr">
        <is>
          <t>직무 순환 및 실무 1~2년</t>
        </is>
      </c>
      <c r="K747" s="17" t="inlineStr">
        <is>
          <t>★★☆☆☆</t>
        </is>
      </c>
      <c r="L747" s="21" t="inlineStr">
        <is>
          <t>+12.5%</t>
        </is>
      </c>
    </row>
    <row r="748">
      <c r="A748" s="15" t="inlineStr">
        <is>
          <t>TR-0747</t>
        </is>
      </c>
      <c r="B748" s="15" t="inlineStr">
        <is>
          <t>2514</t>
        </is>
      </c>
      <c r="C748" s="16" t="inlineStr">
        <is>
          <t>Applications Programmers</t>
        </is>
      </c>
      <c r="D748" s="15" t="inlineStr">
        <is>
          <t>2519</t>
        </is>
      </c>
      <c r="E748" s="16" t="inlineStr">
        <is>
          <t>Software and Applications Developers and Analysts Not Elsewhere Classified</t>
        </is>
      </c>
      <c r="F748" s="16" t="inlineStr">
        <is>
          <t>ICT / Software &amp; Data / AI</t>
        </is>
      </c>
      <c r="G748" s="15" t="inlineStr">
        <is>
          <t>intra_cluster_transition</t>
        </is>
      </c>
      <c r="H748" s="16" t="inlineStr">
        <is>
          <t>such, cases, would</t>
        </is>
      </c>
      <c r="I748" s="16" t="inlineStr">
        <is>
          <t>동일 직군 내 고급 도메인 지식</t>
        </is>
      </c>
      <c r="J748" s="16" t="inlineStr">
        <is>
          <t>직무 순환 및 실무 1~2년</t>
        </is>
      </c>
      <c r="K748" s="15" t="inlineStr">
        <is>
          <t>★★☆☆☆</t>
        </is>
      </c>
      <c r="L748" s="20" t="inlineStr">
        <is>
          <t>+12.5%</t>
        </is>
      </c>
    </row>
    <row r="749">
      <c r="A749" s="17" t="inlineStr">
        <is>
          <t>TR-0748</t>
        </is>
      </c>
      <c r="B749" s="17" t="inlineStr">
        <is>
          <t>2523</t>
        </is>
      </c>
      <c r="C749" s="18" t="inlineStr">
        <is>
          <t>Computer Network Professionals</t>
        </is>
      </c>
      <c r="D749" s="17" t="inlineStr">
        <is>
          <t>2529</t>
        </is>
      </c>
      <c r="E749" s="18" t="inlineStr">
        <is>
          <t>Database and Network Professionals Not Elsewhere Classified</t>
        </is>
      </c>
      <c r="F749" s="18" t="inlineStr">
        <is>
          <t>ICT / Software &amp; Data / AI</t>
        </is>
      </c>
      <c r="G749" s="17" t="inlineStr">
        <is>
          <t>intra_cluster_transition</t>
        </is>
      </c>
      <c r="H749" s="18" t="inlineStr">
        <is>
          <t>such, cases, would</t>
        </is>
      </c>
      <c r="I749" s="18" t="inlineStr">
        <is>
          <t>동일 직군 내 고급 도메인 지식</t>
        </is>
      </c>
      <c r="J749" s="18" t="inlineStr">
        <is>
          <t>직무 순환 및 실무 1~2년</t>
        </is>
      </c>
      <c r="K749" s="17" t="inlineStr">
        <is>
          <t>★★☆☆☆</t>
        </is>
      </c>
      <c r="L749" s="21" t="inlineStr">
        <is>
          <t>+12.5%</t>
        </is>
      </c>
    </row>
    <row r="750">
      <c r="A750" s="15" t="inlineStr">
        <is>
          <t>TR-0749</t>
        </is>
      </c>
      <c r="B750" s="15" t="inlineStr">
        <is>
          <t>2611</t>
        </is>
      </c>
      <c r="C750" s="16" t="inlineStr">
        <is>
          <t>Lawyers</t>
        </is>
      </c>
      <c r="D750" s="15" t="inlineStr">
        <is>
          <t>2612</t>
        </is>
      </c>
      <c r="E750" s="16" t="inlineStr">
        <is>
          <t>Judges</t>
        </is>
      </c>
      <c r="F750" s="16" t="inlineStr">
        <is>
          <t>법률 / 지식재산권 / 변리</t>
        </is>
      </c>
      <c r="G750" s="15" t="inlineStr">
        <is>
          <t>intra_cluster_transition</t>
        </is>
      </c>
      <c r="H750" s="16" t="inlineStr">
        <is>
          <t>presiding, over, trials</t>
        </is>
      </c>
      <c r="I750" s="16" t="inlineStr">
        <is>
          <t>동일 직군 내 고급 도메인 지식</t>
        </is>
      </c>
      <c r="J750" s="16" t="inlineStr">
        <is>
          <t>직무 순환 및 실무 1~2년</t>
        </is>
      </c>
      <c r="K750" s="15" t="inlineStr">
        <is>
          <t>★★☆☆☆</t>
        </is>
      </c>
      <c r="L750" s="20" t="inlineStr">
        <is>
          <t>+12.5%</t>
        </is>
      </c>
    </row>
    <row r="751">
      <c r="A751" s="17" t="inlineStr">
        <is>
          <t>TR-0750</t>
        </is>
      </c>
      <c r="B751" s="17" t="inlineStr">
        <is>
          <t>2612</t>
        </is>
      </c>
      <c r="C751" s="18" t="inlineStr">
        <is>
          <t>Judges</t>
        </is>
      </c>
      <c r="D751" s="17" t="inlineStr">
        <is>
          <t>2619</t>
        </is>
      </c>
      <c r="E751" s="18" t="inlineStr">
        <is>
          <t>Legal Professionals Not Elsewhere Classified</t>
        </is>
      </c>
      <c r="F751" s="18" t="inlineStr">
        <is>
          <t>법률 / 지식재산권 / 변리</t>
        </is>
      </c>
      <c r="G751" s="17" t="inlineStr">
        <is>
          <t>intra_cluster_transition</t>
        </is>
      </c>
      <c r="H751" s="18" t="inlineStr">
        <is>
          <t>such, cases, would</t>
        </is>
      </c>
      <c r="I751" s="18" t="inlineStr">
        <is>
          <t>동일 직군 내 고급 도메인 지식</t>
        </is>
      </c>
      <c r="J751" s="18" t="inlineStr">
        <is>
          <t>직무 순환 및 실무 1~2년</t>
        </is>
      </c>
      <c r="K751" s="17" t="inlineStr">
        <is>
          <t>★★☆☆☆</t>
        </is>
      </c>
      <c r="L751" s="21" t="inlineStr">
        <is>
          <t>+12.5%</t>
        </is>
      </c>
    </row>
    <row r="752">
      <c r="A752" s="15" t="inlineStr">
        <is>
          <t>TR-0751</t>
        </is>
      </c>
      <c r="B752" s="15" t="inlineStr">
        <is>
          <t>2621</t>
        </is>
      </c>
      <c r="C752" s="16" t="inlineStr">
        <is>
          <t>Archivists and Curators</t>
        </is>
      </c>
      <c r="D752" s="15" t="inlineStr">
        <is>
          <t>2622</t>
        </is>
      </c>
      <c r="E752" s="16" t="inlineStr">
        <is>
          <t>Librarians and Related Information Professionals</t>
        </is>
      </c>
      <c r="F752" s="16" t="inlineStr">
        <is>
          <t>법률 / 지식재산권 / 변리</t>
        </is>
      </c>
      <c r="G752" s="15" t="inlineStr">
        <is>
          <t>intra_cluster_transition</t>
        </is>
      </c>
      <c r="H752" s="16" t="inlineStr">
        <is>
          <t>organizing, developing, maintaining</t>
        </is>
      </c>
      <c r="I752" s="16" t="inlineStr">
        <is>
          <t>동일 직군 내 고급 도메인 지식</t>
        </is>
      </c>
      <c r="J752" s="16" t="inlineStr">
        <is>
          <t>직무 순환 및 실무 1~2년</t>
        </is>
      </c>
      <c r="K752" s="15" t="inlineStr">
        <is>
          <t>★★☆☆☆</t>
        </is>
      </c>
      <c r="L752" s="20" t="inlineStr">
        <is>
          <t>+12.5%</t>
        </is>
      </c>
    </row>
    <row r="753">
      <c r="A753" s="17" t="inlineStr">
        <is>
          <t>TR-0752</t>
        </is>
      </c>
      <c r="B753" s="17" t="inlineStr">
        <is>
          <t>2631</t>
        </is>
      </c>
      <c r="C753" s="18" t="inlineStr">
        <is>
          <t>Economists</t>
        </is>
      </c>
      <c r="D753" s="17" t="inlineStr">
        <is>
          <t>2632</t>
        </is>
      </c>
      <c r="E753" s="18" t="inlineStr">
        <is>
          <t>Sociologists, Anthropologists and Related Professionals</t>
        </is>
      </c>
      <c r="F753" s="18" t="inlineStr">
        <is>
          <t>법률 / 지식재산권 / 변리</t>
        </is>
      </c>
      <c r="G753" s="17" t="inlineStr">
        <is>
          <t>intra_cluster_transition</t>
        </is>
      </c>
      <c r="H753" s="18" t="inlineStr">
        <is>
          <t>conducting, research, origin</t>
        </is>
      </c>
      <c r="I753" s="18" t="inlineStr">
        <is>
          <t>동일 직군 내 고급 도메인 지식</t>
        </is>
      </c>
      <c r="J753" s="18" t="inlineStr">
        <is>
          <t>직무 순환 및 실무 1~2년</t>
        </is>
      </c>
      <c r="K753" s="17" t="inlineStr">
        <is>
          <t>★★☆☆☆</t>
        </is>
      </c>
      <c r="L753" s="21" t="inlineStr">
        <is>
          <t>+12.5%</t>
        </is>
      </c>
    </row>
    <row r="754">
      <c r="A754" s="15" t="inlineStr">
        <is>
          <t>TR-0753</t>
        </is>
      </c>
      <c r="B754" s="15" t="inlineStr">
        <is>
          <t>2632</t>
        </is>
      </c>
      <c r="C754" s="16" t="inlineStr">
        <is>
          <t>Sociologists, Anthropologists and Related Professionals</t>
        </is>
      </c>
      <c r="D754" s="15" t="inlineStr">
        <is>
          <t>2633</t>
        </is>
      </c>
      <c r="E754" s="16" t="inlineStr">
        <is>
          <t>Philosophers, Historians and Political Scientists</t>
        </is>
      </c>
      <c r="F754" s="16" t="inlineStr">
        <is>
          <t>법률 / 지식재산권 / 변리</t>
        </is>
      </c>
      <c r="G754" s="15" t="inlineStr">
        <is>
          <t>intra_cluster_transition</t>
        </is>
      </c>
      <c r="H754" s="16" t="inlineStr">
        <is>
          <t>researching, mostly, reasoning</t>
        </is>
      </c>
      <c r="I754" s="16" t="inlineStr">
        <is>
          <t>동일 직군 내 고급 도메인 지식</t>
        </is>
      </c>
      <c r="J754" s="16" t="inlineStr">
        <is>
          <t>직무 순환 및 실무 1~2년</t>
        </is>
      </c>
      <c r="K754" s="15" t="inlineStr">
        <is>
          <t>★★☆☆☆</t>
        </is>
      </c>
      <c r="L754" s="20" t="inlineStr">
        <is>
          <t>+12.5%</t>
        </is>
      </c>
    </row>
    <row r="755">
      <c r="A755" s="17" t="inlineStr">
        <is>
          <t>TR-0754</t>
        </is>
      </c>
      <c r="B755" s="17" t="inlineStr">
        <is>
          <t>2633</t>
        </is>
      </c>
      <c r="C755" s="18" t="inlineStr">
        <is>
          <t>Philosophers, Historians and Political Scientists</t>
        </is>
      </c>
      <c r="D755" s="17" t="inlineStr">
        <is>
          <t>2634</t>
        </is>
      </c>
      <c r="E755" s="18" t="inlineStr">
        <is>
          <t>Psychologists</t>
        </is>
      </c>
      <c r="F755" s="18" t="inlineStr">
        <is>
          <t>법률 / 지식재산권 / 변리</t>
        </is>
      </c>
      <c r="G755" s="17" t="inlineStr">
        <is>
          <t>intra_cluster_transition</t>
        </is>
      </c>
      <c r="H755" s="18" t="inlineStr">
        <is>
          <t>planning, carrying, tests</t>
        </is>
      </c>
      <c r="I755" s="18" t="inlineStr">
        <is>
          <t>동일 직군 내 고급 도메인 지식</t>
        </is>
      </c>
      <c r="J755" s="18" t="inlineStr">
        <is>
          <t>직무 순환 및 실무 1~2년</t>
        </is>
      </c>
      <c r="K755" s="17" t="inlineStr">
        <is>
          <t>★★☆☆☆</t>
        </is>
      </c>
      <c r="L755" s="21" t="inlineStr">
        <is>
          <t>+12.5%</t>
        </is>
      </c>
    </row>
    <row r="756">
      <c r="A756" s="15" t="inlineStr">
        <is>
          <t>TR-0755</t>
        </is>
      </c>
      <c r="B756" s="15" t="inlineStr">
        <is>
          <t>2634</t>
        </is>
      </c>
      <c r="C756" s="16" t="inlineStr">
        <is>
          <t>Psychologists</t>
        </is>
      </c>
      <c r="D756" s="15" t="inlineStr">
        <is>
          <t>2635</t>
        </is>
      </c>
      <c r="E756" s="16" t="inlineStr">
        <is>
          <t>Social Work and Counselling Professionals</t>
        </is>
      </c>
      <c r="F756" s="16" t="inlineStr">
        <is>
          <t>법률 / 지식재산권 / 변리</t>
        </is>
      </c>
      <c r="G756" s="15" t="inlineStr">
        <is>
          <t>intra_cluster_transition</t>
        </is>
      </c>
      <c r="H756" s="16" t="inlineStr">
        <is>
          <t>interviewing, clients, individually</t>
        </is>
      </c>
      <c r="I756" s="16" t="inlineStr">
        <is>
          <t>동일 직군 내 고급 도메인 지식</t>
        </is>
      </c>
      <c r="J756" s="16" t="inlineStr">
        <is>
          <t>직무 순환 및 실무 1~2년</t>
        </is>
      </c>
      <c r="K756" s="15" t="inlineStr">
        <is>
          <t>★★☆☆☆</t>
        </is>
      </c>
      <c r="L756" s="20" t="inlineStr">
        <is>
          <t>+12.5%</t>
        </is>
      </c>
    </row>
    <row r="757">
      <c r="A757" s="17" t="inlineStr">
        <is>
          <t>TR-0756</t>
        </is>
      </c>
      <c r="B757" s="17" t="inlineStr">
        <is>
          <t>2635</t>
        </is>
      </c>
      <c r="C757" s="18" t="inlineStr">
        <is>
          <t>Social Work and Counselling Professionals</t>
        </is>
      </c>
      <c r="D757" s="17" t="inlineStr">
        <is>
          <t>2636</t>
        </is>
      </c>
      <c r="E757" s="18" t="inlineStr">
        <is>
          <t>Religious Professionals</t>
        </is>
      </c>
      <c r="F757" s="18" t="inlineStr">
        <is>
          <t>법률 / 지식재산권 / 변리</t>
        </is>
      </c>
      <c r="G757" s="17" t="inlineStr">
        <is>
          <t>intra_cluster_transition</t>
        </is>
      </c>
      <c r="H757" s="18" t="inlineStr">
        <is>
          <t>perpetuating, sacred, traditions</t>
        </is>
      </c>
      <c r="I757" s="18" t="inlineStr">
        <is>
          <t>동일 직군 내 고급 도메인 지식</t>
        </is>
      </c>
      <c r="J757" s="18" t="inlineStr">
        <is>
          <t>직무 순환 및 실무 1~2년</t>
        </is>
      </c>
      <c r="K757" s="17" t="inlineStr">
        <is>
          <t>★★☆☆☆</t>
        </is>
      </c>
      <c r="L757" s="21" t="inlineStr">
        <is>
          <t>+12.5%</t>
        </is>
      </c>
    </row>
    <row r="758">
      <c r="A758" s="15" t="inlineStr">
        <is>
          <t>TR-0757</t>
        </is>
      </c>
      <c r="B758" s="15" t="inlineStr">
        <is>
          <t>2642</t>
        </is>
      </c>
      <c r="C758" s="16" t="inlineStr">
        <is>
          <t>Journalists</t>
        </is>
      </c>
      <c r="D758" s="15" t="inlineStr">
        <is>
          <t>2643</t>
        </is>
      </c>
      <c r="E758" s="16" t="inlineStr">
        <is>
          <t>Translators, Interpreters and Other Linguists</t>
        </is>
      </c>
      <c r="F758" s="16" t="inlineStr">
        <is>
          <t>법률 / 지식재산권 / 변리</t>
        </is>
      </c>
      <c r="G758" s="15" t="inlineStr">
        <is>
          <t>intra_cluster_transition</t>
        </is>
      </c>
      <c r="H758" s="16" t="inlineStr">
        <is>
          <t>studying, relationships, between</t>
        </is>
      </c>
      <c r="I758" s="16" t="inlineStr">
        <is>
          <t>동일 직군 내 고급 도메인 지식</t>
        </is>
      </c>
      <c r="J758" s="16" t="inlineStr">
        <is>
          <t>직무 순환 및 실무 1~2년</t>
        </is>
      </c>
      <c r="K758" s="15" t="inlineStr">
        <is>
          <t>★★☆☆☆</t>
        </is>
      </c>
      <c r="L758" s="20" t="inlineStr">
        <is>
          <t>+12.5%</t>
        </is>
      </c>
    </row>
    <row r="759">
      <c r="A759" s="17" t="inlineStr">
        <is>
          <t>TR-0758</t>
        </is>
      </c>
      <c r="B759" s="17" t="inlineStr">
        <is>
          <t>2651</t>
        </is>
      </c>
      <c r="C759" s="18" t="inlineStr">
        <is>
          <t>Visual Artists</t>
        </is>
      </c>
      <c r="D759" s="17" t="inlineStr">
        <is>
          <t>2652</t>
        </is>
      </c>
      <c r="E759" s="18" t="inlineStr">
        <is>
          <t>Musicians, Singers and Composers</t>
        </is>
      </c>
      <c r="F759" s="18" t="inlineStr">
        <is>
          <t>법률 / 지식재산권 / 변리</t>
        </is>
      </c>
      <c r="G759" s="17" t="inlineStr">
        <is>
          <t>intra_cluster_transition</t>
        </is>
      </c>
      <c r="H759" s="18" t="inlineStr">
        <is>
          <t>creating, melodic, harmonic</t>
        </is>
      </c>
      <c r="I759" s="18" t="inlineStr">
        <is>
          <t>동일 직군 내 고급 도메인 지식</t>
        </is>
      </c>
      <c r="J759" s="18" t="inlineStr">
        <is>
          <t>직무 순환 및 실무 1~2년</t>
        </is>
      </c>
      <c r="K759" s="17" t="inlineStr">
        <is>
          <t>★★☆☆☆</t>
        </is>
      </c>
      <c r="L759" s="21" t="inlineStr">
        <is>
          <t>+12.5%</t>
        </is>
      </c>
    </row>
    <row r="760">
      <c r="A760" s="15" t="inlineStr">
        <is>
          <t>TR-0759</t>
        </is>
      </c>
      <c r="B760" s="15" t="inlineStr">
        <is>
          <t>2652</t>
        </is>
      </c>
      <c r="C760" s="16" t="inlineStr">
        <is>
          <t>Musicians, Singers and Composers</t>
        </is>
      </c>
      <c r="D760" s="15" t="inlineStr">
        <is>
          <t>2653</t>
        </is>
      </c>
      <c r="E760" s="16" t="inlineStr">
        <is>
          <t>Dancers and Choreographers</t>
        </is>
      </c>
      <c r="F760" s="16" t="inlineStr">
        <is>
          <t>법률 / 지식재산권 / 변리</t>
        </is>
      </c>
      <c r="G760" s="15" t="inlineStr">
        <is>
          <t>intra_cluster_transition</t>
        </is>
      </c>
      <c r="H760" s="16" t="inlineStr">
        <is>
          <t>conceiving, creating, dances</t>
        </is>
      </c>
      <c r="I760" s="16" t="inlineStr">
        <is>
          <t>동일 직군 내 고급 도메인 지식</t>
        </is>
      </c>
      <c r="J760" s="16" t="inlineStr">
        <is>
          <t>직무 순환 및 실무 1~2년</t>
        </is>
      </c>
      <c r="K760" s="15" t="inlineStr">
        <is>
          <t>★★☆☆☆</t>
        </is>
      </c>
      <c r="L760" s="20" t="inlineStr">
        <is>
          <t>+12.5%</t>
        </is>
      </c>
    </row>
    <row r="761">
      <c r="A761" s="17" t="inlineStr">
        <is>
          <t>TR-0760</t>
        </is>
      </c>
      <c r="B761" s="17" t="inlineStr">
        <is>
          <t>2653</t>
        </is>
      </c>
      <c r="C761" s="18" t="inlineStr">
        <is>
          <t>Dancers and Choreographers</t>
        </is>
      </c>
      <c r="D761" s="17" t="inlineStr">
        <is>
          <t>2654</t>
        </is>
      </c>
      <c r="E761" s="18" t="inlineStr">
        <is>
          <t>Film, Stage and Related Directors and Producers</t>
        </is>
      </c>
      <c r="F761" s="18" t="inlineStr">
        <is>
          <t>법률 / 지식재산권 / 변리</t>
        </is>
      </c>
      <c r="G761" s="17" t="inlineStr">
        <is>
          <t>intra_cluster_transition</t>
        </is>
      </c>
      <c r="H761" s="18" t="inlineStr">
        <is>
          <t>choosing, writers, studying</t>
        </is>
      </c>
      <c r="I761" s="18" t="inlineStr">
        <is>
          <t>동일 직군 내 고급 도메인 지식</t>
        </is>
      </c>
      <c r="J761" s="18" t="inlineStr">
        <is>
          <t>직무 순환 및 실무 1~2년</t>
        </is>
      </c>
      <c r="K761" s="17" t="inlineStr">
        <is>
          <t>★★☆☆☆</t>
        </is>
      </c>
      <c r="L761" s="21" t="inlineStr">
        <is>
          <t>+12.5%</t>
        </is>
      </c>
    </row>
    <row r="762">
      <c r="A762" s="15" t="inlineStr">
        <is>
          <t>TR-0761</t>
        </is>
      </c>
      <c r="B762" s="15" t="inlineStr">
        <is>
          <t>2654</t>
        </is>
      </c>
      <c r="C762" s="16" t="inlineStr">
        <is>
          <t>Film, Stage and Related Directors and Producers</t>
        </is>
      </c>
      <c r="D762" s="15" t="inlineStr">
        <is>
          <t>2655</t>
        </is>
      </c>
      <c r="E762" s="16" t="inlineStr">
        <is>
          <t>Actors</t>
        </is>
      </c>
      <c r="F762" s="16" t="inlineStr">
        <is>
          <t>법률 / 지식재산권 / 변리</t>
        </is>
      </c>
      <c r="G762" s="15" t="inlineStr">
        <is>
          <t>intra_cluster_transition</t>
        </is>
      </c>
      <c r="H762" s="16" t="inlineStr">
        <is>
          <t>learning, lines, cues</t>
        </is>
      </c>
      <c r="I762" s="16" t="inlineStr">
        <is>
          <t>동일 직군 내 고급 도메인 지식</t>
        </is>
      </c>
      <c r="J762" s="16" t="inlineStr">
        <is>
          <t>직무 순환 및 실무 1~2년</t>
        </is>
      </c>
      <c r="K762" s="15" t="inlineStr">
        <is>
          <t>★★☆☆☆</t>
        </is>
      </c>
      <c r="L762" s="20" t="inlineStr">
        <is>
          <t>+12.5%</t>
        </is>
      </c>
    </row>
    <row r="763">
      <c r="A763" s="17" t="inlineStr">
        <is>
          <t>TR-0762</t>
        </is>
      </c>
      <c r="B763" s="17" t="inlineStr">
        <is>
          <t>2655</t>
        </is>
      </c>
      <c r="C763" s="18" t="inlineStr">
        <is>
          <t>Actors</t>
        </is>
      </c>
      <c r="D763" s="17" t="inlineStr">
        <is>
          <t>2656</t>
        </is>
      </c>
      <c r="E763" s="18" t="inlineStr">
        <is>
          <t>Announcers on Radio, Television and Other Media</t>
        </is>
      </c>
      <c r="F763" s="18" t="inlineStr">
        <is>
          <t>법률 / 지식재산권 / 변리</t>
        </is>
      </c>
      <c r="G763" s="17" t="inlineStr">
        <is>
          <t>intra_cluster_transition</t>
        </is>
      </c>
      <c r="H763" s="18" t="inlineStr">
        <is>
          <t>reading, news, bulletins</t>
        </is>
      </c>
      <c r="I763" s="18" t="inlineStr">
        <is>
          <t>동일 직군 내 고급 도메인 지식</t>
        </is>
      </c>
      <c r="J763" s="18" t="inlineStr">
        <is>
          <t>직무 순환 및 실무 1~2년</t>
        </is>
      </c>
      <c r="K763" s="17" t="inlineStr">
        <is>
          <t>★★☆☆☆</t>
        </is>
      </c>
      <c r="L763" s="21" t="inlineStr">
        <is>
          <t>+12.5%</t>
        </is>
      </c>
    </row>
    <row r="764">
      <c r="A764" s="15" t="inlineStr">
        <is>
          <t>TR-0763</t>
        </is>
      </c>
      <c r="B764" s="15" t="inlineStr">
        <is>
          <t>2656</t>
        </is>
      </c>
      <c r="C764" s="16" t="inlineStr">
        <is>
          <t>Announcers on Radio, Television and Other Media</t>
        </is>
      </c>
      <c r="D764" s="15" t="inlineStr">
        <is>
          <t>2659</t>
        </is>
      </c>
      <c r="E764" s="16" t="inlineStr">
        <is>
          <t>Creative and Performing Artists Not Elsewhere Classified</t>
        </is>
      </c>
      <c r="F764" s="16" t="inlineStr">
        <is>
          <t>법률 / 지식재산권 / 변리</t>
        </is>
      </c>
      <c r="G764" s="15" t="inlineStr">
        <is>
          <t>intra_cluster_transition</t>
        </is>
      </c>
      <c r="H764" s="16" t="inlineStr">
        <is>
          <t>such, cases, would</t>
        </is>
      </c>
      <c r="I764" s="16" t="inlineStr">
        <is>
          <t>동일 직군 내 고급 도메인 지식</t>
        </is>
      </c>
      <c r="J764" s="16" t="inlineStr">
        <is>
          <t>직무 순환 및 실무 1~2년</t>
        </is>
      </c>
      <c r="K764" s="15" t="inlineStr">
        <is>
          <t>★★☆☆☆</t>
        </is>
      </c>
      <c r="L764" s="20" t="inlineStr">
        <is>
          <t>+12.5%</t>
        </is>
      </c>
    </row>
    <row r="765">
      <c r="A765" s="17" t="inlineStr">
        <is>
          <t>TR-0764</t>
        </is>
      </c>
      <c r="B765" s="17" t="inlineStr">
        <is>
          <t>3111</t>
        </is>
      </c>
      <c r="C765" s="18" t="inlineStr">
        <is>
          <t>Chemical and Physical Science Technicians</t>
        </is>
      </c>
      <c r="D765" s="17" t="inlineStr">
        <is>
          <t>3112</t>
        </is>
      </c>
      <c r="E765" s="18" t="inlineStr">
        <is>
          <t>Civil Engineering Technicians</t>
        </is>
      </c>
      <c r="F765" s="18" t="inlineStr">
        <is>
          <t>반도체 / 전자회로 / 하드웨어</t>
        </is>
      </c>
      <c r="G765" s="17" t="inlineStr">
        <is>
          <t>intra_cluster_transition</t>
        </is>
      </c>
      <c r="H765" s="18" t="inlineStr">
        <is>
          <t>assisting, with, field</t>
        </is>
      </c>
      <c r="I765" s="18" t="inlineStr">
        <is>
          <t>동일 직군 내 고급 도메인 지식</t>
        </is>
      </c>
      <c r="J765" s="18" t="inlineStr">
        <is>
          <t>직무 순환 및 실무 1~2년</t>
        </is>
      </c>
      <c r="K765" s="17" t="inlineStr">
        <is>
          <t>★★☆☆☆</t>
        </is>
      </c>
      <c r="L765" s="21" t="inlineStr">
        <is>
          <t>+12.5%</t>
        </is>
      </c>
    </row>
    <row r="766">
      <c r="A766" s="15" t="inlineStr">
        <is>
          <t>TR-0765</t>
        </is>
      </c>
      <c r="B766" s="15" t="inlineStr">
        <is>
          <t>3112</t>
        </is>
      </c>
      <c r="C766" s="16" t="inlineStr">
        <is>
          <t>Civil Engineering Technicians</t>
        </is>
      </c>
      <c r="D766" s="15" t="inlineStr">
        <is>
          <t>3113</t>
        </is>
      </c>
      <c r="E766" s="16" t="inlineStr">
        <is>
          <t>Electrical Engineering Technicians</t>
        </is>
      </c>
      <c r="F766" s="16" t="inlineStr">
        <is>
          <t>반도체 / 전자회로 / 하드웨어</t>
        </is>
      </c>
      <c r="G766" s="15" t="inlineStr">
        <is>
          <t>intra_cluster_transition</t>
        </is>
      </c>
      <c r="H766" s="16" t="inlineStr">
        <is>
          <t>technical, assistance, research</t>
        </is>
      </c>
      <c r="I766" s="16" t="inlineStr">
        <is>
          <t>동일 직군 내 고급 도메인 지식</t>
        </is>
      </c>
      <c r="J766" s="16" t="inlineStr">
        <is>
          <t>직무 순환 및 실무 1~2년</t>
        </is>
      </c>
      <c r="K766" s="15" t="inlineStr">
        <is>
          <t>★★☆☆☆</t>
        </is>
      </c>
      <c r="L766" s="20" t="inlineStr">
        <is>
          <t>+12.5%</t>
        </is>
      </c>
    </row>
    <row r="767">
      <c r="A767" s="17" t="inlineStr">
        <is>
          <t>TR-0766</t>
        </is>
      </c>
      <c r="B767" s="17" t="inlineStr">
        <is>
          <t>3114</t>
        </is>
      </c>
      <c r="C767" s="18" t="inlineStr">
        <is>
          <t>Electronics Engineering Technicians</t>
        </is>
      </c>
      <c r="D767" s="17" t="inlineStr">
        <is>
          <t>3115</t>
        </is>
      </c>
      <c r="E767" s="18" t="inlineStr">
        <is>
          <t>Mechanical Engineering Technicians</t>
        </is>
      </c>
      <c r="F767" s="18" t="inlineStr">
        <is>
          <t>반도체 / 전자회로 / 하드웨어</t>
        </is>
      </c>
      <c r="G767" s="17" t="inlineStr">
        <is>
          <t>intra_cluster_transition</t>
        </is>
      </c>
      <c r="H767" s="18" t="inlineStr">
        <is>
          <t>technical, assistance, research</t>
        </is>
      </c>
      <c r="I767" s="18" t="inlineStr">
        <is>
          <t>동일 직군 내 고급 도메인 지식</t>
        </is>
      </c>
      <c r="J767" s="18" t="inlineStr">
        <is>
          <t>직무 순환 및 실무 1~2년</t>
        </is>
      </c>
      <c r="K767" s="17" t="inlineStr">
        <is>
          <t>★★☆☆☆</t>
        </is>
      </c>
      <c r="L767" s="21" t="inlineStr">
        <is>
          <t>+12.5%</t>
        </is>
      </c>
    </row>
    <row r="768">
      <c r="A768" s="15" t="inlineStr">
        <is>
          <t>TR-0767</t>
        </is>
      </c>
      <c r="B768" s="15" t="inlineStr">
        <is>
          <t>3115</t>
        </is>
      </c>
      <c r="C768" s="16" t="inlineStr">
        <is>
          <t>Mechanical Engineering Technicians</t>
        </is>
      </c>
      <c r="D768" s="15" t="inlineStr">
        <is>
          <t>3116</t>
        </is>
      </c>
      <c r="E768" s="16" t="inlineStr">
        <is>
          <t>Chemical Engineering Technicians</t>
        </is>
      </c>
      <c r="F768" s="16" t="inlineStr">
        <is>
          <t>반도체 / 전자회로 / 하드웨어</t>
        </is>
      </c>
      <c r="G768" s="15" t="inlineStr">
        <is>
          <t>intra_cluster_transition</t>
        </is>
      </c>
      <c r="H768" s="16" t="inlineStr">
        <is>
          <t>assisting, research, development</t>
        </is>
      </c>
      <c r="I768" s="16" t="inlineStr">
        <is>
          <t>동일 직군 내 고급 도메인 지식</t>
        </is>
      </c>
      <c r="J768" s="16" t="inlineStr">
        <is>
          <t>직무 순환 및 실무 1~2년</t>
        </is>
      </c>
      <c r="K768" s="15" t="inlineStr">
        <is>
          <t>★★☆☆☆</t>
        </is>
      </c>
      <c r="L768" s="20" t="inlineStr">
        <is>
          <t>+12.5%</t>
        </is>
      </c>
    </row>
    <row r="769">
      <c r="A769" s="17" t="inlineStr">
        <is>
          <t>TR-0768</t>
        </is>
      </c>
      <c r="B769" s="17" t="inlineStr">
        <is>
          <t>3116</t>
        </is>
      </c>
      <c r="C769" s="18" t="inlineStr">
        <is>
          <t>Chemical Engineering Technicians</t>
        </is>
      </c>
      <c r="D769" s="17" t="inlineStr">
        <is>
          <t>3117</t>
        </is>
      </c>
      <c r="E769" s="18" t="inlineStr">
        <is>
          <t>Mining and metallurgical technicians</t>
        </is>
      </c>
      <c r="F769" s="18" t="inlineStr">
        <is>
          <t>반도체 / 전자회로 / 하드웨어</t>
        </is>
      </c>
      <c r="G769" s="17" t="inlineStr">
        <is>
          <t>intra_cluster_transition</t>
        </is>
      </c>
      <c r="H769" s="18" t="inlineStr">
        <is>
          <t>technical, assistance, research</t>
        </is>
      </c>
      <c r="I769" s="18" t="inlineStr">
        <is>
          <t>동일 직군 내 고급 도메인 지식</t>
        </is>
      </c>
      <c r="J769" s="18" t="inlineStr">
        <is>
          <t>직무 순환 및 실무 1~2년</t>
        </is>
      </c>
      <c r="K769" s="17" t="inlineStr">
        <is>
          <t>★★☆☆☆</t>
        </is>
      </c>
      <c r="L769" s="21" t="inlineStr">
        <is>
          <t>+12.5%</t>
        </is>
      </c>
    </row>
    <row r="770">
      <c r="A770" s="15" t="inlineStr">
        <is>
          <t>TR-0769</t>
        </is>
      </c>
      <c r="B770" s="15" t="inlineStr">
        <is>
          <t>3117</t>
        </is>
      </c>
      <c r="C770" s="16" t="inlineStr">
        <is>
          <t>Mining and metallurgical technicians</t>
        </is>
      </c>
      <c r="D770" s="15" t="inlineStr">
        <is>
          <t>3118</t>
        </is>
      </c>
      <c r="E770" s="16" t="inlineStr">
        <is>
          <t>Draughtspersons</t>
        </is>
      </c>
      <c r="F770" s="16" t="inlineStr">
        <is>
          <t>반도체 / 전자회로 / 하드웨어</t>
        </is>
      </c>
      <c r="G770" s="15" t="inlineStr">
        <is>
          <t>intra_cluster_transition</t>
        </is>
      </c>
      <c r="H770" s="16" t="inlineStr">
        <is>
          <t>preparing, revising, working</t>
        </is>
      </c>
      <c r="I770" s="16" t="inlineStr">
        <is>
          <t>동일 직군 내 고급 도메인 지식</t>
        </is>
      </c>
      <c r="J770" s="16" t="inlineStr">
        <is>
          <t>직무 순환 및 실무 1~2년</t>
        </is>
      </c>
      <c r="K770" s="15" t="inlineStr">
        <is>
          <t>★★☆☆☆</t>
        </is>
      </c>
      <c r="L770" s="20" t="inlineStr">
        <is>
          <t>+12.5%</t>
        </is>
      </c>
    </row>
    <row r="771">
      <c r="A771" s="17" t="inlineStr">
        <is>
          <t>TR-0770</t>
        </is>
      </c>
      <c r="B771" s="17" t="inlineStr">
        <is>
          <t>3118</t>
        </is>
      </c>
      <c r="C771" s="18" t="inlineStr">
        <is>
          <t>Draughtspersons</t>
        </is>
      </c>
      <c r="D771" s="17" t="inlineStr">
        <is>
          <t>3119</t>
        </is>
      </c>
      <c r="E771" s="18" t="inlineStr">
        <is>
          <t>Physical and Engineering Science Technicians Not Elsewhere Classified</t>
        </is>
      </c>
      <c r="F771" s="18" t="inlineStr">
        <is>
          <t>반도체 / 전자회로 / 하드웨어</t>
        </is>
      </c>
      <c r="G771" s="17" t="inlineStr">
        <is>
          <t>intra_cluster_transition</t>
        </is>
      </c>
      <c r="H771" s="18" t="inlineStr">
        <is>
          <t>such, cases, would</t>
        </is>
      </c>
      <c r="I771" s="18" t="inlineStr">
        <is>
          <t>동일 직군 내 고급 도메인 지식</t>
        </is>
      </c>
      <c r="J771" s="18" t="inlineStr">
        <is>
          <t>직무 순환 및 실무 1~2년</t>
        </is>
      </c>
      <c r="K771" s="17" t="inlineStr">
        <is>
          <t>★★☆☆☆</t>
        </is>
      </c>
      <c r="L771" s="21" t="inlineStr">
        <is>
          <t>+12.5%</t>
        </is>
      </c>
    </row>
    <row r="772">
      <c r="A772" s="15" t="inlineStr">
        <is>
          <t>TR-0771</t>
        </is>
      </c>
      <c r="B772" s="15" t="inlineStr">
        <is>
          <t>3121</t>
        </is>
      </c>
      <c r="C772" s="16" t="inlineStr">
        <is>
          <t>Mining Supervisors</t>
        </is>
      </c>
      <c r="D772" s="15" t="inlineStr">
        <is>
          <t>3122</t>
        </is>
      </c>
      <c r="E772" s="16" t="inlineStr">
        <is>
          <t>Manufacturing Supervisors</t>
        </is>
      </c>
      <c r="F772" s="16" t="inlineStr">
        <is>
          <t>반도체 / 전자회로 / 하드웨어</t>
        </is>
      </c>
      <c r="G772" s="15" t="inlineStr">
        <is>
          <t>intra_cluster_transition</t>
        </is>
      </c>
      <c r="H772" s="16" t="inlineStr">
        <is>
          <t>ordinating, supervising, activities</t>
        </is>
      </c>
      <c r="I772" s="16" t="inlineStr">
        <is>
          <t>동일 직군 내 고급 도메인 지식</t>
        </is>
      </c>
      <c r="J772" s="16" t="inlineStr">
        <is>
          <t>직무 순환 및 실무 1~2년</t>
        </is>
      </c>
      <c r="K772" s="15" t="inlineStr">
        <is>
          <t>★★☆☆☆</t>
        </is>
      </c>
      <c r="L772" s="20" t="inlineStr">
        <is>
          <t>+12.5%</t>
        </is>
      </c>
    </row>
    <row r="773">
      <c r="A773" s="17" t="inlineStr">
        <is>
          <t>TR-0772</t>
        </is>
      </c>
      <c r="B773" s="17" t="inlineStr">
        <is>
          <t>3122</t>
        </is>
      </c>
      <c r="C773" s="18" t="inlineStr">
        <is>
          <t>Manufacturing Supervisors</t>
        </is>
      </c>
      <c r="D773" s="17" t="inlineStr">
        <is>
          <t>3123</t>
        </is>
      </c>
      <c r="E773" s="18" t="inlineStr">
        <is>
          <t>Construction Supervisors</t>
        </is>
      </c>
      <c r="F773" s="18" t="inlineStr">
        <is>
          <t>반도체 / 전자회로 / 하드웨어</t>
        </is>
      </c>
      <c r="G773" s="17" t="inlineStr">
        <is>
          <t>intra_cluster_transition</t>
        </is>
      </c>
      <c r="H773" s="18" t="inlineStr">
        <is>
          <t>reading, specifications, determine</t>
        </is>
      </c>
      <c r="I773" s="18" t="inlineStr">
        <is>
          <t>동일 직군 내 고급 도메인 지식</t>
        </is>
      </c>
      <c r="J773" s="18" t="inlineStr">
        <is>
          <t>직무 순환 및 실무 1~2년</t>
        </is>
      </c>
      <c r="K773" s="17" t="inlineStr">
        <is>
          <t>★★☆☆☆</t>
        </is>
      </c>
      <c r="L773" s="21" t="inlineStr">
        <is>
          <t>+12.5%</t>
        </is>
      </c>
    </row>
    <row r="774">
      <c r="A774" s="15" t="inlineStr">
        <is>
          <t>TR-0773</t>
        </is>
      </c>
      <c r="B774" s="15" t="inlineStr">
        <is>
          <t>3131</t>
        </is>
      </c>
      <c r="C774" s="16" t="inlineStr">
        <is>
          <t>Power Production Plant Operators</t>
        </is>
      </c>
      <c r="D774" s="15" t="inlineStr">
        <is>
          <t>3132</t>
        </is>
      </c>
      <c r="E774" s="16" t="inlineStr">
        <is>
          <t>Incinerator and Water Treatment Plant Operators</t>
        </is>
      </c>
      <c r="F774" s="16" t="inlineStr">
        <is>
          <t>반도체 / 전자회로 / 하드웨어</t>
        </is>
      </c>
      <c r="G774" s="15" t="inlineStr">
        <is>
          <t>intra_cluster_transition</t>
        </is>
      </c>
      <c r="H774" s="16" t="inlineStr">
        <is>
          <t>operating, monitoring, computerized</t>
        </is>
      </c>
      <c r="I774" s="16" t="inlineStr">
        <is>
          <t>동일 직군 내 고급 도메인 지식</t>
        </is>
      </c>
      <c r="J774" s="16" t="inlineStr">
        <is>
          <t>직무 순환 및 실무 1~2년</t>
        </is>
      </c>
      <c r="K774" s="15" t="inlineStr">
        <is>
          <t>★★☆☆☆</t>
        </is>
      </c>
      <c r="L774" s="20" t="inlineStr">
        <is>
          <t>+12.5%</t>
        </is>
      </c>
    </row>
    <row r="775">
      <c r="A775" s="17" t="inlineStr">
        <is>
          <t>TR-0774</t>
        </is>
      </c>
      <c r="B775" s="17" t="inlineStr">
        <is>
          <t>3132</t>
        </is>
      </c>
      <c r="C775" s="18" t="inlineStr">
        <is>
          <t>Incinerator and Water Treatment Plant Operators</t>
        </is>
      </c>
      <c r="D775" s="17" t="inlineStr">
        <is>
          <t>3133</t>
        </is>
      </c>
      <c r="E775" s="18" t="inlineStr">
        <is>
          <t>Chemical Processing Plant Controllers</t>
        </is>
      </c>
      <c r="F775" s="18" t="inlineStr">
        <is>
          <t>반도체 / 전자회로 / 하드웨어</t>
        </is>
      </c>
      <c r="G775" s="17" t="inlineStr">
        <is>
          <t>intra_cluster_transition</t>
        </is>
      </c>
      <c r="H775" s="18" t="inlineStr">
        <is>
          <t>operating, electronic, computerized</t>
        </is>
      </c>
      <c r="I775" s="18" t="inlineStr">
        <is>
          <t>동일 직군 내 고급 도메인 지식</t>
        </is>
      </c>
      <c r="J775" s="18" t="inlineStr">
        <is>
          <t>직무 순환 및 실무 1~2년</t>
        </is>
      </c>
      <c r="K775" s="17" t="inlineStr">
        <is>
          <t>★★☆☆☆</t>
        </is>
      </c>
      <c r="L775" s="21" t="inlineStr">
        <is>
          <t>+12.5%</t>
        </is>
      </c>
    </row>
    <row r="776">
      <c r="A776" s="15" t="inlineStr">
        <is>
          <t>TR-0775</t>
        </is>
      </c>
      <c r="B776" s="15" t="inlineStr">
        <is>
          <t>3134</t>
        </is>
      </c>
      <c r="C776" s="16" t="inlineStr">
        <is>
          <t>Petroleum and Natural Gas Refining Plant Operators</t>
        </is>
      </c>
      <c r="D776" s="15" t="inlineStr">
        <is>
          <t>3135</t>
        </is>
      </c>
      <c r="E776" s="16" t="inlineStr">
        <is>
          <t>Metal Production Process Controllers</t>
        </is>
      </c>
      <c r="F776" s="16" t="inlineStr">
        <is>
          <t>반도체 / 전자회로 / 하드웨어</t>
        </is>
      </c>
      <c r="G776" s="15" t="inlineStr">
        <is>
          <t>intra_cluster_transition</t>
        </is>
      </c>
      <c r="H776" s="16" t="inlineStr">
        <is>
          <t>coordinating, monitoring, operation</t>
        </is>
      </c>
      <c r="I776" s="16" t="inlineStr">
        <is>
          <t>동일 직군 내 고급 도메인 지식</t>
        </is>
      </c>
      <c r="J776" s="16" t="inlineStr">
        <is>
          <t>직무 순환 및 실무 1~2년</t>
        </is>
      </c>
      <c r="K776" s="15" t="inlineStr">
        <is>
          <t>★★☆☆☆</t>
        </is>
      </c>
      <c r="L776" s="20" t="inlineStr">
        <is>
          <t>+12.5%</t>
        </is>
      </c>
    </row>
    <row r="777">
      <c r="A777" s="17" t="inlineStr">
        <is>
          <t>TR-0776</t>
        </is>
      </c>
      <c r="B777" s="17" t="inlineStr">
        <is>
          <t>3135</t>
        </is>
      </c>
      <c r="C777" s="18" t="inlineStr">
        <is>
          <t>Metal Production Process Controllers</t>
        </is>
      </c>
      <c r="D777" s="17" t="inlineStr">
        <is>
          <t>3139</t>
        </is>
      </c>
      <c r="E777" s="18" t="inlineStr">
        <is>
          <t>Process Control Technicians Not Elsewhere Classified</t>
        </is>
      </c>
      <c r="F777" s="18" t="inlineStr">
        <is>
          <t>반도체 / 전자회로 / 하드웨어</t>
        </is>
      </c>
      <c r="G777" s="17" t="inlineStr">
        <is>
          <t>intra_cluster_transition</t>
        </is>
      </c>
      <c r="H777" s="18" t="inlineStr">
        <is>
          <t>Process Control Technicians Not Elsewhere Classified 실무, 표준 프로세스 준수, 데이터/지표 분석</t>
        </is>
      </c>
      <c r="I777" s="18" t="inlineStr">
        <is>
          <t>동일 직군 내 고급 도메인 지식</t>
        </is>
      </c>
      <c r="J777" s="18" t="inlineStr">
        <is>
          <t>직무 순환 및 실무 1~2년</t>
        </is>
      </c>
      <c r="K777" s="17" t="inlineStr">
        <is>
          <t>★★☆☆☆</t>
        </is>
      </c>
      <c r="L777" s="21" t="inlineStr">
        <is>
          <t>+12.5%</t>
        </is>
      </c>
    </row>
    <row r="778">
      <c r="A778" s="15" t="inlineStr">
        <is>
          <t>TR-0777</t>
        </is>
      </c>
      <c r="B778" s="15" t="inlineStr">
        <is>
          <t>3141</t>
        </is>
      </c>
      <c r="C778" s="16" t="inlineStr">
        <is>
          <t>Life Science Technicians (excluding Medical)</t>
        </is>
      </c>
      <c r="D778" s="15" t="inlineStr">
        <is>
          <t>3142</t>
        </is>
      </c>
      <c r="E778" s="16" t="inlineStr">
        <is>
          <t>Agricultural Technicians</t>
        </is>
      </c>
      <c r="F778" s="16" t="inlineStr">
        <is>
          <t>반도체 / 전자회로 / 하드웨어</t>
        </is>
      </c>
      <c r="G778" s="15" t="inlineStr">
        <is>
          <t>intra_cluster_transition</t>
        </is>
      </c>
      <c r="H778" s="16" t="inlineStr">
        <is>
          <t>preparing, materials, equipment</t>
        </is>
      </c>
      <c r="I778" s="16" t="inlineStr">
        <is>
          <t>동일 직군 내 고급 도메인 지식</t>
        </is>
      </c>
      <c r="J778" s="16" t="inlineStr">
        <is>
          <t>직무 순환 및 실무 1~2년</t>
        </is>
      </c>
      <c r="K778" s="15" t="inlineStr">
        <is>
          <t>★★☆☆☆</t>
        </is>
      </c>
      <c r="L778" s="20" t="inlineStr">
        <is>
          <t>+12.5%</t>
        </is>
      </c>
    </row>
    <row r="779">
      <c r="A779" s="17" t="inlineStr">
        <is>
          <t>TR-0778</t>
        </is>
      </c>
      <c r="B779" s="17" t="inlineStr">
        <is>
          <t>3142</t>
        </is>
      </c>
      <c r="C779" s="18" t="inlineStr">
        <is>
          <t>Agricultural Technicians</t>
        </is>
      </c>
      <c r="D779" s="17" t="inlineStr">
        <is>
          <t>3143</t>
        </is>
      </c>
      <c r="E779" s="18" t="inlineStr">
        <is>
          <t>Forestry Technicians</t>
        </is>
      </c>
      <c r="F779" s="18" t="inlineStr">
        <is>
          <t>반도체 / 전자회로 / 하드웨어</t>
        </is>
      </c>
      <c r="G779" s="17" t="inlineStr">
        <is>
          <t>intra_cluster_transition</t>
        </is>
      </c>
      <c r="H779" s="18" t="inlineStr">
        <is>
          <t>conducting, forest, inventories</t>
        </is>
      </c>
      <c r="I779" s="18" t="inlineStr">
        <is>
          <t>동일 직군 내 고급 도메인 지식</t>
        </is>
      </c>
      <c r="J779" s="18" t="inlineStr">
        <is>
          <t>직무 순환 및 실무 1~2년</t>
        </is>
      </c>
      <c r="K779" s="17" t="inlineStr">
        <is>
          <t>★★☆☆☆</t>
        </is>
      </c>
      <c r="L779" s="21" t="inlineStr">
        <is>
          <t>+12.5%</t>
        </is>
      </c>
    </row>
    <row r="780">
      <c r="A780" s="15" t="inlineStr">
        <is>
          <t>TR-0779</t>
        </is>
      </c>
      <c r="B780" s="15" t="inlineStr">
        <is>
          <t>3151</t>
        </is>
      </c>
      <c r="C780" s="16" t="inlineStr">
        <is>
          <t>Ships' Engineers</t>
        </is>
      </c>
      <c r="D780" s="15" t="inlineStr">
        <is>
          <t>3152</t>
        </is>
      </c>
      <c r="E780" s="16" t="inlineStr">
        <is>
          <t>Ships' Deck Officers and Pilots</t>
        </is>
      </c>
      <c r="F780" s="16" t="inlineStr">
        <is>
          <t>반도체 / 전자회로 / 하드웨어</t>
        </is>
      </c>
      <c r="G780" s="15" t="inlineStr">
        <is>
          <t>intra_cluster_transition</t>
        </is>
      </c>
      <c r="H780" s="16" t="inlineStr">
        <is>
          <t>commanding, navigating, ship</t>
        </is>
      </c>
      <c r="I780" s="16" t="inlineStr">
        <is>
          <t>동일 직군 내 고급 도메인 지식</t>
        </is>
      </c>
      <c r="J780" s="16" t="inlineStr">
        <is>
          <t>직무 순환 및 실무 1~2년</t>
        </is>
      </c>
      <c r="K780" s="15" t="inlineStr">
        <is>
          <t>★★☆☆☆</t>
        </is>
      </c>
      <c r="L780" s="20" t="inlineStr">
        <is>
          <t>+12.5%</t>
        </is>
      </c>
    </row>
    <row r="781">
      <c r="A781" s="17" t="inlineStr">
        <is>
          <t>TR-0780</t>
        </is>
      </c>
      <c r="B781" s="17" t="inlineStr">
        <is>
          <t>3152</t>
        </is>
      </c>
      <c r="C781" s="18" t="inlineStr">
        <is>
          <t>Ships' Deck Officers and Pilots</t>
        </is>
      </c>
      <c r="D781" s="17" t="inlineStr">
        <is>
          <t>3153</t>
        </is>
      </c>
      <c r="E781" s="18" t="inlineStr">
        <is>
          <t>Aircraft Pilots and Related Associate Professionals</t>
        </is>
      </c>
      <c r="F781" s="18" t="inlineStr">
        <is>
          <t>반도체 / 전자회로 / 하드웨어</t>
        </is>
      </c>
      <c r="G781" s="17" t="inlineStr">
        <is>
          <t>intra_cluster_transition</t>
        </is>
      </c>
      <c r="H781" s="18" t="inlineStr">
        <is>
          <t>flying, navigating, aircraft</t>
        </is>
      </c>
      <c r="I781" s="18" t="inlineStr">
        <is>
          <t>동일 직군 내 고급 도메인 지식</t>
        </is>
      </c>
      <c r="J781" s="18" t="inlineStr">
        <is>
          <t>직무 순환 및 실무 1~2년</t>
        </is>
      </c>
      <c r="K781" s="17" t="inlineStr">
        <is>
          <t>★★☆☆☆</t>
        </is>
      </c>
      <c r="L781" s="21" t="inlineStr">
        <is>
          <t>+12.5%</t>
        </is>
      </c>
    </row>
    <row r="782">
      <c r="A782" s="15" t="inlineStr">
        <is>
          <t>TR-0781</t>
        </is>
      </c>
      <c r="B782" s="15" t="inlineStr">
        <is>
          <t>3153</t>
        </is>
      </c>
      <c r="C782" s="16" t="inlineStr">
        <is>
          <t>Aircraft Pilots and Related Associate Professionals</t>
        </is>
      </c>
      <c r="D782" s="15" t="inlineStr">
        <is>
          <t>3154</t>
        </is>
      </c>
      <c r="E782" s="16" t="inlineStr">
        <is>
          <t>Air Traffic Controllers</t>
        </is>
      </c>
      <c r="F782" s="16" t="inlineStr">
        <is>
          <t>반도체 / 전자회로 / 하드웨어</t>
        </is>
      </c>
      <c r="G782" s="15" t="inlineStr">
        <is>
          <t>intra_cluster_transition</t>
        </is>
      </c>
      <c r="H782" s="16" t="inlineStr">
        <is>
          <t>controlling, aircraft, approaching</t>
        </is>
      </c>
      <c r="I782" s="16" t="inlineStr">
        <is>
          <t>동일 직군 내 고급 도메인 지식</t>
        </is>
      </c>
      <c r="J782" s="16" t="inlineStr">
        <is>
          <t>직무 순환 및 실무 1~2년</t>
        </is>
      </c>
      <c r="K782" s="15" t="inlineStr">
        <is>
          <t>★★☆☆☆</t>
        </is>
      </c>
      <c r="L782" s="20" t="inlineStr">
        <is>
          <t>+12.5%</t>
        </is>
      </c>
    </row>
    <row r="783">
      <c r="A783" s="17" t="inlineStr">
        <is>
          <t>TR-0782</t>
        </is>
      </c>
      <c r="B783" s="17" t="inlineStr">
        <is>
          <t>3154</t>
        </is>
      </c>
      <c r="C783" s="18" t="inlineStr">
        <is>
          <t>Air Traffic Controllers</t>
        </is>
      </c>
      <c r="D783" s="17" t="inlineStr">
        <is>
          <t>3155</t>
        </is>
      </c>
      <c r="E783" s="18" t="inlineStr">
        <is>
          <t>Air Traffic Safety Electronics Technicians</t>
        </is>
      </c>
      <c r="F783" s="18" t="inlineStr">
        <is>
          <t>반도체 / 전자회로 / 하드웨어</t>
        </is>
      </c>
      <c r="G783" s="17" t="inlineStr">
        <is>
          <t>intra_cluster_transition</t>
        </is>
      </c>
      <c r="H783" s="18" t="inlineStr">
        <is>
          <t>carrying, technical, duties</t>
        </is>
      </c>
      <c r="I783" s="18" t="inlineStr">
        <is>
          <t>동일 직군 내 고급 도메인 지식</t>
        </is>
      </c>
      <c r="J783" s="18" t="inlineStr">
        <is>
          <t>직무 순환 및 실무 1~2년</t>
        </is>
      </c>
      <c r="K783" s="17" t="inlineStr">
        <is>
          <t>★★☆☆☆</t>
        </is>
      </c>
      <c r="L783" s="21" t="inlineStr">
        <is>
          <t>+12.5%</t>
        </is>
      </c>
    </row>
    <row r="784">
      <c r="A784" s="15" t="inlineStr">
        <is>
          <t>TR-0783</t>
        </is>
      </c>
      <c r="B784" s="15" t="inlineStr">
        <is>
          <t>3211</t>
        </is>
      </c>
      <c r="C784" s="16" t="inlineStr">
        <is>
          <t>Medical Imaging and Therapeutic Equipment Technicians</t>
        </is>
      </c>
      <c r="D784" s="15" t="inlineStr">
        <is>
          <t>3212</t>
        </is>
      </c>
      <c r="E784" s="16" t="inlineStr">
        <is>
          <t>Medical and Pathology Laboratory Technicians</t>
        </is>
      </c>
      <c r="F784" s="16" t="inlineStr">
        <is>
          <t>바이오 / 제약 / 임상헬스케어</t>
        </is>
      </c>
      <c r="G784" s="15" t="inlineStr">
        <is>
          <t>intra_cluster_transition</t>
        </is>
      </c>
      <c r="H784" s="16" t="inlineStr">
        <is>
          <t>conducting, chemical, analysis</t>
        </is>
      </c>
      <c r="I784" s="16" t="inlineStr">
        <is>
          <t>동일 직군 내 고급 도메인 지식</t>
        </is>
      </c>
      <c r="J784" s="16" t="inlineStr">
        <is>
          <t>직무 순환 및 실무 1~2년</t>
        </is>
      </c>
      <c r="K784" s="15" t="inlineStr">
        <is>
          <t>★★☆☆☆</t>
        </is>
      </c>
      <c r="L784" s="20" t="inlineStr">
        <is>
          <t>+12.5%</t>
        </is>
      </c>
    </row>
    <row r="785">
      <c r="A785" s="17" t="inlineStr">
        <is>
          <t>TR-0784</t>
        </is>
      </c>
      <c r="B785" s="17" t="inlineStr">
        <is>
          <t>3212</t>
        </is>
      </c>
      <c r="C785" s="18" t="inlineStr">
        <is>
          <t>Medical and Pathology Laboratory Technicians</t>
        </is>
      </c>
      <c r="D785" s="17" t="inlineStr">
        <is>
          <t>3213</t>
        </is>
      </c>
      <c r="E785" s="18" t="inlineStr">
        <is>
          <t>Pharmaceutical Technicians and Assistants</t>
        </is>
      </c>
      <c r="F785" s="18" t="inlineStr">
        <is>
          <t>바이오 / 제약 / 임상헬스케어</t>
        </is>
      </c>
      <c r="G785" s="17" t="inlineStr">
        <is>
          <t>intra_cluster_transition</t>
        </is>
      </c>
      <c r="H785" s="18" t="inlineStr">
        <is>
          <t>preparing, medications, other</t>
        </is>
      </c>
      <c r="I785" s="18" t="inlineStr">
        <is>
          <t>동일 직군 내 고급 도메인 지식</t>
        </is>
      </c>
      <c r="J785" s="18" t="inlineStr">
        <is>
          <t>직무 순환 및 실무 1~2년</t>
        </is>
      </c>
      <c r="K785" s="17" t="inlineStr">
        <is>
          <t>★★☆☆☆</t>
        </is>
      </c>
      <c r="L785" s="21" t="inlineStr">
        <is>
          <t>+12.5%</t>
        </is>
      </c>
    </row>
    <row r="786">
      <c r="A786" s="15" t="inlineStr">
        <is>
          <t>TR-0785</t>
        </is>
      </c>
      <c r="B786" s="15" t="inlineStr">
        <is>
          <t>3213</t>
        </is>
      </c>
      <c r="C786" s="16" t="inlineStr">
        <is>
          <t>Pharmaceutical Technicians and Assistants</t>
        </is>
      </c>
      <c r="D786" s="15" t="inlineStr">
        <is>
          <t>3214</t>
        </is>
      </c>
      <c r="E786" s="16" t="inlineStr">
        <is>
          <t>Medical and Dental Prosthetic Technicians</t>
        </is>
      </c>
      <c r="F786" s="16" t="inlineStr">
        <is>
          <t>바이오 / 제약 / 임상헬스케어</t>
        </is>
      </c>
      <c r="G786" s="15" t="inlineStr">
        <is>
          <t>intra_cluster_transition</t>
        </is>
      </c>
      <c r="H786" s="16" t="inlineStr">
        <is>
          <t>examining, interviewing, measuring</t>
        </is>
      </c>
      <c r="I786" s="16" t="inlineStr">
        <is>
          <t>동일 직군 내 고급 도메인 지식</t>
        </is>
      </c>
      <c r="J786" s="16" t="inlineStr">
        <is>
          <t>직무 순환 및 실무 1~2년</t>
        </is>
      </c>
      <c r="K786" s="15" t="inlineStr">
        <is>
          <t>★★☆☆☆</t>
        </is>
      </c>
      <c r="L786" s="20" t="inlineStr">
        <is>
          <t>+12.5%</t>
        </is>
      </c>
    </row>
    <row r="787">
      <c r="A787" s="17" t="inlineStr">
        <is>
          <t>TR-0786</t>
        </is>
      </c>
      <c r="B787" s="17" t="inlineStr">
        <is>
          <t>3251</t>
        </is>
      </c>
      <c r="C787" s="18" t="inlineStr">
        <is>
          <t>Dental Assistants and Therapists</t>
        </is>
      </c>
      <c r="D787" s="17" t="inlineStr">
        <is>
          <t>3252</t>
        </is>
      </c>
      <c r="E787" s="18" t="inlineStr">
        <is>
          <t>Medical Records and Health Information Technicians</t>
        </is>
      </c>
      <c r="F787" s="18" t="inlineStr">
        <is>
          <t>바이오 / 제약 / 임상헬스케어</t>
        </is>
      </c>
      <c r="G787" s="17" t="inlineStr">
        <is>
          <t>intra_cluster_transition</t>
        </is>
      </c>
      <c r="H787" s="18" t="inlineStr">
        <is>
          <t>planning, developing, maintaining</t>
        </is>
      </c>
      <c r="I787" s="18" t="inlineStr">
        <is>
          <t>동일 직군 내 고급 도메인 지식</t>
        </is>
      </c>
      <c r="J787" s="18" t="inlineStr">
        <is>
          <t>직무 순환 및 실무 1~2년</t>
        </is>
      </c>
      <c r="K787" s="17" t="inlineStr">
        <is>
          <t>★★☆☆☆</t>
        </is>
      </c>
      <c r="L787" s="21" t="inlineStr">
        <is>
          <t>+12.5%</t>
        </is>
      </c>
    </row>
    <row r="788">
      <c r="A788" s="15" t="inlineStr">
        <is>
          <t>TR-0787</t>
        </is>
      </c>
      <c r="B788" s="15" t="inlineStr">
        <is>
          <t>3252</t>
        </is>
      </c>
      <c r="C788" s="16" t="inlineStr">
        <is>
          <t>Medical Records and Health Information Technicians</t>
        </is>
      </c>
      <c r="D788" s="15" t="inlineStr">
        <is>
          <t>3253</t>
        </is>
      </c>
      <c r="E788" s="16" t="inlineStr">
        <is>
          <t>Community Health Workers</t>
        </is>
      </c>
      <c r="F788" s="16" t="inlineStr">
        <is>
          <t>바이오 / 제약 / 임상헬스케어</t>
        </is>
      </c>
      <c r="G788" s="15" t="inlineStr">
        <is>
          <t>intra_cluster_transition</t>
        </is>
      </c>
      <c r="H788" s="16" t="inlineStr">
        <is>
          <t>information, families, communities</t>
        </is>
      </c>
      <c r="I788" s="16" t="inlineStr">
        <is>
          <t>동일 직군 내 고급 도메인 지식</t>
        </is>
      </c>
      <c r="J788" s="16" t="inlineStr">
        <is>
          <t>직무 순환 및 실무 1~2년</t>
        </is>
      </c>
      <c r="K788" s="15" t="inlineStr">
        <is>
          <t>★★☆☆☆</t>
        </is>
      </c>
      <c r="L788" s="20" t="inlineStr">
        <is>
          <t>+12.5%</t>
        </is>
      </c>
    </row>
    <row r="789">
      <c r="A789" s="17" t="inlineStr">
        <is>
          <t>TR-0788</t>
        </is>
      </c>
      <c r="B789" s="17" t="inlineStr">
        <is>
          <t>3253</t>
        </is>
      </c>
      <c r="C789" s="18" t="inlineStr">
        <is>
          <t>Community Health Workers</t>
        </is>
      </c>
      <c r="D789" s="17" t="inlineStr">
        <is>
          <t>3254</t>
        </is>
      </c>
      <c r="E789" s="18" t="inlineStr">
        <is>
          <t>Dispensing Opticians</t>
        </is>
      </c>
      <c r="F789" s="18" t="inlineStr">
        <is>
          <t>바이오 / 제약 / 임상헬스케어</t>
        </is>
      </c>
      <c r="G789" s="17" t="inlineStr">
        <is>
          <t>intra_cluster_transition</t>
        </is>
      </c>
      <c r="H789" s="18" t="inlineStr">
        <is>
          <t>examining, taking, facial</t>
        </is>
      </c>
      <c r="I789" s="18" t="inlineStr">
        <is>
          <t>동일 직군 내 고급 도메인 지식</t>
        </is>
      </c>
      <c r="J789" s="18" t="inlineStr">
        <is>
          <t>직무 순환 및 실무 1~2년</t>
        </is>
      </c>
      <c r="K789" s="17" t="inlineStr">
        <is>
          <t>★★☆☆☆</t>
        </is>
      </c>
      <c r="L789" s="21" t="inlineStr">
        <is>
          <t>+12.5%</t>
        </is>
      </c>
    </row>
    <row r="790">
      <c r="A790" s="15" t="inlineStr">
        <is>
          <t>TR-0789</t>
        </is>
      </c>
      <c r="B790" s="15" t="inlineStr">
        <is>
          <t>3254</t>
        </is>
      </c>
      <c r="C790" s="16" t="inlineStr">
        <is>
          <t>Dispensing Opticians</t>
        </is>
      </c>
      <c r="D790" s="15" t="inlineStr">
        <is>
          <t>3255</t>
        </is>
      </c>
      <c r="E790" s="16" t="inlineStr">
        <is>
          <t>Physiotherapy Technicians and Assistants</t>
        </is>
      </c>
      <c r="F790" s="16" t="inlineStr">
        <is>
          <t>바이오 / 제약 / 임상헬스케어</t>
        </is>
      </c>
      <c r="G790" s="15" t="inlineStr">
        <is>
          <t>intra_cluster_transition</t>
        </is>
      </c>
      <c r="H790" s="16" t="inlineStr">
        <is>
          <t>administering, manual, treatments</t>
        </is>
      </c>
      <c r="I790" s="16" t="inlineStr">
        <is>
          <t>동일 직군 내 고급 도메인 지식</t>
        </is>
      </c>
      <c r="J790" s="16" t="inlineStr">
        <is>
          <t>직무 순환 및 실무 1~2년</t>
        </is>
      </c>
      <c r="K790" s="15" t="inlineStr">
        <is>
          <t>★★☆☆☆</t>
        </is>
      </c>
      <c r="L790" s="20" t="inlineStr">
        <is>
          <t>+12.5%</t>
        </is>
      </c>
    </row>
    <row r="791">
      <c r="A791" s="17" t="inlineStr">
        <is>
          <t>TR-0790</t>
        </is>
      </c>
      <c r="B791" s="17" t="inlineStr">
        <is>
          <t>3255</t>
        </is>
      </c>
      <c r="C791" s="18" t="inlineStr">
        <is>
          <t>Physiotherapy Technicians and Assistants</t>
        </is>
      </c>
      <c r="D791" s="17" t="inlineStr">
        <is>
          <t>3256</t>
        </is>
      </c>
      <c r="E791" s="18" t="inlineStr">
        <is>
          <t>Medical Assistants</t>
        </is>
      </c>
      <c r="F791" s="18" t="inlineStr">
        <is>
          <t>바이오 / 제약 / 임상헬스케어</t>
        </is>
      </c>
      <c r="G791" s="17" t="inlineStr">
        <is>
          <t>intra_cluster_transition</t>
        </is>
      </c>
      <c r="H791" s="18" t="inlineStr">
        <is>
          <t>interviewing, patients, their</t>
        </is>
      </c>
      <c r="I791" s="18" t="inlineStr">
        <is>
          <t>동일 직군 내 고급 도메인 지식</t>
        </is>
      </c>
      <c r="J791" s="18" t="inlineStr">
        <is>
          <t>직무 순환 및 실무 1~2년</t>
        </is>
      </c>
      <c r="K791" s="17" t="inlineStr">
        <is>
          <t>★★☆☆☆</t>
        </is>
      </c>
      <c r="L791" s="21" t="inlineStr">
        <is>
          <t>+12.5%</t>
        </is>
      </c>
    </row>
    <row r="792">
      <c r="A792" s="15" t="inlineStr">
        <is>
          <t>TR-0791</t>
        </is>
      </c>
      <c r="B792" s="15" t="inlineStr">
        <is>
          <t>3256</t>
        </is>
      </c>
      <c r="C792" s="16" t="inlineStr">
        <is>
          <t>Medical Assistants</t>
        </is>
      </c>
      <c r="D792" s="15" t="inlineStr">
        <is>
          <t>3257</t>
        </is>
      </c>
      <c r="E792" s="16" t="inlineStr">
        <is>
          <t>Environmental and Occupational Health Inspectors and Associates</t>
        </is>
      </c>
      <c r="F792" s="16" t="inlineStr">
        <is>
          <t>바이오 / 제약 / 임상헬스케어</t>
        </is>
      </c>
      <c r="G792" s="15" t="inlineStr">
        <is>
          <t>intra_cluster_transition</t>
        </is>
      </c>
      <c r="H792" s="16" t="inlineStr">
        <is>
          <t>advising, employers, representatives</t>
        </is>
      </c>
      <c r="I792" s="16" t="inlineStr">
        <is>
          <t>동일 직군 내 고급 도메인 지식</t>
        </is>
      </c>
      <c r="J792" s="16" t="inlineStr">
        <is>
          <t>직무 순환 및 실무 1~2년</t>
        </is>
      </c>
      <c r="K792" s="15" t="inlineStr">
        <is>
          <t>★★☆☆☆</t>
        </is>
      </c>
      <c r="L792" s="20" t="inlineStr">
        <is>
          <t>+12.5%</t>
        </is>
      </c>
    </row>
    <row r="793">
      <c r="A793" s="17" t="inlineStr">
        <is>
          <t>TR-0792</t>
        </is>
      </c>
      <c r="B793" s="17" t="inlineStr">
        <is>
          <t>3257</t>
        </is>
      </c>
      <c r="C793" s="18" t="inlineStr">
        <is>
          <t>Environmental and Occupational Health Inspectors and Associates</t>
        </is>
      </c>
      <c r="D793" s="17" t="inlineStr">
        <is>
          <t>3258</t>
        </is>
      </c>
      <c r="E793" s="18" t="inlineStr">
        <is>
          <t>Ambulance Workers</t>
        </is>
      </c>
      <c r="F793" s="18" t="inlineStr">
        <is>
          <t>바이오 / 제약 / 임상헬스케어</t>
        </is>
      </c>
      <c r="G793" s="17" t="inlineStr">
        <is>
          <t>intra_cluster_transition</t>
        </is>
      </c>
      <c r="H793" s="18" t="inlineStr">
        <is>
          <t>assessing, health, status</t>
        </is>
      </c>
      <c r="I793" s="18" t="inlineStr">
        <is>
          <t>동일 직군 내 고급 도메인 지식</t>
        </is>
      </c>
      <c r="J793" s="18" t="inlineStr">
        <is>
          <t>직무 순환 및 실무 1~2년</t>
        </is>
      </c>
      <c r="K793" s="17" t="inlineStr">
        <is>
          <t>★★☆☆☆</t>
        </is>
      </c>
      <c r="L793" s="21" t="inlineStr">
        <is>
          <t>+12.5%</t>
        </is>
      </c>
    </row>
    <row r="794">
      <c r="A794" s="15" t="inlineStr">
        <is>
          <t>TR-0793</t>
        </is>
      </c>
      <c r="B794" s="15" t="inlineStr">
        <is>
          <t>3258</t>
        </is>
      </c>
      <c r="C794" s="16" t="inlineStr">
        <is>
          <t>Ambulance Workers</t>
        </is>
      </c>
      <c r="D794" s="15" t="inlineStr">
        <is>
          <t>3259</t>
        </is>
      </c>
      <c r="E794" s="16" t="inlineStr">
        <is>
          <t>Health Associate Professionals Not Elsewhere Classified</t>
        </is>
      </c>
      <c r="F794" s="16" t="inlineStr">
        <is>
          <t>바이오 / 제약 / 임상헬스케어</t>
        </is>
      </c>
      <c r="G794" s="15" t="inlineStr">
        <is>
          <t>intra_cluster_transition</t>
        </is>
      </c>
      <c r="H794" s="16" t="inlineStr">
        <is>
          <t>such, cases, would</t>
        </is>
      </c>
      <c r="I794" s="16" t="inlineStr">
        <is>
          <t>동일 직군 내 고급 도메인 지식</t>
        </is>
      </c>
      <c r="J794" s="16" t="inlineStr">
        <is>
          <t>직무 순환 및 실무 1~2년</t>
        </is>
      </c>
      <c r="K794" s="15" t="inlineStr">
        <is>
          <t>★★☆☆☆</t>
        </is>
      </c>
      <c r="L794" s="20" t="inlineStr">
        <is>
          <t>+12.5%</t>
        </is>
      </c>
    </row>
    <row r="795">
      <c r="A795" s="17" t="inlineStr">
        <is>
          <t>TR-0794</t>
        </is>
      </c>
      <c r="B795" s="17" t="inlineStr">
        <is>
          <t>3311</t>
        </is>
      </c>
      <c r="C795" s="18" t="inlineStr">
        <is>
          <t>Securities and Finance Dealers and Brokers</t>
        </is>
      </c>
      <c r="D795" s="17" t="inlineStr">
        <is>
          <t>3312</t>
        </is>
      </c>
      <c r="E795" s="18" t="inlineStr">
        <is>
          <t>Credit and Loans Officers</t>
        </is>
      </c>
      <c r="F795" s="18" t="inlineStr">
        <is>
          <t>금융투자 / 핀테크 / 리스크</t>
        </is>
      </c>
      <c r="G795" s="17" t="inlineStr">
        <is>
          <t>intra_cluster_transition</t>
        </is>
      </c>
      <c r="H795" s="18" t="inlineStr">
        <is>
          <t>interviewing, applicants, personal</t>
        </is>
      </c>
      <c r="I795" s="18" t="inlineStr">
        <is>
          <t>동일 직군 내 고급 도메인 지식</t>
        </is>
      </c>
      <c r="J795" s="18" t="inlineStr">
        <is>
          <t>직무 순환 및 실무 1~2년</t>
        </is>
      </c>
      <c r="K795" s="17" t="inlineStr">
        <is>
          <t>★★☆☆☆</t>
        </is>
      </c>
      <c r="L795" s="21" t="inlineStr">
        <is>
          <t>+12.5%</t>
        </is>
      </c>
    </row>
    <row r="796">
      <c r="A796" s="15" t="inlineStr">
        <is>
          <t>TR-0795</t>
        </is>
      </c>
      <c r="B796" s="15" t="inlineStr">
        <is>
          <t>3312</t>
        </is>
      </c>
      <c r="C796" s="16" t="inlineStr">
        <is>
          <t>Credit and Loans Officers</t>
        </is>
      </c>
      <c r="D796" s="15" t="inlineStr">
        <is>
          <t>3313</t>
        </is>
      </c>
      <c r="E796" s="16" t="inlineStr">
        <is>
          <t>Accounting Associate Professionals</t>
        </is>
      </c>
      <c r="F796" s="16" t="inlineStr">
        <is>
          <t>금융투자 / 핀테크 / 리스크</t>
        </is>
      </c>
      <c r="G796" s="15" t="inlineStr">
        <is>
          <t>intra_cluster_transition</t>
        </is>
      </c>
      <c r="H796" s="16" t="inlineStr">
        <is>
          <t>maintaining, complete, records</t>
        </is>
      </c>
      <c r="I796" s="16" t="inlineStr">
        <is>
          <t>동일 직군 내 고급 도메인 지식</t>
        </is>
      </c>
      <c r="J796" s="16" t="inlineStr">
        <is>
          <t>직무 순환 및 실무 1~2년</t>
        </is>
      </c>
      <c r="K796" s="15" t="inlineStr">
        <is>
          <t>★★☆☆☆</t>
        </is>
      </c>
      <c r="L796" s="20" t="inlineStr">
        <is>
          <t>+12.5%</t>
        </is>
      </c>
    </row>
    <row r="797">
      <c r="A797" s="17" t="inlineStr">
        <is>
          <t>TR-0796</t>
        </is>
      </c>
      <c r="B797" s="17" t="inlineStr">
        <is>
          <t>3314</t>
        </is>
      </c>
      <c r="C797" s="18" t="inlineStr">
        <is>
          <t>Statistical, Mathematical and Related Associate Professionals</t>
        </is>
      </c>
      <c r="D797" s="17" t="inlineStr">
        <is>
          <t>3315</t>
        </is>
      </c>
      <c r="E797" s="18" t="inlineStr">
        <is>
          <t>Valuers and Loss Assessors</t>
        </is>
      </c>
      <c r="F797" s="18" t="inlineStr">
        <is>
          <t>금융투자 / 핀테크 / 리스크</t>
        </is>
      </c>
      <c r="G797" s="17" t="inlineStr">
        <is>
          <t>intra_cluster_transition</t>
        </is>
      </c>
      <c r="H797" s="18" t="inlineStr">
        <is>
          <t>determining, quality, value</t>
        </is>
      </c>
      <c r="I797" s="18" t="inlineStr">
        <is>
          <t>동일 직군 내 고급 도메인 지식</t>
        </is>
      </c>
      <c r="J797" s="18" t="inlineStr">
        <is>
          <t>직무 순환 및 실무 1~2년</t>
        </is>
      </c>
      <c r="K797" s="17" t="inlineStr">
        <is>
          <t>★★☆☆☆</t>
        </is>
      </c>
      <c r="L797" s="21" t="inlineStr">
        <is>
          <t>+12.5%</t>
        </is>
      </c>
    </row>
    <row r="798">
      <c r="A798" s="15" t="inlineStr">
        <is>
          <t>TR-0797</t>
        </is>
      </c>
      <c r="B798" s="15" t="inlineStr">
        <is>
          <t>3321</t>
        </is>
      </c>
      <c r="C798" s="16" t="inlineStr">
        <is>
          <t>Insurance Representatives</t>
        </is>
      </c>
      <c r="D798" s="15" t="inlineStr">
        <is>
          <t>3322</t>
        </is>
      </c>
      <c r="E798" s="16" t="inlineStr">
        <is>
          <t>Commercial Sales Representatives</t>
        </is>
      </c>
      <c r="F798" s="16" t="inlineStr">
        <is>
          <t>금융투자 / 핀테크 / 리스크</t>
        </is>
      </c>
      <c r="G798" s="15" t="inlineStr">
        <is>
          <t>intra_cluster_transition</t>
        </is>
      </c>
      <c r="H798" s="16" t="inlineStr">
        <is>
          <t>soliciting, orders, selling</t>
        </is>
      </c>
      <c r="I798" s="16" t="inlineStr">
        <is>
          <t>동일 직군 내 고급 도메인 지식</t>
        </is>
      </c>
      <c r="J798" s="16" t="inlineStr">
        <is>
          <t>직무 순환 및 실무 1~2년</t>
        </is>
      </c>
      <c r="K798" s="15" t="inlineStr">
        <is>
          <t>★★☆☆☆</t>
        </is>
      </c>
      <c r="L798" s="20" t="inlineStr">
        <is>
          <t>+12.5%</t>
        </is>
      </c>
    </row>
    <row r="799">
      <c r="A799" s="17" t="inlineStr">
        <is>
          <t>TR-0798</t>
        </is>
      </c>
      <c r="B799" s="17" t="inlineStr">
        <is>
          <t>3322</t>
        </is>
      </c>
      <c r="C799" s="18" t="inlineStr">
        <is>
          <t>Commercial Sales Representatives</t>
        </is>
      </c>
      <c r="D799" s="17" t="inlineStr">
        <is>
          <t>3323</t>
        </is>
      </c>
      <c r="E799" s="18" t="inlineStr">
        <is>
          <t>Buyers</t>
        </is>
      </c>
      <c r="F799" s="18" t="inlineStr">
        <is>
          <t>금융투자 / 핀테크 / 리스크</t>
        </is>
      </c>
      <c r="G799" s="17" t="inlineStr">
        <is>
          <t>intra_cluster_transition</t>
        </is>
      </c>
      <c r="H799" s="18" t="inlineStr">
        <is>
          <t>determining, negotiating, contract</t>
        </is>
      </c>
      <c r="I799" s="18" t="inlineStr">
        <is>
          <t>동일 직군 내 고급 도메인 지식</t>
        </is>
      </c>
      <c r="J799" s="18" t="inlineStr">
        <is>
          <t>직무 순환 및 실무 1~2년</t>
        </is>
      </c>
      <c r="K799" s="17" t="inlineStr">
        <is>
          <t>★★☆☆☆</t>
        </is>
      </c>
      <c r="L799" s="21" t="inlineStr">
        <is>
          <t>+12.5%</t>
        </is>
      </c>
    </row>
    <row r="800">
      <c r="A800" s="15" t="inlineStr">
        <is>
          <t>TR-0799</t>
        </is>
      </c>
      <c r="B800" s="15" t="inlineStr">
        <is>
          <t>3331</t>
        </is>
      </c>
      <c r="C800" s="16" t="inlineStr">
        <is>
          <t>Clearing and Forwarding Aents</t>
        </is>
      </c>
      <c r="D800" s="15" t="inlineStr">
        <is>
          <t>3332</t>
        </is>
      </c>
      <c r="E800" s="16" t="inlineStr">
        <is>
          <t>Conference and Event Planners</t>
        </is>
      </c>
      <c r="F800" s="16" t="inlineStr">
        <is>
          <t>금융투자 / 핀테크 / 리스크</t>
        </is>
      </c>
      <c r="G800" s="15" t="inlineStr">
        <is>
          <t>intra_cluster_transition</t>
        </is>
      </c>
      <c r="H800" s="16" t="inlineStr">
        <is>
          <t>promoting, conferences, conventions</t>
        </is>
      </c>
      <c r="I800" s="16" t="inlineStr">
        <is>
          <t>동일 직군 내 고급 도메인 지식</t>
        </is>
      </c>
      <c r="J800" s="16" t="inlineStr">
        <is>
          <t>직무 순환 및 실무 1~2년</t>
        </is>
      </c>
      <c r="K800" s="15" t="inlineStr">
        <is>
          <t>★★☆☆☆</t>
        </is>
      </c>
      <c r="L800" s="20" t="inlineStr">
        <is>
          <t>+12.5%</t>
        </is>
      </c>
    </row>
    <row r="801">
      <c r="A801" s="17" t="inlineStr">
        <is>
          <t>TR-0800</t>
        </is>
      </c>
      <c r="B801" s="17" t="inlineStr">
        <is>
          <t>3332</t>
        </is>
      </c>
      <c r="C801" s="18" t="inlineStr">
        <is>
          <t>Conference and Event Planners</t>
        </is>
      </c>
      <c r="D801" s="17" t="inlineStr">
        <is>
          <t>3333</t>
        </is>
      </c>
      <c r="E801" s="18" t="inlineStr">
        <is>
          <t>Employment agents and contractors</t>
        </is>
      </c>
      <c r="F801" s="18" t="inlineStr">
        <is>
          <t>금융투자 / 핀테크 / 리스크</t>
        </is>
      </c>
      <c r="G801" s="17" t="inlineStr">
        <is>
          <t>intra_cluster_transition</t>
        </is>
      </c>
      <c r="H801" s="18" t="inlineStr">
        <is>
          <t>matching, jobseekers, with</t>
        </is>
      </c>
      <c r="I801" s="18" t="inlineStr">
        <is>
          <t>동일 직군 내 고급 도메인 지식</t>
        </is>
      </c>
      <c r="J801" s="18" t="inlineStr">
        <is>
          <t>직무 순환 및 실무 1~2년</t>
        </is>
      </c>
      <c r="K801" s="17" t="inlineStr">
        <is>
          <t>★★☆☆☆</t>
        </is>
      </c>
      <c r="L801" s="21" t="inlineStr">
        <is>
          <t>+12.5%</t>
        </is>
      </c>
    </row>
    <row r="802">
      <c r="A802" s="15" t="inlineStr">
        <is>
          <t>TR-0801</t>
        </is>
      </c>
      <c r="B802" s="15" t="inlineStr">
        <is>
          <t>3333</t>
        </is>
      </c>
      <c r="C802" s="16" t="inlineStr">
        <is>
          <t>Employment agents and contractors</t>
        </is>
      </c>
      <c r="D802" s="15" t="inlineStr">
        <is>
          <t>3334</t>
        </is>
      </c>
      <c r="E802" s="16" t="inlineStr">
        <is>
          <t>Real Estate Agents and Property Managers</t>
        </is>
      </c>
      <c r="F802" s="16" t="inlineStr">
        <is>
          <t>금융투자 / 핀테크 / 리스크</t>
        </is>
      </c>
      <c r="G802" s="15" t="inlineStr">
        <is>
          <t>intra_cluster_transition</t>
        </is>
      </c>
      <c r="H802" s="16" t="inlineStr">
        <is>
          <t>obtaining, information, about</t>
        </is>
      </c>
      <c r="I802" s="16" t="inlineStr">
        <is>
          <t>동일 직군 내 고급 도메인 지식</t>
        </is>
      </c>
      <c r="J802" s="16" t="inlineStr">
        <is>
          <t>직무 순환 및 실무 1~2년</t>
        </is>
      </c>
      <c r="K802" s="15" t="inlineStr">
        <is>
          <t>★★☆☆☆</t>
        </is>
      </c>
      <c r="L802" s="20" t="inlineStr">
        <is>
          <t>+12.5%</t>
        </is>
      </c>
    </row>
    <row r="803">
      <c r="A803" s="17" t="inlineStr">
        <is>
          <t>TR-0802</t>
        </is>
      </c>
      <c r="B803" s="17" t="inlineStr">
        <is>
          <t>3334</t>
        </is>
      </c>
      <c r="C803" s="18" t="inlineStr">
        <is>
          <t>Real Estate Agents and Property Managers</t>
        </is>
      </c>
      <c r="D803" s="17" t="inlineStr">
        <is>
          <t>3339</t>
        </is>
      </c>
      <c r="E803" s="18" t="inlineStr">
        <is>
          <t>Business Services Agents Not Elsewhere Classified</t>
        </is>
      </c>
      <c r="F803" s="18" t="inlineStr">
        <is>
          <t>금융투자 / 핀테크 / 리스크</t>
        </is>
      </c>
      <c r="G803" s="17" t="inlineStr">
        <is>
          <t>intra_cluster_transition</t>
        </is>
      </c>
      <c r="H803" s="18" t="inlineStr">
        <is>
          <t>such, cases, would</t>
        </is>
      </c>
      <c r="I803" s="18" t="inlineStr">
        <is>
          <t>동일 직군 내 고급 도메인 지식</t>
        </is>
      </c>
      <c r="J803" s="18" t="inlineStr">
        <is>
          <t>직무 순환 및 실무 1~2년</t>
        </is>
      </c>
      <c r="K803" s="17" t="inlineStr">
        <is>
          <t>★★☆☆☆</t>
        </is>
      </c>
      <c r="L803" s="21" t="inlineStr">
        <is>
          <t>+12.5%</t>
        </is>
      </c>
    </row>
    <row r="804">
      <c r="A804" s="15" t="inlineStr">
        <is>
          <t>TR-0803</t>
        </is>
      </c>
      <c r="B804" s="15" t="inlineStr">
        <is>
          <t>3341</t>
        </is>
      </c>
      <c r="C804" s="16" t="inlineStr">
        <is>
          <t>Office Supervisors</t>
        </is>
      </c>
      <c r="D804" s="15" t="inlineStr">
        <is>
          <t>3342</t>
        </is>
      </c>
      <c r="E804" s="16" t="inlineStr">
        <is>
          <t>Legal Secretaries</t>
        </is>
      </c>
      <c r="F804" s="16" t="inlineStr">
        <is>
          <t>금융투자 / 핀테크 / 리스크</t>
        </is>
      </c>
      <c r="G804" s="15" t="inlineStr">
        <is>
          <t>intra_cluster_transition</t>
        </is>
      </c>
      <c r="H804" s="16" t="inlineStr">
        <is>
          <t>preparing, processing, legal</t>
        </is>
      </c>
      <c r="I804" s="16" t="inlineStr">
        <is>
          <t>동일 직군 내 고급 도메인 지식</t>
        </is>
      </c>
      <c r="J804" s="16" t="inlineStr">
        <is>
          <t>직무 순환 및 실무 1~2년</t>
        </is>
      </c>
      <c r="K804" s="15" t="inlineStr">
        <is>
          <t>★★☆☆☆</t>
        </is>
      </c>
      <c r="L804" s="20" t="inlineStr">
        <is>
          <t>+12.5%</t>
        </is>
      </c>
    </row>
    <row r="805">
      <c r="A805" s="17" t="inlineStr">
        <is>
          <t>TR-0804</t>
        </is>
      </c>
      <c r="B805" s="17" t="inlineStr">
        <is>
          <t>3342</t>
        </is>
      </c>
      <c r="C805" s="18" t="inlineStr">
        <is>
          <t>Legal Secretaries</t>
        </is>
      </c>
      <c r="D805" s="17" t="inlineStr">
        <is>
          <t>3343</t>
        </is>
      </c>
      <c r="E805" s="18" t="inlineStr">
        <is>
          <t>Administrative and Executive Secretaries</t>
        </is>
      </c>
      <c r="F805" s="18" t="inlineStr">
        <is>
          <t>금융투자 / 핀테크 / 리스크</t>
        </is>
      </c>
      <c r="G805" s="17" t="inlineStr">
        <is>
          <t>intra_cluster_transition</t>
        </is>
      </c>
      <c r="H805" s="18" t="inlineStr">
        <is>
          <t>drafting, administrative, correspondence</t>
        </is>
      </c>
      <c r="I805" s="18" t="inlineStr">
        <is>
          <t>동일 직군 내 고급 도메인 지식</t>
        </is>
      </c>
      <c r="J805" s="18" t="inlineStr">
        <is>
          <t>직무 순환 및 실무 1~2년</t>
        </is>
      </c>
      <c r="K805" s="17" t="inlineStr">
        <is>
          <t>★★☆☆☆</t>
        </is>
      </c>
      <c r="L805" s="21" t="inlineStr">
        <is>
          <t>+12.5%</t>
        </is>
      </c>
    </row>
    <row r="806">
      <c r="A806" s="15" t="inlineStr">
        <is>
          <t>TR-0805</t>
        </is>
      </c>
      <c r="B806" s="15" t="inlineStr">
        <is>
          <t>3351</t>
        </is>
      </c>
      <c r="C806" s="16" t="inlineStr">
        <is>
          <t>Customs and Border Inspectors</t>
        </is>
      </c>
      <c r="D806" s="15" t="inlineStr">
        <is>
          <t>3352</t>
        </is>
      </c>
      <c r="E806" s="16" t="inlineStr">
        <is>
          <t>Government Tax and Excise Officials</t>
        </is>
      </c>
      <c r="F806" s="16" t="inlineStr">
        <is>
          <t>금융투자 / 핀테크 / 리스크</t>
        </is>
      </c>
      <c r="G806" s="15" t="inlineStr">
        <is>
          <t>intra_cluster_transition</t>
        </is>
      </c>
      <c r="H806" s="16" t="inlineStr">
        <is>
          <t>advising, organizations, enterprises</t>
        </is>
      </c>
      <c r="I806" s="16" t="inlineStr">
        <is>
          <t>동일 직군 내 고급 도메인 지식</t>
        </is>
      </c>
      <c r="J806" s="16" t="inlineStr">
        <is>
          <t>직무 순환 및 실무 1~2년</t>
        </is>
      </c>
      <c r="K806" s="15" t="inlineStr">
        <is>
          <t>★★☆☆☆</t>
        </is>
      </c>
      <c r="L806" s="20" t="inlineStr">
        <is>
          <t>+12.5%</t>
        </is>
      </c>
    </row>
    <row r="807">
      <c r="A807" s="17" t="inlineStr">
        <is>
          <t>TR-0806</t>
        </is>
      </c>
      <c r="B807" s="17" t="inlineStr">
        <is>
          <t>3352</t>
        </is>
      </c>
      <c r="C807" s="18" t="inlineStr">
        <is>
          <t>Government Tax and Excise Officials</t>
        </is>
      </c>
      <c r="D807" s="17" t="inlineStr">
        <is>
          <t>3353</t>
        </is>
      </c>
      <c r="E807" s="18" t="inlineStr">
        <is>
          <t>Government Social Benefits Officials</t>
        </is>
      </c>
      <c r="F807" s="18" t="inlineStr">
        <is>
          <t>금융투자 / 핀테크 / 리스크</t>
        </is>
      </c>
      <c r="G807" s="17" t="inlineStr">
        <is>
          <t>intra_cluster_transition</t>
        </is>
      </c>
      <c r="H807" s="18" t="inlineStr">
        <is>
          <t>advising, individuals, organizations</t>
        </is>
      </c>
      <c r="I807" s="18" t="inlineStr">
        <is>
          <t>동일 직군 내 고급 도메인 지식</t>
        </is>
      </c>
      <c r="J807" s="18" t="inlineStr">
        <is>
          <t>직무 순환 및 실무 1~2년</t>
        </is>
      </c>
      <c r="K807" s="17" t="inlineStr">
        <is>
          <t>★★☆☆☆</t>
        </is>
      </c>
      <c r="L807" s="21" t="inlineStr">
        <is>
          <t>+12.5%</t>
        </is>
      </c>
    </row>
    <row r="808">
      <c r="A808" s="15" t="inlineStr">
        <is>
          <t>TR-0807</t>
        </is>
      </c>
      <c r="B808" s="15" t="inlineStr">
        <is>
          <t>3353</t>
        </is>
      </c>
      <c r="C808" s="16" t="inlineStr">
        <is>
          <t>Government Social Benefits Officials</t>
        </is>
      </c>
      <c r="D808" s="15" t="inlineStr">
        <is>
          <t>3354</t>
        </is>
      </c>
      <c r="E808" s="16" t="inlineStr">
        <is>
          <t>Government Licensing Officials</t>
        </is>
      </c>
      <c r="F808" s="16" t="inlineStr">
        <is>
          <t>금융투자 / 핀테크 / 리스크</t>
        </is>
      </c>
      <c r="G808" s="15" t="inlineStr">
        <is>
          <t>intra_cluster_transition</t>
        </is>
      </c>
      <c r="H808" s="16" t="inlineStr">
        <is>
          <t>advising, individuals, government</t>
        </is>
      </c>
      <c r="I808" s="16" t="inlineStr">
        <is>
          <t>동일 직군 내 고급 도메인 지식</t>
        </is>
      </c>
      <c r="J808" s="16" t="inlineStr">
        <is>
          <t>직무 순환 및 실무 1~2년</t>
        </is>
      </c>
      <c r="K808" s="15" t="inlineStr">
        <is>
          <t>★★☆☆☆</t>
        </is>
      </c>
      <c r="L808" s="20" t="inlineStr">
        <is>
          <t>+12.5%</t>
        </is>
      </c>
    </row>
    <row r="809">
      <c r="A809" s="17" t="inlineStr">
        <is>
          <t>TR-0808</t>
        </is>
      </c>
      <c r="B809" s="17" t="inlineStr">
        <is>
          <t>3354</t>
        </is>
      </c>
      <c r="C809" s="18" t="inlineStr">
        <is>
          <t>Government Licensing Officials</t>
        </is>
      </c>
      <c r="D809" s="17" t="inlineStr">
        <is>
          <t>3355</t>
        </is>
      </c>
      <c r="E809" s="18" t="inlineStr">
        <is>
          <t>Police Inspectors and Detectives</t>
        </is>
      </c>
      <c r="F809" s="18" t="inlineStr">
        <is>
          <t>금융투자 / 핀테크 / 리스크</t>
        </is>
      </c>
      <c r="G809" s="17" t="inlineStr">
        <is>
          <t>intra_cluster_transition</t>
        </is>
      </c>
      <c r="H809" s="18" t="inlineStr">
        <is>
          <t>establishing, contacts, sources</t>
        </is>
      </c>
      <c r="I809" s="18" t="inlineStr">
        <is>
          <t>동일 직군 내 고급 도메인 지식</t>
        </is>
      </c>
      <c r="J809" s="18" t="inlineStr">
        <is>
          <t>직무 순환 및 실무 1~2년</t>
        </is>
      </c>
      <c r="K809" s="17" t="inlineStr">
        <is>
          <t>★★☆☆☆</t>
        </is>
      </c>
      <c r="L809" s="21" t="inlineStr">
        <is>
          <t>+12.5%</t>
        </is>
      </c>
    </row>
    <row r="810">
      <c r="A810" s="15" t="inlineStr">
        <is>
          <t>TR-0809</t>
        </is>
      </c>
      <c r="B810" s="15" t="inlineStr">
        <is>
          <t>3355</t>
        </is>
      </c>
      <c r="C810" s="16" t="inlineStr">
        <is>
          <t>Police Inspectors and Detectives</t>
        </is>
      </c>
      <c r="D810" s="15" t="inlineStr">
        <is>
          <t>3359</t>
        </is>
      </c>
      <c r="E810" s="16" t="inlineStr">
        <is>
          <t>Government Regulatory AssociatePprofessionals Not Elsewhere Classified</t>
        </is>
      </c>
      <c r="F810" s="16" t="inlineStr">
        <is>
          <t>금융투자 / 핀테크 / 리스크</t>
        </is>
      </c>
      <c r="G810" s="15" t="inlineStr">
        <is>
          <t>intra_cluster_transition</t>
        </is>
      </c>
      <c r="H810" s="16" t="inlineStr">
        <is>
          <t>such, cases, would</t>
        </is>
      </c>
      <c r="I810" s="16" t="inlineStr">
        <is>
          <t>동일 직군 내 고급 도메인 지식</t>
        </is>
      </c>
      <c r="J810" s="16" t="inlineStr">
        <is>
          <t>직무 순환 및 실무 1~2년</t>
        </is>
      </c>
      <c r="K810" s="15" t="inlineStr">
        <is>
          <t>★★☆☆☆</t>
        </is>
      </c>
      <c r="L810" s="20" t="inlineStr">
        <is>
          <t>+12.5%</t>
        </is>
      </c>
    </row>
    <row r="811">
      <c r="A811" s="17" t="inlineStr">
        <is>
          <t>TR-0810</t>
        </is>
      </c>
      <c r="B811" s="17" t="inlineStr">
        <is>
          <t>3411</t>
        </is>
      </c>
      <c r="C811" s="18" t="inlineStr">
        <is>
          <t>Legal and Related Associate Professionals</t>
        </is>
      </c>
      <c r="D811" s="17" t="inlineStr">
        <is>
          <t>3412</t>
        </is>
      </c>
      <c r="E811" s="18" t="inlineStr">
        <is>
          <t>Social Work Associate Professionals</t>
        </is>
      </c>
      <c r="F811" s="18" t="inlineStr">
        <is>
          <t>법률 / 지식재산권 / 변리</t>
        </is>
      </c>
      <c r="G811" s="17" t="inlineStr">
        <is>
          <t>intra_cluster_transition</t>
        </is>
      </c>
      <c r="H811" s="18" t="inlineStr">
        <is>
          <t>collecting, information, relevant</t>
        </is>
      </c>
      <c r="I811" s="18" t="inlineStr">
        <is>
          <t>동일 직군 내 고급 도메인 지식</t>
        </is>
      </c>
      <c r="J811" s="18" t="inlineStr">
        <is>
          <t>직무 순환 및 실무 1~2년</t>
        </is>
      </c>
      <c r="K811" s="17" t="inlineStr">
        <is>
          <t>★★☆☆☆</t>
        </is>
      </c>
      <c r="L811" s="21" t="inlineStr">
        <is>
          <t>+12.5%</t>
        </is>
      </c>
    </row>
    <row r="812">
      <c r="A812" s="15" t="inlineStr">
        <is>
          <t>TR-0811</t>
        </is>
      </c>
      <c r="B812" s="15" t="inlineStr">
        <is>
          <t>3412</t>
        </is>
      </c>
      <c r="C812" s="16" t="inlineStr">
        <is>
          <t>Social Work Associate Professionals</t>
        </is>
      </c>
      <c r="D812" s="15" t="inlineStr">
        <is>
          <t>3413</t>
        </is>
      </c>
      <c r="E812" s="16" t="inlineStr">
        <is>
          <t>Religious Associate Professionals</t>
        </is>
      </c>
      <c r="F812" s="16" t="inlineStr">
        <is>
          <t>법률 / 지식재산권 / 변리</t>
        </is>
      </c>
      <c r="G812" s="15" t="inlineStr">
        <is>
          <t>intra_cluster_transition</t>
        </is>
      </c>
      <c r="H812" s="16" t="inlineStr">
        <is>
          <t>undertaking, religious, works</t>
        </is>
      </c>
      <c r="I812" s="16" t="inlineStr">
        <is>
          <t>동일 직군 내 고급 도메인 지식</t>
        </is>
      </c>
      <c r="J812" s="16" t="inlineStr">
        <is>
          <t>직무 순환 및 실무 1~2년</t>
        </is>
      </c>
      <c r="K812" s="15" t="inlineStr">
        <is>
          <t>★★☆☆☆</t>
        </is>
      </c>
      <c r="L812" s="20" t="inlineStr">
        <is>
          <t>+12.5%</t>
        </is>
      </c>
    </row>
    <row r="813">
      <c r="A813" s="17" t="inlineStr">
        <is>
          <t>TR-0812</t>
        </is>
      </c>
      <c r="B813" s="17" t="inlineStr">
        <is>
          <t>3421</t>
        </is>
      </c>
      <c r="C813" s="18" t="inlineStr">
        <is>
          <t>Athletes and Sports Players</t>
        </is>
      </c>
      <c r="D813" s="17" t="inlineStr">
        <is>
          <t>3422</t>
        </is>
      </c>
      <c r="E813" s="18" t="inlineStr">
        <is>
          <t>Sports Coaches, Instructors and Officials</t>
        </is>
      </c>
      <c r="F813" s="18" t="inlineStr">
        <is>
          <t>법률 / 지식재산권 / 변리</t>
        </is>
      </c>
      <c r="G813" s="17" t="inlineStr">
        <is>
          <t>intra_cluster_transition</t>
        </is>
      </c>
      <c r="H813" s="18" t="inlineStr">
        <is>
          <t>identifying, strengths, weaknesses</t>
        </is>
      </c>
      <c r="I813" s="18" t="inlineStr">
        <is>
          <t>동일 직군 내 고급 도메인 지식</t>
        </is>
      </c>
      <c r="J813" s="18" t="inlineStr">
        <is>
          <t>직무 순환 및 실무 1~2년</t>
        </is>
      </c>
      <c r="K813" s="17" t="inlineStr">
        <is>
          <t>★★☆☆☆</t>
        </is>
      </c>
      <c r="L813" s="21" t="inlineStr">
        <is>
          <t>+12.5%</t>
        </is>
      </c>
    </row>
    <row r="814">
      <c r="A814" s="15" t="inlineStr">
        <is>
          <t>TR-0813</t>
        </is>
      </c>
      <c r="B814" s="15" t="inlineStr">
        <is>
          <t>3431</t>
        </is>
      </c>
      <c r="C814" s="16" t="inlineStr">
        <is>
          <t>Photographers</t>
        </is>
      </c>
      <c r="D814" s="15" t="inlineStr">
        <is>
          <t>3432</t>
        </is>
      </c>
      <c r="E814" s="16" t="inlineStr">
        <is>
          <t>Interior Designers and Decorators</t>
        </is>
      </c>
      <c r="F814" s="16" t="inlineStr">
        <is>
          <t>법률 / 지식재산권 / 변리</t>
        </is>
      </c>
      <c r="G814" s="15" t="inlineStr">
        <is>
          <t>intra_cluster_transition</t>
        </is>
      </c>
      <c r="H814" s="16" t="inlineStr">
        <is>
          <t>determining, objectives, constraints</t>
        </is>
      </c>
      <c r="I814" s="16" t="inlineStr">
        <is>
          <t>동일 직군 내 고급 도메인 지식</t>
        </is>
      </c>
      <c r="J814" s="16" t="inlineStr">
        <is>
          <t>직무 순환 및 실무 1~2년</t>
        </is>
      </c>
      <c r="K814" s="15" t="inlineStr">
        <is>
          <t>★★☆☆☆</t>
        </is>
      </c>
      <c r="L814" s="20" t="inlineStr">
        <is>
          <t>+12.5%</t>
        </is>
      </c>
    </row>
    <row r="815">
      <c r="A815" s="17" t="inlineStr">
        <is>
          <t>TR-0814</t>
        </is>
      </c>
      <c r="B815" s="17" t="inlineStr">
        <is>
          <t>3432</t>
        </is>
      </c>
      <c r="C815" s="18" t="inlineStr">
        <is>
          <t>Interior Designers and Decorators</t>
        </is>
      </c>
      <c r="D815" s="17" t="inlineStr">
        <is>
          <t>3433</t>
        </is>
      </c>
      <c r="E815" s="18" t="inlineStr">
        <is>
          <t>Gallery, Museum and Library Technicians</t>
        </is>
      </c>
      <c r="F815" s="18" t="inlineStr">
        <is>
          <t>법률 / 지식재산권 / 변리</t>
        </is>
      </c>
      <c r="G815" s="17" t="inlineStr">
        <is>
          <t>intra_cluster_transition</t>
        </is>
      </c>
      <c r="H815" s="18" t="inlineStr">
        <is>
          <t>mounting, preparing, objects</t>
        </is>
      </c>
      <c r="I815" s="18" t="inlineStr">
        <is>
          <t>동일 직군 내 고급 도메인 지식</t>
        </is>
      </c>
      <c r="J815" s="18" t="inlineStr">
        <is>
          <t>직무 순환 및 실무 1~2년</t>
        </is>
      </c>
      <c r="K815" s="17" t="inlineStr">
        <is>
          <t>★★☆☆☆</t>
        </is>
      </c>
      <c r="L815" s="21" t="inlineStr">
        <is>
          <t>+12.5%</t>
        </is>
      </c>
    </row>
    <row r="816">
      <c r="A816" s="15" t="inlineStr">
        <is>
          <t>TR-0815</t>
        </is>
      </c>
      <c r="B816" s="15" t="inlineStr">
        <is>
          <t>3433</t>
        </is>
      </c>
      <c r="C816" s="16" t="inlineStr">
        <is>
          <t>Gallery, Museum and Library Technicians</t>
        </is>
      </c>
      <c r="D816" s="15" t="inlineStr">
        <is>
          <t>3434</t>
        </is>
      </c>
      <c r="E816" s="16" t="inlineStr">
        <is>
          <t>Chefs</t>
        </is>
      </c>
      <c r="F816" s="16" t="inlineStr">
        <is>
          <t>법률 / 지식재산권 / 변리</t>
        </is>
      </c>
      <c r="G816" s="15" t="inlineStr">
        <is>
          <t>intra_cluster_transition</t>
        </is>
      </c>
      <c r="H816" s="16" t="inlineStr">
        <is>
          <t>planning, developing, recipes</t>
        </is>
      </c>
      <c r="I816" s="16" t="inlineStr">
        <is>
          <t>동일 직군 내 고급 도메인 지식</t>
        </is>
      </c>
      <c r="J816" s="16" t="inlineStr">
        <is>
          <t>직무 순환 및 실무 1~2년</t>
        </is>
      </c>
      <c r="K816" s="15" t="inlineStr">
        <is>
          <t>★★☆☆☆</t>
        </is>
      </c>
      <c r="L816" s="20" t="inlineStr">
        <is>
          <t>+12.5%</t>
        </is>
      </c>
    </row>
    <row r="817">
      <c r="A817" s="17" t="inlineStr">
        <is>
          <t>TR-0816</t>
        </is>
      </c>
      <c r="B817" s="17" t="inlineStr">
        <is>
          <t>3434</t>
        </is>
      </c>
      <c r="C817" s="18" t="inlineStr">
        <is>
          <t>Chefs</t>
        </is>
      </c>
      <c r="D817" s="17" t="inlineStr">
        <is>
          <t>3435</t>
        </is>
      </c>
      <c r="E817" s="18" t="inlineStr">
        <is>
          <t>Other Artistic and Cultural Associate Professionals</t>
        </is>
      </c>
      <c r="F817" s="18" t="inlineStr">
        <is>
          <t>법률 / 지식재산권 / 변리</t>
        </is>
      </c>
      <c r="G817" s="17" t="inlineStr">
        <is>
          <t>intra_cluster_transition</t>
        </is>
      </c>
      <c r="H817" s="18" t="inlineStr">
        <is>
          <t>Other Artistic and Cultural Associate Professionals 실무, 표준 프로세스 준수, 데이터/지표 분석</t>
        </is>
      </c>
      <c r="I817" s="18" t="inlineStr">
        <is>
          <t>동일 직군 내 고급 도메인 지식</t>
        </is>
      </c>
      <c r="J817" s="18" t="inlineStr">
        <is>
          <t>직무 순환 및 실무 1~2년</t>
        </is>
      </c>
      <c r="K817" s="17" t="inlineStr">
        <is>
          <t>★★☆☆☆</t>
        </is>
      </c>
      <c r="L817" s="21" t="inlineStr">
        <is>
          <t>+12.5%</t>
        </is>
      </c>
    </row>
    <row r="818">
      <c r="A818" s="15" t="inlineStr">
        <is>
          <t>TR-0817</t>
        </is>
      </c>
      <c r="B818" s="15" t="inlineStr">
        <is>
          <t>3511</t>
        </is>
      </c>
      <c r="C818" s="16" t="inlineStr">
        <is>
          <t>Information and Communications Technology Operations Technicians</t>
        </is>
      </c>
      <c r="D818" s="15" t="inlineStr">
        <is>
          <t>3512</t>
        </is>
      </c>
      <c r="E818" s="16" t="inlineStr">
        <is>
          <t>Information and Communications Technology User Support Technicians</t>
        </is>
      </c>
      <c r="F818" s="16" t="inlineStr">
        <is>
          <t>ICT / Software &amp; Data / AI</t>
        </is>
      </c>
      <c r="G818" s="15" t="inlineStr">
        <is>
          <t>intra_cluster_transition</t>
        </is>
      </c>
      <c r="H818" s="16" t="inlineStr">
        <is>
          <t>answering, user, inquiries</t>
        </is>
      </c>
      <c r="I818" s="16" t="inlineStr">
        <is>
          <t>동일 직군 내 고급 도메인 지식</t>
        </is>
      </c>
      <c r="J818" s="16" t="inlineStr">
        <is>
          <t>직무 순환 및 실무 1~2년</t>
        </is>
      </c>
      <c r="K818" s="15" t="inlineStr">
        <is>
          <t>★★☆☆☆</t>
        </is>
      </c>
      <c r="L818" s="20" t="inlineStr">
        <is>
          <t>+12.5%</t>
        </is>
      </c>
    </row>
    <row r="819">
      <c r="A819" s="17" t="inlineStr">
        <is>
          <t>TR-0818</t>
        </is>
      </c>
      <c r="B819" s="17" t="inlineStr">
        <is>
          <t>3512</t>
        </is>
      </c>
      <c r="C819" s="18" t="inlineStr">
        <is>
          <t>Information and Communications Technology User Support Technicians</t>
        </is>
      </c>
      <c r="D819" s="17" t="inlineStr">
        <is>
          <t>3513</t>
        </is>
      </c>
      <c r="E819" s="18" t="inlineStr">
        <is>
          <t>Computer Network and Systems Technicians</t>
        </is>
      </c>
      <c r="F819" s="18" t="inlineStr">
        <is>
          <t>ICT / Software &amp; Data / AI</t>
        </is>
      </c>
      <c r="G819" s="17" t="inlineStr">
        <is>
          <t>intra_cluster_transition</t>
        </is>
      </c>
      <c r="H819" s="18" t="inlineStr">
        <is>
          <t>operating, maintaining, troubleshooting</t>
        </is>
      </c>
      <c r="I819" s="18" t="inlineStr">
        <is>
          <t>동일 직군 내 고급 도메인 지식</t>
        </is>
      </c>
      <c r="J819" s="18" t="inlineStr">
        <is>
          <t>직무 순환 및 실무 1~2년</t>
        </is>
      </c>
      <c r="K819" s="17" t="inlineStr">
        <is>
          <t>★★☆☆☆</t>
        </is>
      </c>
      <c r="L819" s="21" t="inlineStr">
        <is>
          <t>+12.5%</t>
        </is>
      </c>
    </row>
    <row r="820">
      <c r="A820" s="15" t="inlineStr">
        <is>
          <t>TR-0819</t>
        </is>
      </c>
      <c r="B820" s="15" t="inlineStr">
        <is>
          <t>3521</t>
        </is>
      </c>
      <c r="C820" s="16" t="inlineStr">
        <is>
          <t>Broadcasting and Audio-visual Technicians</t>
        </is>
      </c>
      <c r="D820" s="15" t="inlineStr">
        <is>
          <t>3522</t>
        </is>
      </c>
      <c r="E820" s="16" t="inlineStr">
        <is>
          <t>Telecommunications Engineering Technicians</t>
        </is>
      </c>
      <c r="F820" s="16" t="inlineStr">
        <is>
          <t>ICT / Software &amp; Data / AI</t>
        </is>
      </c>
      <c r="G820" s="15" t="inlineStr">
        <is>
          <t>intra_cluster_transition</t>
        </is>
      </c>
      <c r="H820" s="16" t="inlineStr">
        <is>
          <t>technical, assistance, connected</t>
        </is>
      </c>
      <c r="I820" s="16" t="inlineStr">
        <is>
          <t>동일 직군 내 고급 도메인 지식</t>
        </is>
      </c>
      <c r="J820" s="16" t="inlineStr">
        <is>
          <t>직무 순환 및 실무 1~2년</t>
        </is>
      </c>
      <c r="K820" s="15" t="inlineStr">
        <is>
          <t>★★☆☆☆</t>
        </is>
      </c>
      <c r="L820" s="20" t="inlineStr">
        <is>
          <t>+12.5%</t>
        </is>
      </c>
    </row>
    <row r="821">
      <c r="A821" s="17" t="inlineStr">
        <is>
          <t>TR-0820</t>
        </is>
      </c>
      <c r="B821" s="17" t="inlineStr">
        <is>
          <t>4131</t>
        </is>
      </c>
      <c r="C821" s="18" t="inlineStr">
        <is>
          <t>Typists and Word Processing Operators</t>
        </is>
      </c>
      <c r="D821" s="17" t="inlineStr">
        <is>
          <t>4132</t>
        </is>
      </c>
      <c r="E821" s="18" t="inlineStr">
        <is>
          <t>Data Entry Clerks</t>
        </is>
      </c>
      <c r="F821" s="18" t="inlineStr">
        <is>
          <t>경영전략 / 인사 / 사업개발</t>
        </is>
      </c>
      <c r="G821" s="17" t="inlineStr">
        <is>
          <t>intra_cluster_transition</t>
        </is>
      </c>
      <c r="H821" s="18" t="inlineStr">
        <is>
          <t>receiving, registering, invoices</t>
        </is>
      </c>
      <c r="I821" s="18" t="inlineStr">
        <is>
          <t>동일 직군 내 고급 도메인 지식</t>
        </is>
      </c>
      <c r="J821" s="18" t="inlineStr">
        <is>
          <t>직무 순환 및 실무 1~2년</t>
        </is>
      </c>
      <c r="K821" s="17" t="inlineStr">
        <is>
          <t>★★☆☆☆</t>
        </is>
      </c>
      <c r="L821" s="21" t="inlineStr">
        <is>
          <t>+12.5%</t>
        </is>
      </c>
    </row>
    <row r="822">
      <c r="A822" s="15" t="inlineStr">
        <is>
          <t>TR-0821</t>
        </is>
      </c>
      <c r="B822" s="15" t="inlineStr">
        <is>
          <t>4211</t>
        </is>
      </c>
      <c r="C822" s="16" t="inlineStr">
        <is>
          <t>Bank Tellers and Related Clerks</t>
        </is>
      </c>
      <c r="D822" s="15" t="inlineStr">
        <is>
          <t>4212</t>
        </is>
      </c>
      <c r="E822" s="16" t="inlineStr">
        <is>
          <t>Bookmakers, Croupiers and Related Gaming Workers</t>
        </is>
      </c>
      <c r="F822" s="16" t="inlineStr">
        <is>
          <t>B2B영업 / 마케팅 / GTM</t>
        </is>
      </c>
      <c r="G822" s="15" t="inlineStr">
        <is>
          <t>intra_cluster_transition</t>
        </is>
      </c>
      <c r="H822" s="16" t="inlineStr">
        <is>
          <t>determining, risks, decide</t>
        </is>
      </c>
      <c r="I822" s="16" t="inlineStr">
        <is>
          <t>동일 직군 내 고급 도메인 지식</t>
        </is>
      </c>
      <c r="J822" s="16" t="inlineStr">
        <is>
          <t>직무 순환 및 실무 1~2년</t>
        </is>
      </c>
      <c r="K822" s="15" t="inlineStr">
        <is>
          <t>★★☆☆☆</t>
        </is>
      </c>
      <c r="L822" s="20" t="inlineStr">
        <is>
          <t>+12.5%</t>
        </is>
      </c>
    </row>
    <row r="823">
      <c r="A823" s="17" t="inlineStr">
        <is>
          <t>TR-0822</t>
        </is>
      </c>
      <c r="B823" s="17" t="inlineStr">
        <is>
          <t>4212</t>
        </is>
      </c>
      <c r="C823" s="18" t="inlineStr">
        <is>
          <t>Bookmakers, Croupiers and Related Gaming Workers</t>
        </is>
      </c>
      <c r="D823" s="17" t="inlineStr">
        <is>
          <t>4213</t>
        </is>
      </c>
      <c r="E823" s="18" t="inlineStr">
        <is>
          <t>Pawnbrokers and Money-lenders</t>
        </is>
      </c>
      <c r="F823" s="18" t="inlineStr">
        <is>
          <t>B2B영업 / 마케팅 / GTM</t>
        </is>
      </c>
      <c r="G823" s="17" t="inlineStr">
        <is>
          <t>intra_cluster_transition</t>
        </is>
      </c>
      <c r="H823" s="18" t="inlineStr">
        <is>
          <t>evaluating, articles, offered</t>
        </is>
      </c>
      <c r="I823" s="18" t="inlineStr">
        <is>
          <t>동일 직군 내 고급 도메인 지식</t>
        </is>
      </c>
      <c r="J823" s="18" t="inlineStr">
        <is>
          <t>직무 순환 및 실무 1~2년</t>
        </is>
      </c>
      <c r="K823" s="17" t="inlineStr">
        <is>
          <t>★★☆☆☆</t>
        </is>
      </c>
      <c r="L823" s="21" t="inlineStr">
        <is>
          <t>+12.5%</t>
        </is>
      </c>
    </row>
    <row r="824">
      <c r="A824" s="15" t="inlineStr">
        <is>
          <t>TR-0823</t>
        </is>
      </c>
      <c r="B824" s="15" t="inlineStr">
        <is>
          <t>4213</t>
        </is>
      </c>
      <c r="C824" s="16" t="inlineStr">
        <is>
          <t>Pawnbrokers and Money-lenders</t>
        </is>
      </c>
      <c r="D824" s="15" t="inlineStr">
        <is>
          <t>4214</t>
        </is>
      </c>
      <c r="E824" s="16" t="inlineStr">
        <is>
          <t>Debt Collectors and Related Workers</t>
        </is>
      </c>
      <c r="F824" s="16" t="inlineStr">
        <is>
          <t>B2B영업 / 마케팅 / GTM</t>
        </is>
      </c>
      <c r="G824" s="15" t="inlineStr">
        <is>
          <t>intra_cluster_transition</t>
        </is>
      </c>
      <c r="H824" s="16" t="inlineStr">
        <is>
          <t>tracing, locating, debtors</t>
        </is>
      </c>
      <c r="I824" s="16" t="inlineStr">
        <is>
          <t>동일 직군 내 고급 도메인 지식</t>
        </is>
      </c>
      <c r="J824" s="16" t="inlineStr">
        <is>
          <t>직무 순환 및 실무 1~2년</t>
        </is>
      </c>
      <c r="K824" s="15" t="inlineStr">
        <is>
          <t>★★☆☆☆</t>
        </is>
      </c>
      <c r="L824" s="20" t="inlineStr">
        <is>
          <t>+12.5%</t>
        </is>
      </c>
    </row>
    <row r="825">
      <c r="A825" s="17" t="inlineStr">
        <is>
          <t>TR-0824</t>
        </is>
      </c>
      <c r="B825" s="17" t="inlineStr">
        <is>
          <t>4221</t>
        </is>
      </c>
      <c r="C825" s="18" t="inlineStr">
        <is>
          <t>Travel Consultants and Clerks</t>
        </is>
      </c>
      <c r="D825" s="17" t="inlineStr">
        <is>
          <t>4222</t>
        </is>
      </c>
      <c r="E825" s="18" t="inlineStr">
        <is>
          <t>Contact Centre Information Clerks</t>
        </is>
      </c>
      <c r="F825" s="18" t="inlineStr">
        <is>
          <t>B2B영업 / 마케팅 / GTM</t>
        </is>
      </c>
      <c r="G825" s="17" t="inlineStr">
        <is>
          <t>intra_cluster_transition</t>
        </is>
      </c>
      <c r="H825" s="18" t="inlineStr">
        <is>
          <t>dealing, with, incoming</t>
        </is>
      </c>
      <c r="I825" s="18" t="inlineStr">
        <is>
          <t>동일 직군 내 고급 도메인 지식</t>
        </is>
      </c>
      <c r="J825" s="18" t="inlineStr">
        <is>
          <t>직무 순환 및 실무 1~2년</t>
        </is>
      </c>
      <c r="K825" s="17" t="inlineStr">
        <is>
          <t>★★☆☆☆</t>
        </is>
      </c>
      <c r="L825" s="21" t="inlineStr">
        <is>
          <t>+12.5%</t>
        </is>
      </c>
    </row>
    <row r="826">
      <c r="A826" s="15" t="inlineStr">
        <is>
          <t>TR-0825</t>
        </is>
      </c>
      <c r="B826" s="15" t="inlineStr">
        <is>
          <t>4223</t>
        </is>
      </c>
      <c r="C826" s="16" t="inlineStr">
        <is>
          <t>Telephone Switchboard Operators</t>
        </is>
      </c>
      <c r="D826" s="15" t="inlineStr">
        <is>
          <t>4224</t>
        </is>
      </c>
      <c r="E826" s="16" t="inlineStr">
        <is>
          <t>Hotel Receptionists</t>
        </is>
      </c>
      <c r="F826" s="16" t="inlineStr">
        <is>
          <t>B2B영업 / 마케팅 / GTM</t>
        </is>
      </c>
      <c r="G826" s="15" t="inlineStr">
        <is>
          <t>intra_cluster_transition</t>
        </is>
      </c>
      <c r="H826" s="16" t="inlineStr">
        <is>
          <t>maintaining, inventory, rooms</t>
        </is>
      </c>
      <c r="I826" s="16" t="inlineStr">
        <is>
          <t>동일 직군 내 고급 도메인 지식</t>
        </is>
      </c>
      <c r="J826" s="16" t="inlineStr">
        <is>
          <t>직무 순환 및 실무 1~2년</t>
        </is>
      </c>
      <c r="K826" s="15" t="inlineStr">
        <is>
          <t>★★☆☆☆</t>
        </is>
      </c>
      <c r="L826" s="20" t="inlineStr">
        <is>
          <t>+12.5%</t>
        </is>
      </c>
    </row>
    <row r="827">
      <c r="A827" s="17" t="inlineStr">
        <is>
          <t>TR-0826</t>
        </is>
      </c>
      <c r="B827" s="17" t="inlineStr">
        <is>
          <t>4224</t>
        </is>
      </c>
      <c r="C827" s="18" t="inlineStr">
        <is>
          <t>Hotel Receptionists</t>
        </is>
      </c>
      <c r="D827" s="17" t="inlineStr">
        <is>
          <t>4225</t>
        </is>
      </c>
      <c r="E827" s="18" t="inlineStr">
        <is>
          <t>Inquiry Clerks</t>
        </is>
      </c>
      <c r="F827" s="18" t="inlineStr">
        <is>
          <t>B2B영업 / 마케팅 / GTM</t>
        </is>
      </c>
      <c r="G827" s="17" t="inlineStr">
        <is>
          <t>intra_cluster_transition</t>
        </is>
      </c>
      <c r="H827" s="18" t="inlineStr">
        <is>
          <t>answering, inquiries, about</t>
        </is>
      </c>
      <c r="I827" s="18" t="inlineStr">
        <is>
          <t>동일 직군 내 고급 도메인 지식</t>
        </is>
      </c>
      <c r="J827" s="18" t="inlineStr">
        <is>
          <t>직무 순환 및 실무 1~2년</t>
        </is>
      </c>
      <c r="K827" s="17" t="inlineStr">
        <is>
          <t>★★☆☆☆</t>
        </is>
      </c>
      <c r="L827" s="21" t="inlineStr">
        <is>
          <t>+12.5%</t>
        </is>
      </c>
    </row>
    <row r="828">
      <c r="A828" s="15" t="inlineStr">
        <is>
          <t>TR-0827</t>
        </is>
      </c>
      <c r="B828" s="15" t="inlineStr">
        <is>
          <t>4225</t>
        </is>
      </c>
      <c r="C828" s="16" t="inlineStr">
        <is>
          <t>Inquiry Clerks</t>
        </is>
      </c>
      <c r="D828" s="15" t="inlineStr">
        <is>
          <t>4226</t>
        </is>
      </c>
      <c r="E828" s="16" t="inlineStr">
        <is>
          <t>Receptionists (general)</t>
        </is>
      </c>
      <c r="F828" s="16" t="inlineStr">
        <is>
          <t>B2B영업 / 마케팅 / GTM</t>
        </is>
      </c>
      <c r="G828" s="15" t="inlineStr">
        <is>
          <t>intra_cluster_transition</t>
        </is>
      </c>
      <c r="H828" s="16" t="inlineStr">
        <is>
          <t>receiving, welcoming, visitors</t>
        </is>
      </c>
      <c r="I828" s="16" t="inlineStr">
        <is>
          <t>동일 직군 내 고급 도메인 지식</t>
        </is>
      </c>
      <c r="J828" s="16" t="inlineStr">
        <is>
          <t>직무 순환 및 실무 1~2년</t>
        </is>
      </c>
      <c r="K828" s="15" t="inlineStr">
        <is>
          <t>★★☆☆☆</t>
        </is>
      </c>
      <c r="L828" s="20" t="inlineStr">
        <is>
          <t>+12.5%</t>
        </is>
      </c>
    </row>
    <row r="829">
      <c r="A829" s="17" t="inlineStr">
        <is>
          <t>TR-0828</t>
        </is>
      </c>
      <c r="B829" s="17" t="inlineStr">
        <is>
          <t>4226</t>
        </is>
      </c>
      <c r="C829" s="18" t="inlineStr">
        <is>
          <t>Receptionists (general)</t>
        </is>
      </c>
      <c r="D829" s="17" t="inlineStr">
        <is>
          <t>4227</t>
        </is>
      </c>
      <c r="E829" s="18" t="inlineStr">
        <is>
          <t>Survey and Market Research Interviewers</t>
        </is>
      </c>
      <c r="F829" s="18" t="inlineStr">
        <is>
          <t>B2B영업 / 마케팅 / GTM</t>
        </is>
      </c>
      <c r="G829" s="17" t="inlineStr">
        <is>
          <t>intra_cluster_transition</t>
        </is>
      </c>
      <c r="H829" s="18" t="inlineStr">
        <is>
          <t>contacting, individuals, telephone</t>
        </is>
      </c>
      <c r="I829" s="18" t="inlineStr">
        <is>
          <t>동일 직군 내 고급 도메인 지식</t>
        </is>
      </c>
      <c r="J829" s="18" t="inlineStr">
        <is>
          <t>직무 순환 및 실무 1~2년</t>
        </is>
      </c>
      <c r="K829" s="17" t="inlineStr">
        <is>
          <t>★★☆☆☆</t>
        </is>
      </c>
      <c r="L829" s="21" t="inlineStr">
        <is>
          <t>+12.5%</t>
        </is>
      </c>
    </row>
    <row r="830">
      <c r="A830" s="15" t="inlineStr">
        <is>
          <t>TR-0829</t>
        </is>
      </c>
      <c r="B830" s="15" t="inlineStr">
        <is>
          <t>4227</t>
        </is>
      </c>
      <c r="C830" s="16" t="inlineStr">
        <is>
          <t>Survey and Market Research Interviewers</t>
        </is>
      </c>
      <c r="D830" s="15" t="inlineStr">
        <is>
          <t>4229</t>
        </is>
      </c>
      <c r="E830" s="16" t="inlineStr">
        <is>
          <t>Client Information Workers Not Elsewhere Classified</t>
        </is>
      </c>
      <c r="F830" s="16" t="inlineStr">
        <is>
          <t>B2B영업 / 마케팅 / GTM</t>
        </is>
      </c>
      <c r="G830" s="15" t="inlineStr">
        <is>
          <t>intra_cluster_transition</t>
        </is>
      </c>
      <c r="H830" s="16" t="inlineStr">
        <is>
          <t>such, cases, would</t>
        </is>
      </c>
      <c r="I830" s="16" t="inlineStr">
        <is>
          <t>동일 직군 내 고급 도메인 지식</t>
        </is>
      </c>
      <c r="J830" s="16" t="inlineStr">
        <is>
          <t>직무 순환 및 실무 1~2년</t>
        </is>
      </c>
      <c r="K830" s="15" t="inlineStr">
        <is>
          <t>★★☆☆☆</t>
        </is>
      </c>
      <c r="L830" s="20" t="inlineStr">
        <is>
          <t>+12.5%</t>
        </is>
      </c>
    </row>
    <row r="831">
      <c r="A831" s="17" t="inlineStr">
        <is>
          <t>TR-0830</t>
        </is>
      </c>
      <c r="B831" s="17" t="inlineStr">
        <is>
          <t>4311</t>
        </is>
      </c>
      <c r="C831" s="18" t="inlineStr">
        <is>
          <t>Accounting and Bookkeeping Clerks</t>
        </is>
      </c>
      <c r="D831" s="17" t="inlineStr">
        <is>
          <t>4312</t>
        </is>
      </c>
      <c r="E831" s="18" t="inlineStr">
        <is>
          <t>Statistical, Finance and Insurance Clerks</t>
        </is>
      </c>
      <c r="F831" s="18" t="inlineStr">
        <is>
          <t>경영전략 / 인사 / 사업개발</t>
        </is>
      </c>
      <c r="G831" s="17" t="inlineStr">
        <is>
          <t>intra_cluster_transition</t>
        </is>
      </c>
      <c r="H831" s="18" t="inlineStr">
        <is>
          <t>processing, insurance, enrolments</t>
        </is>
      </c>
      <c r="I831" s="18" t="inlineStr">
        <is>
          <t>동일 직군 내 고급 도메인 지식</t>
        </is>
      </c>
      <c r="J831" s="18" t="inlineStr">
        <is>
          <t>직무 순환 및 실무 1~2년</t>
        </is>
      </c>
      <c r="K831" s="17" t="inlineStr">
        <is>
          <t>★★☆☆☆</t>
        </is>
      </c>
      <c r="L831" s="21" t="inlineStr">
        <is>
          <t>+12.5%</t>
        </is>
      </c>
    </row>
    <row r="832">
      <c r="A832" s="15" t="inlineStr">
        <is>
          <t>TR-0831</t>
        </is>
      </c>
      <c r="B832" s="15" t="inlineStr">
        <is>
          <t>4312</t>
        </is>
      </c>
      <c r="C832" s="16" t="inlineStr">
        <is>
          <t>Statistical, Finance and Insurance Clerks</t>
        </is>
      </c>
      <c r="D832" s="15" t="inlineStr">
        <is>
          <t>4313</t>
        </is>
      </c>
      <c r="E832" s="16" t="inlineStr">
        <is>
          <t>Payroll Clerks</t>
        </is>
      </c>
      <c r="F832" s="16" t="inlineStr">
        <is>
          <t>경영전략 / 인사 / 사업개발</t>
        </is>
      </c>
      <c r="G832" s="15" t="inlineStr">
        <is>
          <t>intra_cluster_transition</t>
        </is>
      </c>
      <c r="H832" s="16" t="inlineStr">
        <is>
          <t>maintaining, records, employee</t>
        </is>
      </c>
      <c r="I832" s="16" t="inlineStr">
        <is>
          <t>동일 직군 내 고급 도메인 지식</t>
        </is>
      </c>
      <c r="J832" s="16" t="inlineStr">
        <is>
          <t>직무 순환 및 실무 1~2년</t>
        </is>
      </c>
      <c r="K832" s="15" t="inlineStr">
        <is>
          <t>★★☆☆☆</t>
        </is>
      </c>
      <c r="L832" s="20" t="inlineStr">
        <is>
          <t>+12.5%</t>
        </is>
      </c>
    </row>
    <row r="833">
      <c r="A833" s="17" t="inlineStr">
        <is>
          <t>TR-0832</t>
        </is>
      </c>
      <c r="B833" s="17" t="inlineStr">
        <is>
          <t>4321</t>
        </is>
      </c>
      <c r="C833" s="18" t="inlineStr">
        <is>
          <t>Stock Clerks</t>
        </is>
      </c>
      <c r="D833" s="17" t="inlineStr">
        <is>
          <t>4322</t>
        </is>
      </c>
      <c r="E833" s="18" t="inlineStr">
        <is>
          <t>Production Clerks</t>
        </is>
      </c>
      <c r="F833" s="18" t="inlineStr">
        <is>
          <t>경영전략 / 인사 / 사업개발</t>
        </is>
      </c>
      <c r="G833" s="17" t="inlineStr">
        <is>
          <t>intra_cluster_transition</t>
        </is>
      </c>
      <c r="H833" s="18" t="inlineStr">
        <is>
          <t>computing, quantities, qualities</t>
        </is>
      </c>
      <c r="I833" s="18" t="inlineStr">
        <is>
          <t>동일 직군 내 고급 도메인 지식</t>
        </is>
      </c>
      <c r="J833" s="18" t="inlineStr">
        <is>
          <t>직무 순환 및 실무 1~2년</t>
        </is>
      </c>
      <c r="K833" s="17" t="inlineStr">
        <is>
          <t>★★☆☆☆</t>
        </is>
      </c>
      <c r="L833" s="21" t="inlineStr">
        <is>
          <t>+12.5%</t>
        </is>
      </c>
    </row>
    <row r="834">
      <c r="A834" s="15" t="inlineStr">
        <is>
          <t>TR-0833</t>
        </is>
      </c>
      <c r="B834" s="15" t="inlineStr">
        <is>
          <t>4322</t>
        </is>
      </c>
      <c r="C834" s="16" t="inlineStr">
        <is>
          <t>Production Clerks</t>
        </is>
      </c>
      <c r="D834" s="15" t="inlineStr">
        <is>
          <t>4323</t>
        </is>
      </c>
      <c r="E834" s="16" t="inlineStr">
        <is>
          <t>Transport Clerks</t>
        </is>
      </c>
      <c r="F834" s="16" t="inlineStr">
        <is>
          <t>경영전략 / 인사 / 사업개발</t>
        </is>
      </c>
      <c r="G834" s="15" t="inlineStr">
        <is>
          <t>intra_cluster_transition</t>
        </is>
      </c>
      <c r="H834" s="16" t="inlineStr">
        <is>
          <t>keeping, records, operational</t>
        </is>
      </c>
      <c r="I834" s="16" t="inlineStr">
        <is>
          <t>동일 직군 내 고급 도메인 지식</t>
        </is>
      </c>
      <c r="J834" s="16" t="inlineStr">
        <is>
          <t>직무 순환 및 실무 1~2년</t>
        </is>
      </c>
      <c r="K834" s="15" t="inlineStr">
        <is>
          <t>★★☆☆☆</t>
        </is>
      </c>
      <c r="L834" s="20" t="inlineStr">
        <is>
          <t>+12.5%</t>
        </is>
      </c>
    </row>
    <row r="835">
      <c r="A835" s="17" t="inlineStr">
        <is>
          <t>TR-0834</t>
        </is>
      </c>
      <c r="B835" s="17" t="inlineStr">
        <is>
          <t>4411</t>
        </is>
      </c>
      <c r="C835" s="18" t="inlineStr">
        <is>
          <t>Library Clerks</t>
        </is>
      </c>
      <c r="D835" s="17" t="inlineStr">
        <is>
          <t>4412</t>
        </is>
      </c>
      <c r="E835" s="18" t="inlineStr">
        <is>
          <t>Mail Carriers and Sorting Clerks</t>
        </is>
      </c>
      <c r="F835" s="18" t="inlineStr">
        <is>
          <t>경영전략 / 인사 / 사업개발</t>
        </is>
      </c>
      <c r="G835" s="17" t="inlineStr">
        <is>
          <t>intra_cluster_transition</t>
        </is>
      </c>
      <c r="H835" s="18" t="inlineStr">
        <is>
          <t>mail, handling, duties</t>
        </is>
      </c>
      <c r="I835" s="18" t="inlineStr">
        <is>
          <t>동일 직군 내 고급 도메인 지식</t>
        </is>
      </c>
      <c r="J835" s="18" t="inlineStr">
        <is>
          <t>직무 순환 및 실무 1~2년</t>
        </is>
      </c>
      <c r="K835" s="17" t="inlineStr">
        <is>
          <t>★★☆☆☆</t>
        </is>
      </c>
      <c r="L835" s="21" t="inlineStr">
        <is>
          <t>+12.5%</t>
        </is>
      </c>
    </row>
    <row r="836">
      <c r="A836" s="15" t="inlineStr">
        <is>
          <t>TR-0835</t>
        </is>
      </c>
      <c r="B836" s="15" t="inlineStr">
        <is>
          <t>4412</t>
        </is>
      </c>
      <c r="C836" s="16" t="inlineStr">
        <is>
          <t>Mail Carriers and Sorting Clerks</t>
        </is>
      </c>
      <c r="D836" s="15" t="inlineStr">
        <is>
          <t>4413</t>
        </is>
      </c>
      <c r="E836" s="16" t="inlineStr">
        <is>
          <t>Coding, Proofreading and Related Clerks</t>
        </is>
      </c>
      <c r="F836" s="16" t="inlineStr">
        <is>
          <t>경영전략 / 인사 / 사업개발</t>
        </is>
      </c>
      <c r="G836" s="15" t="inlineStr">
        <is>
          <t>intra_cluster_transition</t>
        </is>
      </c>
      <c r="H836" s="16" t="inlineStr">
        <is>
          <t>converting, information, into</t>
        </is>
      </c>
      <c r="I836" s="16" t="inlineStr">
        <is>
          <t>동일 직군 내 고급 도메인 지식</t>
        </is>
      </c>
      <c r="J836" s="16" t="inlineStr">
        <is>
          <t>직무 순환 및 실무 1~2년</t>
        </is>
      </c>
      <c r="K836" s="15" t="inlineStr">
        <is>
          <t>★★☆☆☆</t>
        </is>
      </c>
      <c r="L836" s="20" t="inlineStr">
        <is>
          <t>+12.5%</t>
        </is>
      </c>
    </row>
    <row r="837">
      <c r="A837" s="17" t="inlineStr">
        <is>
          <t>TR-0836</t>
        </is>
      </c>
      <c r="B837" s="17" t="inlineStr">
        <is>
          <t>4413</t>
        </is>
      </c>
      <c r="C837" s="18" t="inlineStr">
        <is>
          <t>Coding, Proofreading and Related Clerks</t>
        </is>
      </c>
      <c r="D837" s="17" t="inlineStr">
        <is>
          <t>4414</t>
        </is>
      </c>
      <c r="E837" s="18" t="inlineStr">
        <is>
          <t>Scribes and Related Workers</t>
        </is>
      </c>
      <c r="F837" s="18" t="inlineStr">
        <is>
          <t>경영전략 / 인사 / 사업개발</t>
        </is>
      </c>
      <c r="G837" s="17" t="inlineStr">
        <is>
          <t>intra_cluster_transition</t>
        </is>
      </c>
      <c r="H837" s="18" t="inlineStr">
        <is>
          <t>reading, letters, other</t>
        </is>
      </c>
      <c r="I837" s="18" t="inlineStr">
        <is>
          <t>동일 직군 내 고급 도메인 지식</t>
        </is>
      </c>
      <c r="J837" s="18" t="inlineStr">
        <is>
          <t>직무 순환 및 실무 1~2년</t>
        </is>
      </c>
      <c r="K837" s="17" t="inlineStr">
        <is>
          <t>★★☆☆☆</t>
        </is>
      </c>
      <c r="L837" s="21" t="inlineStr">
        <is>
          <t>+12.5%</t>
        </is>
      </c>
    </row>
    <row r="838">
      <c r="A838" s="15" t="inlineStr">
        <is>
          <t>TR-0837</t>
        </is>
      </c>
      <c r="B838" s="15" t="inlineStr">
        <is>
          <t>4414</t>
        </is>
      </c>
      <c r="C838" s="16" t="inlineStr">
        <is>
          <t>Scribes and Related Workers</t>
        </is>
      </c>
      <c r="D838" s="15" t="inlineStr">
        <is>
          <t>4415</t>
        </is>
      </c>
      <c r="E838" s="16" t="inlineStr">
        <is>
          <t>Filing and Copying Clerks</t>
        </is>
      </c>
      <c r="F838" s="16" t="inlineStr">
        <is>
          <t>경영전략 / 인사 / 사업개발</t>
        </is>
      </c>
      <c r="G838" s="15" t="inlineStr">
        <is>
          <t>intra_cluster_transition</t>
        </is>
      </c>
      <c r="H838" s="16" t="inlineStr">
        <is>
          <t>sorting, classifying, materials</t>
        </is>
      </c>
      <c r="I838" s="16" t="inlineStr">
        <is>
          <t>동일 직군 내 고급 도메인 지식</t>
        </is>
      </c>
      <c r="J838" s="16" t="inlineStr">
        <is>
          <t>직무 순환 및 실무 1~2년</t>
        </is>
      </c>
      <c r="K838" s="15" t="inlineStr">
        <is>
          <t>★★☆☆☆</t>
        </is>
      </c>
      <c r="L838" s="20" t="inlineStr">
        <is>
          <t>+12.5%</t>
        </is>
      </c>
    </row>
    <row r="839">
      <c r="A839" s="17" t="inlineStr">
        <is>
          <t>TR-0838</t>
        </is>
      </c>
      <c r="B839" s="17" t="inlineStr">
        <is>
          <t>4415</t>
        </is>
      </c>
      <c r="C839" s="18" t="inlineStr">
        <is>
          <t>Filing and Copying Clerks</t>
        </is>
      </c>
      <c r="D839" s="17" t="inlineStr">
        <is>
          <t>4416</t>
        </is>
      </c>
      <c r="E839" s="18" t="inlineStr">
        <is>
          <t>Personnel Clerks</t>
        </is>
      </c>
      <c r="F839" s="18" t="inlineStr">
        <is>
          <t>경영전략 / 인사 / 사업개발</t>
        </is>
      </c>
      <c r="G839" s="17" t="inlineStr">
        <is>
          <t>intra_cluster_transition</t>
        </is>
      </c>
      <c r="H839" s="18" t="inlineStr">
        <is>
          <t>updating, information, employment</t>
        </is>
      </c>
      <c r="I839" s="18" t="inlineStr">
        <is>
          <t>동일 직군 내 고급 도메인 지식</t>
        </is>
      </c>
      <c r="J839" s="18" t="inlineStr">
        <is>
          <t>직무 순환 및 실무 1~2년</t>
        </is>
      </c>
      <c r="K839" s="17" t="inlineStr">
        <is>
          <t>★★☆☆☆</t>
        </is>
      </c>
      <c r="L839" s="21" t="inlineStr">
        <is>
          <t>+12.5%</t>
        </is>
      </c>
    </row>
    <row r="840">
      <c r="A840" s="15" t="inlineStr">
        <is>
          <t>TR-0839</t>
        </is>
      </c>
      <c r="B840" s="15" t="inlineStr">
        <is>
          <t>4416</t>
        </is>
      </c>
      <c r="C840" s="16" t="inlineStr">
        <is>
          <t>Personnel Clerks</t>
        </is>
      </c>
      <c r="D840" s="15" t="inlineStr">
        <is>
          <t>4419</t>
        </is>
      </c>
      <c r="E840" s="16" t="inlineStr">
        <is>
          <t>Clerical Support Workers Not Elsewhere Classified</t>
        </is>
      </c>
      <c r="F840" s="16" t="inlineStr">
        <is>
          <t>경영전략 / 인사 / 사업개발</t>
        </is>
      </c>
      <c r="G840" s="15" t="inlineStr">
        <is>
          <t>intra_cluster_transition</t>
        </is>
      </c>
      <c r="H840" s="16" t="inlineStr">
        <is>
          <t>such, cases, would</t>
        </is>
      </c>
      <c r="I840" s="16" t="inlineStr">
        <is>
          <t>동일 직군 내 고급 도메인 지식</t>
        </is>
      </c>
      <c r="J840" s="16" t="inlineStr">
        <is>
          <t>직무 순환 및 실무 1~2년</t>
        </is>
      </c>
      <c r="K840" s="15" t="inlineStr">
        <is>
          <t>★★☆☆☆</t>
        </is>
      </c>
      <c r="L840" s="20" t="inlineStr">
        <is>
          <t>+12.5%</t>
        </is>
      </c>
    </row>
    <row r="841">
      <c r="A841" s="17" t="inlineStr">
        <is>
          <t>TR-0840</t>
        </is>
      </c>
      <c r="B841" s="17" t="inlineStr">
        <is>
          <t>5111</t>
        </is>
      </c>
      <c r="C841" s="18" t="inlineStr">
        <is>
          <t>Travel Attendants and Travel Stewards</t>
        </is>
      </c>
      <c r="D841" s="17" t="inlineStr">
        <is>
          <t>5112</t>
        </is>
      </c>
      <c r="E841" s="18" t="inlineStr">
        <is>
          <t>Transport Conductors</t>
        </is>
      </c>
      <c r="F841" s="18" t="inlineStr">
        <is>
          <t>B2B영업 / 마케팅 / GTM</t>
        </is>
      </c>
      <c r="G841" s="17" t="inlineStr">
        <is>
          <t>intra_cluster_transition</t>
        </is>
      </c>
      <c r="H841" s="18" t="inlineStr">
        <is>
          <t>collecting, issuing, tickets</t>
        </is>
      </c>
      <c r="I841" s="18" t="inlineStr">
        <is>
          <t>동일 직군 내 고급 도메인 지식</t>
        </is>
      </c>
      <c r="J841" s="18" t="inlineStr">
        <is>
          <t>직무 순환 및 실무 1~2년</t>
        </is>
      </c>
      <c r="K841" s="17" t="inlineStr">
        <is>
          <t>★★☆☆☆</t>
        </is>
      </c>
      <c r="L841" s="21" t="inlineStr">
        <is>
          <t>+12.5%</t>
        </is>
      </c>
    </row>
    <row r="842">
      <c r="A842" s="15" t="inlineStr">
        <is>
          <t>TR-0841</t>
        </is>
      </c>
      <c r="B842" s="15" t="inlineStr">
        <is>
          <t>5112</t>
        </is>
      </c>
      <c r="C842" s="16" t="inlineStr">
        <is>
          <t>Transport Conductors</t>
        </is>
      </c>
      <c r="D842" s="15" t="inlineStr">
        <is>
          <t>5113</t>
        </is>
      </c>
      <c r="E842" s="16" t="inlineStr">
        <is>
          <t>Travel Guides</t>
        </is>
      </c>
      <c r="F842" s="16" t="inlineStr">
        <is>
          <t>B2B영업 / 마케팅 / GTM</t>
        </is>
      </c>
      <c r="G842" s="15" t="inlineStr">
        <is>
          <t>intra_cluster_transition</t>
        </is>
      </c>
      <c r="H842" s="16" t="inlineStr">
        <is>
          <t>escorting, guiding, tourists</t>
        </is>
      </c>
      <c r="I842" s="16" t="inlineStr">
        <is>
          <t>동일 직군 내 고급 도메인 지식</t>
        </is>
      </c>
      <c r="J842" s="16" t="inlineStr">
        <is>
          <t>직무 순환 및 실무 1~2년</t>
        </is>
      </c>
      <c r="K842" s="15" t="inlineStr">
        <is>
          <t>★★☆☆☆</t>
        </is>
      </c>
      <c r="L842" s="20" t="inlineStr">
        <is>
          <t>+12.5%</t>
        </is>
      </c>
    </row>
    <row r="843">
      <c r="A843" s="17" t="inlineStr">
        <is>
          <t>TR-0842</t>
        </is>
      </c>
      <c r="B843" s="17" t="inlineStr">
        <is>
          <t>5141</t>
        </is>
      </c>
      <c r="C843" s="18" t="inlineStr">
        <is>
          <t>Hairdressers</t>
        </is>
      </c>
      <c r="D843" s="17" t="inlineStr">
        <is>
          <t>5142</t>
        </is>
      </c>
      <c r="E843" s="18" t="inlineStr">
        <is>
          <t>Beauticians and Related Workers</t>
        </is>
      </c>
      <c r="F843" s="18" t="inlineStr">
        <is>
          <t>B2B영업 / 마케팅 / GTM</t>
        </is>
      </c>
      <c r="G843" s="17" t="inlineStr">
        <is>
          <t>intra_cluster_transition</t>
        </is>
      </c>
      <c r="H843" s="18" t="inlineStr">
        <is>
          <t>cleaning, applying, creams</t>
        </is>
      </c>
      <c r="I843" s="18" t="inlineStr">
        <is>
          <t>동일 직군 내 고급 도메인 지식</t>
        </is>
      </c>
      <c r="J843" s="18" t="inlineStr">
        <is>
          <t>직무 순환 및 실무 1~2년</t>
        </is>
      </c>
      <c r="K843" s="17" t="inlineStr">
        <is>
          <t>★★☆☆☆</t>
        </is>
      </c>
      <c r="L843" s="21" t="inlineStr">
        <is>
          <t>+12.5%</t>
        </is>
      </c>
    </row>
    <row r="844">
      <c r="A844" s="15" t="inlineStr">
        <is>
          <t>TR-0843</t>
        </is>
      </c>
      <c r="B844" s="15" t="inlineStr">
        <is>
          <t>5152</t>
        </is>
      </c>
      <c r="C844" s="16" t="inlineStr">
        <is>
          <t>Domestic Housekeepers</t>
        </is>
      </c>
      <c r="D844" s="15" t="inlineStr">
        <is>
          <t>5153</t>
        </is>
      </c>
      <c r="E844" s="16" t="inlineStr">
        <is>
          <t>Building Caretakers</t>
        </is>
      </c>
      <c r="F844" s="16" t="inlineStr">
        <is>
          <t>B2B영업 / 마케팅 / GTM</t>
        </is>
      </c>
      <c r="G844" s="15" t="inlineStr">
        <is>
          <t>intra_cluster_transition</t>
        </is>
      </c>
      <c r="H844" s="16" t="inlineStr">
        <is>
          <t>supervising, work, cleaning</t>
        </is>
      </c>
      <c r="I844" s="16" t="inlineStr">
        <is>
          <t>동일 직군 내 고급 도메인 지식</t>
        </is>
      </c>
      <c r="J844" s="16" t="inlineStr">
        <is>
          <t>직무 순환 및 실무 1~2년</t>
        </is>
      </c>
      <c r="K844" s="15" t="inlineStr">
        <is>
          <t>★★☆☆☆</t>
        </is>
      </c>
      <c r="L844" s="20" t="inlineStr">
        <is>
          <t>+12.5%</t>
        </is>
      </c>
    </row>
    <row r="845">
      <c r="A845" s="17" t="inlineStr">
        <is>
          <t>TR-0844</t>
        </is>
      </c>
      <c r="B845" s="17" t="inlineStr">
        <is>
          <t>5161</t>
        </is>
      </c>
      <c r="C845" s="18" t="inlineStr">
        <is>
          <t>Astrologers, Fortune-tellers and Related Workers</t>
        </is>
      </c>
      <c r="D845" s="17" t="inlineStr">
        <is>
          <t>5162</t>
        </is>
      </c>
      <c r="E845" s="18" t="inlineStr">
        <is>
          <t>Companions and Valets</t>
        </is>
      </c>
      <c r="F845" s="18" t="inlineStr">
        <is>
          <t>B2B영업 / 마케팅 / GTM</t>
        </is>
      </c>
      <c r="G845" s="17" t="inlineStr">
        <is>
          <t>intra_cluster_transition</t>
        </is>
      </c>
      <c r="H845" s="18" t="inlineStr">
        <is>
          <t>companionship, employer, accompanying</t>
        </is>
      </c>
      <c r="I845" s="18" t="inlineStr">
        <is>
          <t>동일 직군 내 고급 도메인 지식</t>
        </is>
      </c>
      <c r="J845" s="18" t="inlineStr">
        <is>
          <t>직무 순환 및 실무 1~2년</t>
        </is>
      </c>
      <c r="K845" s="17" t="inlineStr">
        <is>
          <t>★★☆☆☆</t>
        </is>
      </c>
      <c r="L845" s="21" t="inlineStr">
        <is>
          <t>+12.5%</t>
        </is>
      </c>
    </row>
    <row r="846">
      <c r="A846" s="15" t="inlineStr">
        <is>
          <t>TR-0845</t>
        </is>
      </c>
      <c r="B846" s="15" t="inlineStr">
        <is>
          <t>5162</t>
        </is>
      </c>
      <c r="C846" s="16" t="inlineStr">
        <is>
          <t>Companions and Valets</t>
        </is>
      </c>
      <c r="D846" s="15" t="inlineStr">
        <is>
          <t>5163</t>
        </is>
      </c>
      <c r="E846" s="16" t="inlineStr">
        <is>
          <t>Undertakers and Embalmers</t>
        </is>
      </c>
      <c r="F846" s="16" t="inlineStr">
        <is>
          <t>B2B영업 / 마케팅 / GTM</t>
        </is>
      </c>
      <c r="G846" s="15" t="inlineStr">
        <is>
          <t>intra_cluster_transition</t>
        </is>
      </c>
      <c r="H846" s="16" t="inlineStr">
        <is>
          <t>making, arrangements, conducting</t>
        </is>
      </c>
      <c r="I846" s="16" t="inlineStr">
        <is>
          <t>동일 직군 내 고급 도메인 지식</t>
        </is>
      </c>
      <c r="J846" s="16" t="inlineStr">
        <is>
          <t>직무 순환 및 실무 1~2년</t>
        </is>
      </c>
      <c r="K846" s="15" t="inlineStr">
        <is>
          <t>★★☆☆☆</t>
        </is>
      </c>
      <c r="L846" s="20" t="inlineStr">
        <is>
          <t>+12.5%</t>
        </is>
      </c>
    </row>
    <row r="847">
      <c r="A847" s="17" t="inlineStr">
        <is>
          <t>TR-0846</t>
        </is>
      </c>
      <c r="B847" s="17" t="inlineStr">
        <is>
          <t>5163</t>
        </is>
      </c>
      <c r="C847" s="18" t="inlineStr">
        <is>
          <t>Undertakers and Embalmers</t>
        </is>
      </c>
      <c r="D847" s="17" t="inlineStr">
        <is>
          <t>5164</t>
        </is>
      </c>
      <c r="E847" s="18" t="inlineStr">
        <is>
          <t>Pet Groomers and Animal Care Workers</t>
        </is>
      </c>
      <c r="F847" s="18" t="inlineStr">
        <is>
          <t>B2B영업 / 마케팅 / GTM</t>
        </is>
      </c>
      <c r="G847" s="17" t="inlineStr">
        <is>
          <t>intra_cluster_transition</t>
        </is>
      </c>
      <c r="H847" s="18" t="inlineStr">
        <is>
          <t>bathing, feeding, animals</t>
        </is>
      </c>
      <c r="I847" s="18" t="inlineStr">
        <is>
          <t>동일 직군 내 고급 도메인 지식</t>
        </is>
      </c>
      <c r="J847" s="18" t="inlineStr">
        <is>
          <t>직무 순환 및 실무 1~2년</t>
        </is>
      </c>
      <c r="K847" s="17" t="inlineStr">
        <is>
          <t>★★☆☆☆</t>
        </is>
      </c>
      <c r="L847" s="21" t="inlineStr">
        <is>
          <t>+12.5%</t>
        </is>
      </c>
    </row>
    <row r="848">
      <c r="A848" s="15" t="inlineStr">
        <is>
          <t>TR-0847</t>
        </is>
      </c>
      <c r="B848" s="15" t="inlineStr">
        <is>
          <t>5164</t>
        </is>
      </c>
      <c r="C848" s="16" t="inlineStr">
        <is>
          <t>Pet Groomers and Animal Care Workers</t>
        </is>
      </c>
      <c r="D848" s="15" t="inlineStr">
        <is>
          <t>5165</t>
        </is>
      </c>
      <c r="E848" s="16" t="inlineStr">
        <is>
          <t>Driving Instructors</t>
        </is>
      </c>
      <c r="F848" s="16" t="inlineStr">
        <is>
          <t>B2B영업 / 마케팅 / GTM</t>
        </is>
      </c>
      <c r="G848" s="15" t="inlineStr">
        <is>
          <t>intra_cluster_transition</t>
        </is>
      </c>
      <c r="H848" s="16" t="inlineStr">
        <is>
          <t>instructing, students, under</t>
        </is>
      </c>
      <c r="I848" s="16" t="inlineStr">
        <is>
          <t>동일 직군 내 고급 도메인 지식</t>
        </is>
      </c>
      <c r="J848" s="16" t="inlineStr">
        <is>
          <t>직무 순환 및 실무 1~2년</t>
        </is>
      </c>
      <c r="K848" s="15" t="inlineStr">
        <is>
          <t>★★☆☆☆</t>
        </is>
      </c>
      <c r="L848" s="20" t="inlineStr">
        <is>
          <t>+12.5%</t>
        </is>
      </c>
    </row>
    <row r="849">
      <c r="A849" s="17" t="inlineStr">
        <is>
          <t>TR-0848</t>
        </is>
      </c>
      <c r="B849" s="17" t="inlineStr">
        <is>
          <t>5165</t>
        </is>
      </c>
      <c r="C849" s="18" t="inlineStr">
        <is>
          <t>Driving Instructors</t>
        </is>
      </c>
      <c r="D849" s="17" t="inlineStr">
        <is>
          <t>5169</t>
        </is>
      </c>
      <c r="E849" s="18" t="inlineStr">
        <is>
          <t>Personal Services Workers Not Elsewhere Classified</t>
        </is>
      </c>
      <c r="F849" s="18" t="inlineStr">
        <is>
          <t>B2B영업 / 마케팅 / GTM</t>
        </is>
      </c>
      <c r="G849" s="17" t="inlineStr">
        <is>
          <t>intra_cluster_transition</t>
        </is>
      </c>
      <c r="H849" s="18" t="inlineStr">
        <is>
          <t>such, cases, would</t>
        </is>
      </c>
      <c r="I849" s="18" t="inlineStr">
        <is>
          <t>동일 직군 내 고급 도메인 지식</t>
        </is>
      </c>
      <c r="J849" s="18" t="inlineStr">
        <is>
          <t>직무 순환 및 실무 1~2년</t>
        </is>
      </c>
      <c r="K849" s="17" t="inlineStr">
        <is>
          <t>★★☆☆☆</t>
        </is>
      </c>
      <c r="L849" s="21" t="inlineStr">
        <is>
          <t>+12.5%</t>
        </is>
      </c>
    </row>
    <row r="850">
      <c r="A850" s="15" t="inlineStr">
        <is>
          <t>TR-0849</t>
        </is>
      </c>
      <c r="B850" s="15" t="inlineStr">
        <is>
          <t>5221</t>
        </is>
      </c>
      <c r="C850" s="16" t="inlineStr">
        <is>
          <t>Shopkeepers</t>
        </is>
      </c>
      <c r="D850" s="15" t="inlineStr">
        <is>
          <t>5222</t>
        </is>
      </c>
      <c r="E850" s="16" t="inlineStr">
        <is>
          <t>Shop Supervisors</t>
        </is>
      </c>
      <c r="F850" s="16" t="inlineStr">
        <is>
          <t>B2B영업 / 마케팅 / GTM</t>
        </is>
      </c>
      <c r="G850" s="15" t="inlineStr">
        <is>
          <t>intra_cluster_transition</t>
        </is>
      </c>
      <c r="H850" s="16" t="inlineStr">
        <is>
          <t>planning, preparing, work</t>
        </is>
      </c>
      <c r="I850" s="16" t="inlineStr">
        <is>
          <t>동일 직군 내 고급 도메인 지식</t>
        </is>
      </c>
      <c r="J850" s="16" t="inlineStr">
        <is>
          <t>직무 순환 및 실무 1~2년</t>
        </is>
      </c>
      <c r="K850" s="15" t="inlineStr">
        <is>
          <t>★★☆☆☆</t>
        </is>
      </c>
      <c r="L850" s="20" t="inlineStr">
        <is>
          <t>+12.5%</t>
        </is>
      </c>
    </row>
    <row r="851">
      <c r="A851" s="17" t="inlineStr">
        <is>
          <t>TR-0850</t>
        </is>
      </c>
      <c r="B851" s="17" t="inlineStr">
        <is>
          <t>5222</t>
        </is>
      </c>
      <c r="C851" s="18" t="inlineStr">
        <is>
          <t>Shop Supervisors</t>
        </is>
      </c>
      <c r="D851" s="17" t="inlineStr">
        <is>
          <t>5223</t>
        </is>
      </c>
      <c r="E851" s="18" t="inlineStr">
        <is>
          <t>Shop Sales Assistants</t>
        </is>
      </c>
      <c r="F851" s="18" t="inlineStr">
        <is>
          <t>B2B영업 / 마케팅 / GTM</t>
        </is>
      </c>
      <c r="G851" s="17" t="inlineStr">
        <is>
          <t>intra_cluster_transition</t>
        </is>
      </c>
      <c r="H851" s="18" t="inlineStr">
        <is>
          <t>determining, customer, requirements</t>
        </is>
      </c>
      <c r="I851" s="18" t="inlineStr">
        <is>
          <t>동일 직군 내 고급 도메인 지식</t>
        </is>
      </c>
      <c r="J851" s="18" t="inlineStr">
        <is>
          <t>직무 순환 및 실무 1~2년</t>
        </is>
      </c>
      <c r="K851" s="17" t="inlineStr">
        <is>
          <t>★★☆☆☆</t>
        </is>
      </c>
      <c r="L851" s="21" t="inlineStr">
        <is>
          <t>+12.5%</t>
        </is>
      </c>
    </row>
    <row r="852">
      <c r="A852" s="15" t="inlineStr">
        <is>
          <t>TR-0851</t>
        </is>
      </c>
      <c r="B852" s="15" t="inlineStr">
        <is>
          <t>5241</t>
        </is>
      </c>
      <c r="C852" s="16" t="inlineStr">
        <is>
          <t>Fashion and Other Models</t>
        </is>
      </c>
      <c r="D852" s="15" t="inlineStr">
        <is>
          <t>5242</t>
        </is>
      </c>
      <c r="E852" s="16" t="inlineStr">
        <is>
          <t>Sales Demonstrators</t>
        </is>
      </c>
      <c r="F852" s="16" t="inlineStr">
        <is>
          <t>B2B영업 / 마케팅 / GTM</t>
        </is>
      </c>
      <c r="G852" s="15" t="inlineStr">
        <is>
          <t>intra_cluster_transition</t>
        </is>
      </c>
      <c r="H852" s="16" t="inlineStr">
        <is>
          <t>setting, displays, demonstrating</t>
        </is>
      </c>
      <c r="I852" s="16" t="inlineStr">
        <is>
          <t>동일 직군 내 고급 도메인 지식</t>
        </is>
      </c>
      <c r="J852" s="16" t="inlineStr">
        <is>
          <t>직무 순환 및 실무 1~2년</t>
        </is>
      </c>
      <c r="K852" s="15" t="inlineStr">
        <is>
          <t>★★☆☆☆</t>
        </is>
      </c>
      <c r="L852" s="20" t="inlineStr">
        <is>
          <t>+12.5%</t>
        </is>
      </c>
    </row>
    <row r="853">
      <c r="A853" s="17" t="inlineStr">
        <is>
          <t>TR-0852</t>
        </is>
      </c>
      <c r="B853" s="17" t="inlineStr">
        <is>
          <t>5243</t>
        </is>
      </c>
      <c r="C853" s="18" t="inlineStr">
        <is>
          <t>Door-to-door Salespersons</t>
        </is>
      </c>
      <c r="D853" s="17" t="inlineStr">
        <is>
          <t>5244</t>
        </is>
      </c>
      <c r="E853" s="18" t="inlineStr">
        <is>
          <t>Contact Centre Salespersons</t>
        </is>
      </c>
      <c r="F853" s="18" t="inlineStr">
        <is>
          <t>B2B영업 / 마케팅 / GTM</t>
        </is>
      </c>
      <c r="G853" s="17" t="inlineStr">
        <is>
          <t>intra_cluster_transition</t>
        </is>
      </c>
      <c r="H853" s="18" t="inlineStr">
        <is>
          <t>promoting, goods, services</t>
        </is>
      </c>
      <c r="I853" s="18" t="inlineStr">
        <is>
          <t>동일 직군 내 고급 도메인 지식</t>
        </is>
      </c>
      <c r="J853" s="18" t="inlineStr">
        <is>
          <t>직무 순환 및 실무 1~2년</t>
        </is>
      </c>
      <c r="K853" s="17" t="inlineStr">
        <is>
          <t>★★☆☆☆</t>
        </is>
      </c>
      <c r="L853" s="21" t="inlineStr">
        <is>
          <t>+12.5%</t>
        </is>
      </c>
    </row>
    <row r="854">
      <c r="A854" s="15" t="inlineStr">
        <is>
          <t>TR-0853</t>
        </is>
      </c>
      <c r="B854" s="15" t="inlineStr">
        <is>
          <t>5244</t>
        </is>
      </c>
      <c r="C854" s="16" t="inlineStr">
        <is>
          <t>Contact Centre Salespersons</t>
        </is>
      </c>
      <c r="D854" s="15" t="inlineStr">
        <is>
          <t>5245</t>
        </is>
      </c>
      <c r="E854" s="16" t="inlineStr">
        <is>
          <t>Service Station Attendants</t>
        </is>
      </c>
      <c r="F854" s="16" t="inlineStr">
        <is>
          <t>B2B영업 / 마케팅 / GTM</t>
        </is>
      </c>
      <c r="G854" s="15" t="inlineStr">
        <is>
          <t>intra_cluster_transition</t>
        </is>
      </c>
      <c r="H854" s="16" t="inlineStr">
        <is>
          <t>filling, fuel, tanks</t>
        </is>
      </c>
      <c r="I854" s="16" t="inlineStr">
        <is>
          <t>동일 직군 내 고급 도메인 지식</t>
        </is>
      </c>
      <c r="J854" s="16" t="inlineStr">
        <is>
          <t>직무 순환 및 실무 1~2년</t>
        </is>
      </c>
      <c r="K854" s="15" t="inlineStr">
        <is>
          <t>★★☆☆☆</t>
        </is>
      </c>
      <c r="L854" s="20" t="inlineStr">
        <is>
          <t>+12.5%</t>
        </is>
      </c>
    </row>
    <row r="855">
      <c r="A855" s="17" t="inlineStr">
        <is>
          <t>TR-0854</t>
        </is>
      </c>
      <c r="B855" s="17" t="inlineStr">
        <is>
          <t>5246</t>
        </is>
      </c>
      <c r="C855" s="18" t="inlineStr">
        <is>
          <t>Food Service Counter Attendants</t>
        </is>
      </c>
      <c r="D855" s="17" t="inlineStr">
        <is>
          <t>5249</t>
        </is>
      </c>
      <c r="E855" s="18" t="inlineStr">
        <is>
          <t>Sales Workers Not Elsewhere Classified</t>
        </is>
      </c>
      <c r="F855" s="18" t="inlineStr">
        <is>
          <t>B2B영업 / 마케팅 / GTM</t>
        </is>
      </c>
      <c r="G855" s="17" t="inlineStr">
        <is>
          <t>intra_cluster_transition</t>
        </is>
      </c>
      <c r="H855" s="18" t="inlineStr">
        <is>
          <t>Sales Workers Not Elsewhere Classified 실무, 표준 프로세스 준수, 데이터/지표 분석</t>
        </is>
      </c>
      <c r="I855" s="18" t="inlineStr">
        <is>
          <t>동일 직군 내 고급 도메인 지식</t>
        </is>
      </c>
      <c r="J855" s="18" t="inlineStr">
        <is>
          <t>직무 순환 및 실무 1~2년</t>
        </is>
      </c>
      <c r="K855" s="17" t="inlineStr">
        <is>
          <t>★★☆☆☆</t>
        </is>
      </c>
      <c r="L855" s="21" t="inlineStr">
        <is>
          <t>+12.5%</t>
        </is>
      </c>
    </row>
    <row r="856">
      <c r="A856" s="15" t="inlineStr">
        <is>
          <t>TR-0855</t>
        </is>
      </c>
      <c r="B856" s="15" t="inlineStr">
        <is>
          <t>5311</t>
        </is>
      </c>
      <c r="C856" s="16" t="inlineStr">
        <is>
          <t>Child Care Workers</t>
        </is>
      </c>
      <c r="D856" s="15" t="inlineStr">
        <is>
          <t>5312</t>
        </is>
      </c>
      <c r="E856" s="16" t="inlineStr">
        <is>
          <t>Teachers' Aides</t>
        </is>
      </c>
      <c r="F856" s="16" t="inlineStr">
        <is>
          <t>바이오 / 제약 / 임상헬스케어</t>
        </is>
      </c>
      <c r="G856" s="15" t="inlineStr">
        <is>
          <t>intra_cluster_transition</t>
        </is>
      </c>
      <c r="H856" s="16" t="inlineStr">
        <is>
          <t>demonstrating, supervising, participating</t>
        </is>
      </c>
      <c r="I856" s="16" t="inlineStr">
        <is>
          <t>동일 직군 내 고급 도메인 지식</t>
        </is>
      </c>
      <c r="J856" s="16" t="inlineStr">
        <is>
          <t>직무 순환 및 실무 1~2년</t>
        </is>
      </c>
      <c r="K856" s="15" t="inlineStr">
        <is>
          <t>★★☆☆☆</t>
        </is>
      </c>
      <c r="L856" s="20" t="inlineStr">
        <is>
          <t>+12.5%</t>
        </is>
      </c>
    </row>
    <row r="857">
      <c r="A857" s="17" t="inlineStr">
        <is>
          <t>TR-0856</t>
        </is>
      </c>
      <c r="B857" s="17" t="inlineStr">
        <is>
          <t>5322</t>
        </is>
      </c>
      <c r="C857" s="18" t="inlineStr">
        <is>
          <t>Home-based Personal Care Workers</t>
        </is>
      </c>
      <c r="D857" s="17" t="inlineStr">
        <is>
          <t>5329</t>
        </is>
      </c>
      <c r="E857" s="18" t="inlineStr">
        <is>
          <t>Personal Care Workers in Health Services Not Elsewhere Classified</t>
        </is>
      </c>
      <c r="F857" s="18" t="inlineStr">
        <is>
          <t>바이오 / 제약 / 임상헬스케어</t>
        </is>
      </c>
      <c r="G857" s="17" t="inlineStr">
        <is>
          <t>intra_cluster_transition</t>
        </is>
      </c>
      <c r="H857" s="18" t="inlineStr">
        <is>
          <t>such, cases, would</t>
        </is>
      </c>
      <c r="I857" s="18" t="inlineStr">
        <is>
          <t>동일 직군 내 고급 도메인 지식</t>
        </is>
      </c>
      <c r="J857" s="18" t="inlineStr">
        <is>
          <t>직무 순환 및 실무 1~2년</t>
        </is>
      </c>
      <c r="K857" s="17" t="inlineStr">
        <is>
          <t>★★☆☆☆</t>
        </is>
      </c>
      <c r="L857" s="21" t="inlineStr">
        <is>
          <t>+12.5%</t>
        </is>
      </c>
    </row>
    <row r="858">
      <c r="A858" s="15" t="inlineStr">
        <is>
          <t>TR-0857</t>
        </is>
      </c>
      <c r="B858" s="15" t="inlineStr">
        <is>
          <t>5411</t>
        </is>
      </c>
      <c r="C858" s="16" t="inlineStr">
        <is>
          <t>Fire Fighters</t>
        </is>
      </c>
      <c r="D858" s="15" t="inlineStr">
        <is>
          <t>5412</t>
        </is>
      </c>
      <c r="E858" s="16" t="inlineStr">
        <is>
          <t>Police Officers</t>
        </is>
      </c>
      <c r="F858" s="16" t="inlineStr">
        <is>
          <t>탄소중립 / 산업안전 / ESG</t>
        </is>
      </c>
      <c r="G858" s="15" t="inlineStr">
        <is>
          <t>intra_cluster_transition</t>
        </is>
      </c>
      <c r="H858" s="16" t="inlineStr">
        <is>
          <t>patrolling, specific, area</t>
        </is>
      </c>
      <c r="I858" s="16" t="inlineStr">
        <is>
          <t>동일 직군 내 고급 도메인 지식</t>
        </is>
      </c>
      <c r="J858" s="16" t="inlineStr">
        <is>
          <t>직무 순환 및 실무 1~2년</t>
        </is>
      </c>
      <c r="K858" s="15" t="inlineStr">
        <is>
          <t>★★☆☆☆</t>
        </is>
      </c>
      <c r="L858" s="20" t="inlineStr">
        <is>
          <t>+12.5%</t>
        </is>
      </c>
    </row>
    <row r="859">
      <c r="A859" s="17" t="inlineStr">
        <is>
          <t>TR-0858</t>
        </is>
      </c>
      <c r="B859" s="17" t="inlineStr">
        <is>
          <t>5412</t>
        </is>
      </c>
      <c r="C859" s="18" t="inlineStr">
        <is>
          <t>Police Officers</t>
        </is>
      </c>
      <c r="D859" s="17" t="inlineStr">
        <is>
          <t>5413</t>
        </is>
      </c>
      <c r="E859" s="18" t="inlineStr">
        <is>
          <t>Prison Guards</t>
        </is>
      </c>
      <c r="F859" s="18" t="inlineStr">
        <is>
          <t>탄소중립 / 산업안전 / ESG</t>
        </is>
      </c>
      <c r="G859" s="17" t="inlineStr">
        <is>
          <t>intra_cluster_transition</t>
        </is>
      </c>
      <c r="H859" s="18" t="inlineStr">
        <is>
          <t>searching, arriving, prisoners</t>
        </is>
      </c>
      <c r="I859" s="18" t="inlineStr">
        <is>
          <t>동일 직군 내 고급 도메인 지식</t>
        </is>
      </c>
      <c r="J859" s="18" t="inlineStr">
        <is>
          <t>직무 순환 및 실무 1~2년</t>
        </is>
      </c>
      <c r="K859" s="17" t="inlineStr">
        <is>
          <t>★★☆☆☆</t>
        </is>
      </c>
      <c r="L859" s="21" t="inlineStr">
        <is>
          <t>+12.5%</t>
        </is>
      </c>
    </row>
    <row r="860">
      <c r="A860" s="15" t="inlineStr">
        <is>
          <t>TR-0859</t>
        </is>
      </c>
      <c r="B860" s="15" t="inlineStr">
        <is>
          <t>5413</t>
        </is>
      </c>
      <c r="C860" s="16" t="inlineStr">
        <is>
          <t>Prison Guards</t>
        </is>
      </c>
      <c r="D860" s="15" t="inlineStr">
        <is>
          <t>5414</t>
        </is>
      </c>
      <c r="E860" s="16" t="inlineStr">
        <is>
          <t>Security Guards</t>
        </is>
      </c>
      <c r="F860" s="16" t="inlineStr">
        <is>
          <t>탄소중립 / 산업안전 / ESG</t>
        </is>
      </c>
      <c r="G860" s="15" t="inlineStr">
        <is>
          <t>intra_cluster_transition</t>
        </is>
      </c>
      <c r="H860" s="16" t="inlineStr">
        <is>
          <t>patrolling, premises, checking</t>
        </is>
      </c>
      <c r="I860" s="16" t="inlineStr">
        <is>
          <t>동일 직군 내 고급 도메인 지식</t>
        </is>
      </c>
      <c r="J860" s="16" t="inlineStr">
        <is>
          <t>직무 순환 및 실무 1~2년</t>
        </is>
      </c>
      <c r="K860" s="15" t="inlineStr">
        <is>
          <t>★★☆☆☆</t>
        </is>
      </c>
      <c r="L860" s="20" t="inlineStr">
        <is>
          <t>+12.5%</t>
        </is>
      </c>
    </row>
    <row r="861">
      <c r="A861" s="17" t="inlineStr">
        <is>
          <t>TR-0860</t>
        </is>
      </c>
      <c r="B861" s="17" t="inlineStr">
        <is>
          <t>6111</t>
        </is>
      </c>
      <c r="C861" s="18" t="inlineStr">
        <is>
          <t>Field Crop and Vegetable Growers</t>
        </is>
      </c>
      <c r="D861" s="17" t="inlineStr">
        <is>
          <t>6112</t>
        </is>
      </c>
      <c r="E861" s="18" t="inlineStr">
        <is>
          <t>Tree and Shrub Crop Growers</t>
        </is>
      </c>
      <c r="F861" s="18" t="inlineStr">
        <is>
          <t>탄소중립 / 산업안전 / ESG</t>
        </is>
      </c>
      <c r="G861" s="17" t="inlineStr">
        <is>
          <t>intra_cluster_transition</t>
        </is>
      </c>
      <c r="H861" s="18" t="inlineStr">
        <is>
          <t>monitoring, market, activity</t>
        </is>
      </c>
      <c r="I861" s="18" t="inlineStr">
        <is>
          <t>동일 직군 내 고급 도메인 지식</t>
        </is>
      </c>
      <c r="J861" s="18" t="inlineStr">
        <is>
          <t>직무 순환 및 실무 1~2년</t>
        </is>
      </c>
      <c r="K861" s="17" t="inlineStr">
        <is>
          <t>★★☆☆☆</t>
        </is>
      </c>
      <c r="L861" s="21" t="inlineStr">
        <is>
          <t>+12.5%</t>
        </is>
      </c>
    </row>
    <row r="862">
      <c r="A862" s="15" t="inlineStr">
        <is>
          <t>TR-0861</t>
        </is>
      </c>
      <c r="B862" s="15" t="inlineStr">
        <is>
          <t>6112</t>
        </is>
      </c>
      <c r="C862" s="16" t="inlineStr">
        <is>
          <t>Tree and Shrub Crop Growers</t>
        </is>
      </c>
      <c r="D862" s="15" t="inlineStr">
        <is>
          <t>6113</t>
        </is>
      </c>
      <c r="E862" s="16" t="inlineStr">
        <is>
          <t>Gardeners, Horticultural and Nursery Growers</t>
        </is>
      </c>
      <c r="F862" s="16" t="inlineStr">
        <is>
          <t>탄소중립 / 산업안전 / ESG</t>
        </is>
      </c>
      <c r="G862" s="15" t="inlineStr">
        <is>
          <t>intra_cluster_transition</t>
        </is>
      </c>
      <c r="H862" s="16" t="inlineStr">
        <is>
          <t>monitoring, market, activity</t>
        </is>
      </c>
      <c r="I862" s="16" t="inlineStr">
        <is>
          <t>동일 직군 내 고급 도메인 지식</t>
        </is>
      </c>
      <c r="J862" s="16" t="inlineStr">
        <is>
          <t>직무 순환 및 실무 1~2년</t>
        </is>
      </c>
      <c r="K862" s="15" t="inlineStr">
        <is>
          <t>★★☆☆☆</t>
        </is>
      </c>
      <c r="L862" s="20" t="inlineStr">
        <is>
          <t>+12.5%</t>
        </is>
      </c>
    </row>
    <row r="863">
      <c r="A863" s="17" t="inlineStr">
        <is>
          <t>TR-0862</t>
        </is>
      </c>
      <c r="B863" s="17" t="inlineStr">
        <is>
          <t>6113</t>
        </is>
      </c>
      <c r="C863" s="18" t="inlineStr">
        <is>
          <t>Gardeners, Horticultural and Nursery Growers</t>
        </is>
      </c>
      <c r="D863" s="17" t="inlineStr">
        <is>
          <t>6114</t>
        </is>
      </c>
      <c r="E863" s="18" t="inlineStr">
        <is>
          <t>Mixed Crop Growers</t>
        </is>
      </c>
      <c r="F863" s="18" t="inlineStr">
        <is>
          <t>탄소중립 / 산업안전 / ESG</t>
        </is>
      </c>
      <c r="G863" s="17" t="inlineStr">
        <is>
          <t>intra_cluster_transition</t>
        </is>
      </c>
      <c r="H863" s="18" t="inlineStr">
        <is>
          <t>monitoring, market, activity</t>
        </is>
      </c>
      <c r="I863" s="18" t="inlineStr">
        <is>
          <t>동일 직군 내 고급 도메인 지식</t>
        </is>
      </c>
      <c r="J863" s="18" t="inlineStr">
        <is>
          <t>직무 순환 및 실무 1~2년</t>
        </is>
      </c>
      <c r="K863" s="17" t="inlineStr">
        <is>
          <t>★★☆☆☆</t>
        </is>
      </c>
      <c r="L863" s="21" t="inlineStr">
        <is>
          <t>+12.5%</t>
        </is>
      </c>
    </row>
    <row r="864">
      <c r="A864" s="15" t="inlineStr">
        <is>
          <t>TR-0863</t>
        </is>
      </c>
      <c r="B864" s="15" t="inlineStr">
        <is>
          <t>6121</t>
        </is>
      </c>
      <c r="C864" s="16" t="inlineStr">
        <is>
          <t>Livestock and Dairy Producers</t>
        </is>
      </c>
      <c r="D864" s="15" t="inlineStr">
        <is>
          <t>6122</t>
        </is>
      </c>
      <c r="E864" s="16" t="inlineStr">
        <is>
          <t>Poultry Producers</t>
        </is>
      </c>
      <c r="F864" s="16" t="inlineStr">
        <is>
          <t>탄소중립 / 산업안전 / ESG</t>
        </is>
      </c>
      <c r="G864" s="15" t="inlineStr">
        <is>
          <t>intra_cluster_transition</t>
        </is>
      </c>
      <c r="H864" s="16" t="inlineStr">
        <is>
          <t>monitoring, market, activity</t>
        </is>
      </c>
      <c r="I864" s="16" t="inlineStr">
        <is>
          <t>동일 직군 내 고급 도메인 지식</t>
        </is>
      </c>
      <c r="J864" s="16" t="inlineStr">
        <is>
          <t>직무 순환 및 실무 1~2년</t>
        </is>
      </c>
      <c r="K864" s="15" t="inlineStr">
        <is>
          <t>★★☆☆☆</t>
        </is>
      </c>
      <c r="L864" s="20" t="inlineStr">
        <is>
          <t>+12.5%</t>
        </is>
      </c>
    </row>
    <row r="865">
      <c r="A865" s="17" t="inlineStr">
        <is>
          <t>TR-0864</t>
        </is>
      </c>
      <c r="B865" s="17" t="inlineStr">
        <is>
          <t>6122</t>
        </is>
      </c>
      <c r="C865" s="18" t="inlineStr">
        <is>
          <t>Poultry Producers</t>
        </is>
      </c>
      <c r="D865" s="17" t="inlineStr">
        <is>
          <t>6123</t>
        </is>
      </c>
      <c r="E865" s="18" t="inlineStr">
        <is>
          <t>Apiarists and Sericulturists</t>
        </is>
      </c>
      <c r="F865" s="18" t="inlineStr">
        <is>
          <t>탄소중립 / 산업안전 / ESG</t>
        </is>
      </c>
      <c r="G865" s="17" t="inlineStr">
        <is>
          <t>intra_cluster_transition</t>
        </is>
      </c>
      <c r="H865" s="18" t="inlineStr">
        <is>
          <t>monitoring, market, activity</t>
        </is>
      </c>
      <c r="I865" s="18" t="inlineStr">
        <is>
          <t>동일 직군 내 고급 도메인 지식</t>
        </is>
      </c>
      <c r="J865" s="18" t="inlineStr">
        <is>
          <t>직무 순환 및 실무 1~2년</t>
        </is>
      </c>
      <c r="K865" s="17" t="inlineStr">
        <is>
          <t>★★☆☆☆</t>
        </is>
      </c>
      <c r="L865" s="21" t="inlineStr">
        <is>
          <t>+12.5%</t>
        </is>
      </c>
    </row>
    <row r="866">
      <c r="A866" s="15" t="inlineStr">
        <is>
          <t>TR-0865</t>
        </is>
      </c>
      <c r="B866" s="15" t="inlineStr">
        <is>
          <t>6123</t>
        </is>
      </c>
      <c r="C866" s="16" t="inlineStr">
        <is>
          <t>Apiarists and Sericulturists</t>
        </is>
      </c>
      <c r="D866" s="15" t="inlineStr">
        <is>
          <t>6129</t>
        </is>
      </c>
      <c r="E866" s="16" t="inlineStr">
        <is>
          <t>Animal Producers Not Elsewhere Classified</t>
        </is>
      </c>
      <c r="F866" s="16" t="inlineStr">
        <is>
          <t>탄소중립 / 산업안전 / ESG</t>
        </is>
      </c>
      <c r="G866" s="15" t="inlineStr">
        <is>
          <t>intra_cluster_transition</t>
        </is>
      </c>
      <c r="H866" s="16" t="inlineStr">
        <is>
          <t>such, cases, would</t>
        </is>
      </c>
      <c r="I866" s="16" t="inlineStr">
        <is>
          <t>동일 직군 내 고급 도메인 지식</t>
        </is>
      </c>
      <c r="J866" s="16" t="inlineStr">
        <is>
          <t>직무 순환 및 실무 1~2년</t>
        </is>
      </c>
      <c r="K866" s="15" t="inlineStr">
        <is>
          <t>★★☆☆☆</t>
        </is>
      </c>
      <c r="L866" s="20" t="inlineStr">
        <is>
          <t>+12.5%</t>
        </is>
      </c>
    </row>
    <row r="867">
      <c r="A867" s="17" t="inlineStr">
        <is>
          <t>TR-0866</t>
        </is>
      </c>
      <c r="B867" s="17" t="inlineStr">
        <is>
          <t>6221</t>
        </is>
      </c>
      <c r="C867" s="18" t="inlineStr">
        <is>
          <t>Aquaculture Workers</t>
        </is>
      </c>
      <c r="D867" s="17" t="inlineStr">
        <is>
          <t>6222</t>
        </is>
      </c>
      <c r="E867" s="18" t="inlineStr">
        <is>
          <t>Inland and Coastal Waters Fishery Workers</t>
        </is>
      </c>
      <c r="F867" s="18" t="inlineStr">
        <is>
          <t>탄소중립 / 산업안전 / ESG</t>
        </is>
      </c>
      <c r="G867" s="17" t="inlineStr">
        <is>
          <t>intra_cluster_transition</t>
        </is>
      </c>
      <c r="H867" s="18" t="inlineStr">
        <is>
          <t>preparing, repairing, nets</t>
        </is>
      </c>
      <c r="I867" s="18" t="inlineStr">
        <is>
          <t>동일 직군 내 고급 도메인 지식</t>
        </is>
      </c>
      <c r="J867" s="18" t="inlineStr">
        <is>
          <t>직무 순환 및 실무 1~2년</t>
        </is>
      </c>
      <c r="K867" s="17" t="inlineStr">
        <is>
          <t>★★☆☆☆</t>
        </is>
      </c>
      <c r="L867" s="21" t="inlineStr">
        <is>
          <t>+12.5%</t>
        </is>
      </c>
    </row>
    <row r="868">
      <c r="A868" s="15" t="inlineStr">
        <is>
          <t>TR-0867</t>
        </is>
      </c>
      <c r="B868" s="15" t="inlineStr">
        <is>
          <t>6223</t>
        </is>
      </c>
      <c r="C868" s="16" t="inlineStr">
        <is>
          <t>Deep-sea Fishery Workers</t>
        </is>
      </c>
      <c r="D868" s="15" t="inlineStr">
        <is>
          <t>6224</t>
        </is>
      </c>
      <c r="E868" s="16" t="inlineStr">
        <is>
          <t>Hunters and Trappers</t>
        </is>
      </c>
      <c r="F868" s="16" t="inlineStr">
        <is>
          <t>탄소중립 / 산업안전 / ESG</t>
        </is>
      </c>
      <c r="G868" s="15" t="inlineStr">
        <is>
          <t>intra_cluster_transition</t>
        </is>
      </c>
      <c r="H868" s="16" t="inlineStr">
        <is>
          <t>setting, traps, catch</t>
        </is>
      </c>
      <c r="I868" s="16" t="inlineStr">
        <is>
          <t>동일 직군 내 고급 도메인 지식</t>
        </is>
      </c>
      <c r="J868" s="16" t="inlineStr">
        <is>
          <t>직무 순환 및 실무 1~2년</t>
        </is>
      </c>
      <c r="K868" s="15" t="inlineStr">
        <is>
          <t>★★☆☆☆</t>
        </is>
      </c>
      <c r="L868" s="20" t="inlineStr">
        <is>
          <t>+12.5%</t>
        </is>
      </c>
    </row>
    <row r="869">
      <c r="A869" s="17" t="inlineStr">
        <is>
          <t>TR-0868</t>
        </is>
      </c>
      <c r="B869" s="17" t="inlineStr">
        <is>
          <t>7111</t>
        </is>
      </c>
      <c r="C869" s="18" t="inlineStr">
        <is>
          <t>House Builders</t>
        </is>
      </c>
      <c r="D869" s="17" t="inlineStr">
        <is>
          <t>7112</t>
        </is>
      </c>
      <c r="E869" s="18" t="inlineStr">
        <is>
          <t>Bricklayers and Related Workers</t>
        </is>
      </c>
      <c r="F869" s="18" t="inlineStr">
        <is>
          <t>스마트건축 / 토목 / 인프라</t>
        </is>
      </c>
      <c r="G869" s="17" t="inlineStr">
        <is>
          <t>intra_cluster_transition</t>
        </is>
      </c>
      <c r="H869" s="18" t="inlineStr">
        <is>
          <t>laying, stone, brick</t>
        </is>
      </c>
      <c r="I869" s="18" t="inlineStr">
        <is>
          <t>동일 직군 내 고급 도메인 지식</t>
        </is>
      </c>
      <c r="J869" s="18" t="inlineStr">
        <is>
          <t>직무 순환 및 실무 1~2년</t>
        </is>
      </c>
      <c r="K869" s="17" t="inlineStr">
        <is>
          <t>★★☆☆☆</t>
        </is>
      </c>
      <c r="L869" s="21" t="inlineStr">
        <is>
          <t>+12.5%</t>
        </is>
      </c>
    </row>
    <row r="870">
      <c r="A870" s="15" t="inlineStr">
        <is>
          <t>TR-0869</t>
        </is>
      </c>
      <c r="B870" s="15" t="inlineStr">
        <is>
          <t>7113</t>
        </is>
      </c>
      <c r="C870" s="16" t="inlineStr">
        <is>
          <t>Stonemasons, Stone Cutters, Splitters and Carvers</t>
        </is>
      </c>
      <c r="D870" s="15" t="inlineStr">
        <is>
          <t>7114</t>
        </is>
      </c>
      <c r="E870" s="16" t="inlineStr">
        <is>
          <t>Concrete Placers, Concrete Finishers and Related Workers</t>
        </is>
      </c>
      <c r="F870" s="16" t="inlineStr">
        <is>
          <t>스마트건축 / 토목 / 인프라</t>
        </is>
      </c>
      <c r="G870" s="15" t="inlineStr">
        <is>
          <t>intra_cluster_transition</t>
        </is>
      </c>
      <c r="H870" s="16" t="inlineStr">
        <is>
          <t>constructing, repairing, reinforced</t>
        </is>
      </c>
      <c r="I870" s="16" t="inlineStr">
        <is>
          <t>동일 직군 내 고급 도메인 지식</t>
        </is>
      </c>
      <c r="J870" s="16" t="inlineStr">
        <is>
          <t>직무 순환 및 실무 1~2년</t>
        </is>
      </c>
      <c r="K870" s="15" t="inlineStr">
        <is>
          <t>★★☆☆☆</t>
        </is>
      </c>
      <c r="L870" s="20" t="inlineStr">
        <is>
          <t>+12.5%</t>
        </is>
      </c>
    </row>
    <row r="871">
      <c r="A871" s="17" t="inlineStr">
        <is>
          <t>TR-0870</t>
        </is>
      </c>
      <c r="B871" s="17" t="inlineStr">
        <is>
          <t>7114</t>
        </is>
      </c>
      <c r="C871" s="18" t="inlineStr">
        <is>
          <t>Concrete Placers, Concrete Finishers and Related Workers</t>
        </is>
      </c>
      <c r="D871" s="17" t="inlineStr">
        <is>
          <t>7115</t>
        </is>
      </c>
      <c r="E871" s="18" t="inlineStr">
        <is>
          <t>Carpenters and Joiners</t>
        </is>
      </c>
      <c r="F871" s="18" t="inlineStr">
        <is>
          <t>스마트건축 / 토목 / 인프라</t>
        </is>
      </c>
      <c r="G871" s="17" t="inlineStr">
        <is>
          <t>intra_cluster_transition</t>
        </is>
      </c>
      <c r="H871" s="18" t="inlineStr">
        <is>
          <t>making, altering, repairing</t>
        </is>
      </c>
      <c r="I871" s="18" t="inlineStr">
        <is>
          <t>동일 직군 내 고급 도메인 지식</t>
        </is>
      </c>
      <c r="J871" s="18" t="inlineStr">
        <is>
          <t>직무 순환 및 실무 1~2년</t>
        </is>
      </c>
      <c r="K871" s="17" t="inlineStr">
        <is>
          <t>★★☆☆☆</t>
        </is>
      </c>
      <c r="L871" s="21" t="inlineStr">
        <is>
          <t>+12.5%</t>
        </is>
      </c>
    </row>
    <row r="872">
      <c r="A872" s="15" t="inlineStr">
        <is>
          <t>TR-0871</t>
        </is>
      </c>
      <c r="B872" s="15" t="inlineStr">
        <is>
          <t>7115</t>
        </is>
      </c>
      <c r="C872" s="16" t="inlineStr">
        <is>
          <t>Carpenters and Joiners</t>
        </is>
      </c>
      <c r="D872" s="15" t="inlineStr">
        <is>
          <t>7119</t>
        </is>
      </c>
      <c r="E872" s="16" t="inlineStr">
        <is>
          <t>Building Frame and Related Trades Workers Not Elsewhere Classified</t>
        </is>
      </c>
      <c r="F872" s="16" t="inlineStr">
        <is>
          <t>스마트건축 / 토목 / 인프라</t>
        </is>
      </c>
      <c r="G872" s="15" t="inlineStr">
        <is>
          <t>intra_cluster_transition</t>
        </is>
      </c>
      <c r="H872" s="16" t="inlineStr">
        <is>
          <t>such, cases, would</t>
        </is>
      </c>
      <c r="I872" s="16" t="inlineStr">
        <is>
          <t>동일 직군 내 고급 도메인 지식</t>
        </is>
      </c>
      <c r="J872" s="16" t="inlineStr">
        <is>
          <t>직무 순환 및 실무 1~2년</t>
        </is>
      </c>
      <c r="K872" s="15" t="inlineStr">
        <is>
          <t>★★☆☆☆</t>
        </is>
      </c>
      <c r="L872" s="20" t="inlineStr">
        <is>
          <t>+12.5%</t>
        </is>
      </c>
    </row>
    <row r="873">
      <c r="A873" s="17" t="inlineStr">
        <is>
          <t>TR-0872</t>
        </is>
      </c>
      <c r="B873" s="17" t="inlineStr">
        <is>
          <t>7121</t>
        </is>
      </c>
      <c r="C873" s="18" t="inlineStr">
        <is>
          <t>Roofers</t>
        </is>
      </c>
      <c r="D873" s="17" t="inlineStr">
        <is>
          <t>7122</t>
        </is>
      </c>
      <c r="E873" s="18" t="inlineStr">
        <is>
          <t>Floor Layers and Tile Setters</t>
        </is>
      </c>
      <c r="F873" s="18" t="inlineStr">
        <is>
          <t>스마트건축 / 토목 / 인프라</t>
        </is>
      </c>
      <c r="G873" s="17" t="inlineStr">
        <is>
          <t>intra_cluster_transition</t>
        </is>
      </c>
      <c r="H873" s="18" t="inlineStr">
        <is>
          <t>preparing, floor, areas</t>
        </is>
      </c>
      <c r="I873" s="18" t="inlineStr">
        <is>
          <t>동일 직군 내 고급 도메인 지식</t>
        </is>
      </c>
      <c r="J873" s="18" t="inlineStr">
        <is>
          <t>직무 순환 및 실무 1~2년</t>
        </is>
      </c>
      <c r="K873" s="17" t="inlineStr">
        <is>
          <t>★★☆☆☆</t>
        </is>
      </c>
      <c r="L873" s="21" t="inlineStr">
        <is>
          <t>+12.5%</t>
        </is>
      </c>
    </row>
    <row r="874">
      <c r="A874" s="15" t="inlineStr">
        <is>
          <t>TR-0873</t>
        </is>
      </c>
      <c r="B874" s="15" t="inlineStr">
        <is>
          <t>7122</t>
        </is>
      </c>
      <c r="C874" s="16" t="inlineStr">
        <is>
          <t>Floor Layers and Tile Setters</t>
        </is>
      </c>
      <c r="D874" s="15" t="inlineStr">
        <is>
          <t>7123</t>
        </is>
      </c>
      <c r="E874" s="16" t="inlineStr">
        <is>
          <t>Plasterers</t>
        </is>
      </c>
      <c r="F874" s="16" t="inlineStr">
        <is>
          <t>스마트건축 / 토목 / 인프라</t>
        </is>
      </c>
      <c r="G874" s="15" t="inlineStr">
        <is>
          <t>intra_cluster_transition</t>
        </is>
      </c>
      <c r="H874" s="16" t="inlineStr">
        <is>
          <t>applying, more, coats</t>
        </is>
      </c>
      <c r="I874" s="16" t="inlineStr">
        <is>
          <t>동일 직군 내 고급 도메인 지식</t>
        </is>
      </c>
      <c r="J874" s="16" t="inlineStr">
        <is>
          <t>직무 순환 및 실무 1~2년</t>
        </is>
      </c>
      <c r="K874" s="15" t="inlineStr">
        <is>
          <t>★★☆☆☆</t>
        </is>
      </c>
      <c r="L874" s="20" t="inlineStr">
        <is>
          <t>+12.5%</t>
        </is>
      </c>
    </row>
    <row r="875">
      <c r="A875" s="17" t="inlineStr">
        <is>
          <t>TR-0874</t>
        </is>
      </c>
      <c r="B875" s="17" t="inlineStr">
        <is>
          <t>7123</t>
        </is>
      </c>
      <c r="C875" s="18" t="inlineStr">
        <is>
          <t>Plasterers</t>
        </is>
      </c>
      <c r="D875" s="17" t="inlineStr">
        <is>
          <t>7124</t>
        </is>
      </c>
      <c r="E875" s="18" t="inlineStr">
        <is>
          <t>Insulation Workers</t>
        </is>
      </c>
      <c r="F875" s="18" t="inlineStr">
        <is>
          <t>스마트건축 / 토목 / 인프라</t>
        </is>
      </c>
      <c r="G875" s="17" t="inlineStr">
        <is>
          <t>intra_cluster_transition</t>
        </is>
      </c>
      <c r="H875" s="18" t="inlineStr">
        <is>
          <t>cutting, insulation, material</t>
        </is>
      </c>
      <c r="I875" s="18" t="inlineStr">
        <is>
          <t>동일 직군 내 고급 도메인 지식</t>
        </is>
      </c>
      <c r="J875" s="18" t="inlineStr">
        <is>
          <t>직무 순환 및 실무 1~2년</t>
        </is>
      </c>
      <c r="K875" s="17" t="inlineStr">
        <is>
          <t>★★☆☆☆</t>
        </is>
      </c>
      <c r="L875" s="21" t="inlineStr">
        <is>
          <t>+12.5%</t>
        </is>
      </c>
    </row>
    <row r="876">
      <c r="A876" s="15" t="inlineStr">
        <is>
          <t>TR-0875</t>
        </is>
      </c>
      <c r="B876" s="15" t="inlineStr">
        <is>
          <t>7124</t>
        </is>
      </c>
      <c r="C876" s="16" t="inlineStr">
        <is>
          <t>Insulation Workers</t>
        </is>
      </c>
      <c r="D876" s="15" t="inlineStr">
        <is>
          <t>7125</t>
        </is>
      </c>
      <c r="E876" s="16" t="inlineStr">
        <is>
          <t>Glaziers</t>
        </is>
      </c>
      <c r="F876" s="16" t="inlineStr">
        <is>
          <t>스마트건축 / 토목 / 인프라</t>
        </is>
      </c>
      <c r="G876" s="15" t="inlineStr">
        <is>
          <t>intra_cluster_transition</t>
        </is>
      </c>
      <c r="H876" s="16" t="inlineStr">
        <is>
          <t>selecting, type, glass</t>
        </is>
      </c>
      <c r="I876" s="16" t="inlineStr">
        <is>
          <t>동일 직군 내 고급 도메인 지식</t>
        </is>
      </c>
      <c r="J876" s="16" t="inlineStr">
        <is>
          <t>직무 순환 및 실무 1~2년</t>
        </is>
      </c>
      <c r="K876" s="15" t="inlineStr">
        <is>
          <t>★★☆☆☆</t>
        </is>
      </c>
      <c r="L876" s="20" t="inlineStr">
        <is>
          <t>+12.5%</t>
        </is>
      </c>
    </row>
    <row r="877">
      <c r="A877" s="17" t="inlineStr">
        <is>
          <t>TR-0876</t>
        </is>
      </c>
      <c r="B877" s="17" t="inlineStr">
        <is>
          <t>7125</t>
        </is>
      </c>
      <c r="C877" s="18" t="inlineStr">
        <is>
          <t>Glaziers</t>
        </is>
      </c>
      <c r="D877" s="17" t="inlineStr">
        <is>
          <t>7126</t>
        </is>
      </c>
      <c r="E877" s="18" t="inlineStr">
        <is>
          <t>Plumbers and Pipe Fitters</t>
        </is>
      </c>
      <c r="F877" s="18" t="inlineStr">
        <is>
          <t>스마트건축 / 토목 / 인프라</t>
        </is>
      </c>
      <c r="G877" s="17" t="inlineStr">
        <is>
          <t>intra_cluster_transition</t>
        </is>
      </c>
      <c r="H877" s="18" t="inlineStr">
        <is>
          <t>examining, blueprints, drawings</t>
        </is>
      </c>
      <c r="I877" s="18" t="inlineStr">
        <is>
          <t>동일 직군 내 고급 도메인 지식</t>
        </is>
      </c>
      <c r="J877" s="18" t="inlineStr">
        <is>
          <t>직무 순환 및 실무 1~2년</t>
        </is>
      </c>
      <c r="K877" s="17" t="inlineStr">
        <is>
          <t>★★☆☆☆</t>
        </is>
      </c>
      <c r="L877" s="21" t="inlineStr">
        <is>
          <t>+12.5%</t>
        </is>
      </c>
    </row>
    <row r="878">
      <c r="A878" s="15" t="inlineStr">
        <is>
          <t>TR-0877</t>
        </is>
      </c>
      <c r="B878" s="15" t="inlineStr">
        <is>
          <t>7131</t>
        </is>
      </c>
      <c r="C878" s="16" t="inlineStr">
        <is>
          <t>Painters and Related Workers</t>
        </is>
      </c>
      <c r="D878" s="15" t="inlineStr">
        <is>
          <t>7132</t>
        </is>
      </c>
      <c r="E878" s="16" t="inlineStr">
        <is>
          <t>Spray Painters and Varnishers</t>
        </is>
      </c>
      <c r="F878" s="16" t="inlineStr">
        <is>
          <t>스마트건축 / 토목 / 인프라</t>
        </is>
      </c>
      <c r="G878" s="15" t="inlineStr">
        <is>
          <t>intra_cluster_transition</t>
        </is>
      </c>
      <c r="H878" s="16" t="inlineStr">
        <is>
          <t>preparing, surfaces, coated</t>
        </is>
      </c>
      <c r="I878" s="16" t="inlineStr">
        <is>
          <t>동일 직군 내 고급 도메인 지식</t>
        </is>
      </c>
      <c r="J878" s="16" t="inlineStr">
        <is>
          <t>직무 순환 및 실무 1~2년</t>
        </is>
      </c>
      <c r="K878" s="15" t="inlineStr">
        <is>
          <t>★★☆☆☆</t>
        </is>
      </c>
      <c r="L878" s="20" t="inlineStr">
        <is>
          <t>+12.5%</t>
        </is>
      </c>
    </row>
    <row r="879">
      <c r="A879" s="17" t="inlineStr">
        <is>
          <t>TR-0878</t>
        </is>
      </c>
      <c r="B879" s="17" t="inlineStr">
        <is>
          <t>7132</t>
        </is>
      </c>
      <c r="C879" s="18" t="inlineStr">
        <is>
          <t>Spray Painters and Varnishers</t>
        </is>
      </c>
      <c r="D879" s="17" t="inlineStr">
        <is>
          <t>7133</t>
        </is>
      </c>
      <c r="E879" s="18" t="inlineStr">
        <is>
          <t>Building Structure Cleaners</t>
        </is>
      </c>
      <c r="F879" s="18" t="inlineStr">
        <is>
          <t>스마트건축 / 토목 / 인프라</t>
        </is>
      </c>
      <c r="G879" s="17" t="inlineStr">
        <is>
          <t>intra_cluster_transition</t>
        </is>
      </c>
      <c r="H879" s="18" t="inlineStr">
        <is>
          <t>cleaning, exterior, surfaces</t>
        </is>
      </c>
      <c r="I879" s="18" t="inlineStr">
        <is>
          <t>동일 직군 내 고급 도메인 지식</t>
        </is>
      </c>
      <c r="J879" s="18" t="inlineStr">
        <is>
          <t>직무 순환 및 실무 1~2년</t>
        </is>
      </c>
      <c r="K879" s="17" t="inlineStr">
        <is>
          <t>★★☆☆☆</t>
        </is>
      </c>
      <c r="L879" s="21" t="inlineStr">
        <is>
          <t>+12.5%</t>
        </is>
      </c>
    </row>
    <row r="880">
      <c r="A880" s="15" t="inlineStr">
        <is>
          <t>TR-0879</t>
        </is>
      </c>
      <c r="B880" s="15" t="inlineStr">
        <is>
          <t>7211</t>
        </is>
      </c>
      <c r="C880" s="16" t="inlineStr">
        <is>
          <t>Metal Moulders and Coremakers</t>
        </is>
      </c>
      <c r="D880" s="15" t="inlineStr">
        <is>
          <t>7212</t>
        </is>
      </c>
      <c r="E880" s="16" t="inlineStr">
        <is>
          <t>Welders and Flame Cutters</t>
        </is>
      </c>
      <c r="F880" s="16" t="inlineStr">
        <is>
          <t>모빌리티 / 자율주행 / 로보틱스</t>
        </is>
      </c>
      <c r="G880" s="15" t="inlineStr">
        <is>
          <t>intra_cluster_transition</t>
        </is>
      </c>
      <c r="H880" s="16" t="inlineStr">
        <is>
          <t>welding, metal, parts</t>
        </is>
      </c>
      <c r="I880" s="16" t="inlineStr">
        <is>
          <t>동일 직군 내 고급 도메인 지식</t>
        </is>
      </c>
      <c r="J880" s="16" t="inlineStr">
        <is>
          <t>직무 순환 및 실무 1~2년</t>
        </is>
      </c>
      <c r="K880" s="15" t="inlineStr">
        <is>
          <t>★★☆☆☆</t>
        </is>
      </c>
      <c r="L880" s="20" t="inlineStr">
        <is>
          <t>+12.5%</t>
        </is>
      </c>
    </row>
    <row r="881">
      <c r="A881" s="17" t="inlineStr">
        <is>
          <t>TR-0880</t>
        </is>
      </c>
      <c r="B881" s="17" t="inlineStr">
        <is>
          <t>7212</t>
        </is>
      </c>
      <c r="C881" s="18" t="inlineStr">
        <is>
          <t>Welders and Flame Cutters</t>
        </is>
      </c>
      <c r="D881" s="17" t="inlineStr">
        <is>
          <t>7213</t>
        </is>
      </c>
      <c r="E881" s="18" t="inlineStr">
        <is>
          <t>Sheet Metal Workers</t>
        </is>
      </c>
      <c r="F881" s="18" t="inlineStr">
        <is>
          <t>모빌리티 / 자율주행 / 로보틱스</t>
        </is>
      </c>
      <c r="G881" s="17" t="inlineStr">
        <is>
          <t>intra_cluster_transition</t>
        </is>
      </c>
      <c r="H881" s="18" t="inlineStr">
        <is>
          <t>marking, sheet, metal</t>
        </is>
      </c>
      <c r="I881" s="18" t="inlineStr">
        <is>
          <t>동일 직군 내 고급 도메인 지식</t>
        </is>
      </c>
      <c r="J881" s="18" t="inlineStr">
        <is>
          <t>직무 순환 및 실무 1~2년</t>
        </is>
      </c>
      <c r="K881" s="17" t="inlineStr">
        <is>
          <t>★★☆☆☆</t>
        </is>
      </c>
      <c r="L881" s="21" t="inlineStr">
        <is>
          <t>+12.5%</t>
        </is>
      </c>
    </row>
    <row r="882">
      <c r="A882" s="15" t="inlineStr">
        <is>
          <t>TR-0881</t>
        </is>
      </c>
      <c r="B882" s="15" t="inlineStr">
        <is>
          <t>7213</t>
        </is>
      </c>
      <c r="C882" s="16" t="inlineStr">
        <is>
          <t>Sheet Metal Workers</t>
        </is>
      </c>
      <c r="D882" s="15" t="inlineStr">
        <is>
          <t>7214</t>
        </is>
      </c>
      <c r="E882" s="16" t="inlineStr">
        <is>
          <t>Structural Metal Preparers and Erectors</t>
        </is>
      </c>
      <c r="F882" s="16" t="inlineStr">
        <is>
          <t>모빌리티 / 자율주행 / 로보틱스</t>
        </is>
      </c>
      <c r="G882" s="15" t="inlineStr">
        <is>
          <t>intra_cluster_transition</t>
        </is>
      </c>
      <c r="H882" s="16" t="inlineStr">
        <is>
          <t>marking, metal, framework</t>
        </is>
      </c>
      <c r="I882" s="16" t="inlineStr">
        <is>
          <t>동일 직군 내 고급 도메인 지식</t>
        </is>
      </c>
      <c r="J882" s="16" t="inlineStr">
        <is>
          <t>직무 순환 및 실무 1~2년</t>
        </is>
      </c>
      <c r="K882" s="15" t="inlineStr">
        <is>
          <t>★★☆☆☆</t>
        </is>
      </c>
      <c r="L882" s="20" t="inlineStr">
        <is>
          <t>+12.5%</t>
        </is>
      </c>
    </row>
    <row r="883">
      <c r="A883" s="17" t="inlineStr">
        <is>
          <t>TR-0882</t>
        </is>
      </c>
      <c r="B883" s="17" t="inlineStr">
        <is>
          <t>7214</t>
        </is>
      </c>
      <c r="C883" s="18" t="inlineStr">
        <is>
          <t>Structural Metal Preparers and Erectors</t>
        </is>
      </c>
      <c r="D883" s="17" t="inlineStr">
        <is>
          <t>7215</t>
        </is>
      </c>
      <c r="E883" s="18" t="inlineStr">
        <is>
          <t>Riggers and Cable Splicers</t>
        </is>
      </c>
      <c r="F883" s="18" t="inlineStr">
        <is>
          <t>모빌리티 / 자율주행 / 로보틱스</t>
        </is>
      </c>
      <c r="G883" s="17" t="inlineStr">
        <is>
          <t>intra_cluster_transition</t>
        </is>
      </c>
      <c r="H883" s="18" t="inlineStr">
        <is>
          <t>estimating, size, shape</t>
        </is>
      </c>
      <c r="I883" s="18" t="inlineStr">
        <is>
          <t>동일 직군 내 고급 도메인 지식</t>
        </is>
      </c>
      <c r="J883" s="18" t="inlineStr">
        <is>
          <t>직무 순환 및 실무 1~2년</t>
        </is>
      </c>
      <c r="K883" s="17" t="inlineStr">
        <is>
          <t>★★☆☆☆</t>
        </is>
      </c>
      <c r="L883" s="21" t="inlineStr">
        <is>
          <t>+12.5%</t>
        </is>
      </c>
    </row>
    <row r="884">
      <c r="A884" s="15" t="inlineStr">
        <is>
          <t>TR-0883</t>
        </is>
      </c>
      <c r="B884" s="15" t="inlineStr">
        <is>
          <t>7221</t>
        </is>
      </c>
      <c r="C884" s="16" t="inlineStr">
        <is>
          <t>Blacksmiths, Hammersmiths and Forging Press Workers</t>
        </is>
      </c>
      <c r="D884" s="15" t="inlineStr">
        <is>
          <t>7222</t>
        </is>
      </c>
      <c r="E884" s="16" t="inlineStr">
        <is>
          <t>Toolmakers and Related Workers</t>
        </is>
      </c>
      <c r="F884" s="16" t="inlineStr">
        <is>
          <t>모빌리티 / 자율주행 / 로보틱스</t>
        </is>
      </c>
      <c r="G884" s="15" t="inlineStr">
        <is>
          <t>intra_cluster_transition</t>
        </is>
      </c>
      <c r="H884" s="16" t="inlineStr">
        <is>
          <t>reading, interpreting, engineering</t>
        </is>
      </c>
      <c r="I884" s="16" t="inlineStr">
        <is>
          <t>동일 직군 내 고급 도메인 지식</t>
        </is>
      </c>
      <c r="J884" s="16" t="inlineStr">
        <is>
          <t>직무 순환 및 실무 1~2년</t>
        </is>
      </c>
      <c r="K884" s="15" t="inlineStr">
        <is>
          <t>★★☆☆☆</t>
        </is>
      </c>
      <c r="L884" s="20" t="inlineStr">
        <is>
          <t>+12.5%</t>
        </is>
      </c>
    </row>
    <row r="885">
      <c r="A885" s="17" t="inlineStr">
        <is>
          <t>TR-0884</t>
        </is>
      </c>
      <c r="B885" s="17" t="inlineStr">
        <is>
          <t>7223</t>
        </is>
      </c>
      <c r="C885" s="18" t="inlineStr">
        <is>
          <t>Metal Working Machine Tool Setters and  Operators</t>
        </is>
      </c>
      <c r="D885" s="17" t="inlineStr">
        <is>
          <t>7224</t>
        </is>
      </c>
      <c r="E885" s="18" t="inlineStr">
        <is>
          <t>Metal Polishers, Wheel Grinders and Tool Sharpeners</t>
        </is>
      </c>
      <c r="F885" s="18" t="inlineStr">
        <is>
          <t>모빌리티 / 자율주행 / 로보틱스</t>
        </is>
      </c>
      <c r="G885" s="17" t="inlineStr">
        <is>
          <t>intra_cluster_transition</t>
        </is>
      </c>
      <c r="H885" s="18" t="inlineStr">
        <is>
          <t>operating, fixed, portable</t>
        </is>
      </c>
      <c r="I885" s="18" t="inlineStr">
        <is>
          <t>동일 직군 내 고급 도메인 지식</t>
        </is>
      </c>
      <c r="J885" s="18" t="inlineStr">
        <is>
          <t>직무 순환 및 실무 1~2년</t>
        </is>
      </c>
      <c r="K885" s="17" t="inlineStr">
        <is>
          <t>★★☆☆☆</t>
        </is>
      </c>
      <c r="L885" s="21" t="inlineStr">
        <is>
          <t>+12.5%</t>
        </is>
      </c>
    </row>
    <row r="886">
      <c r="A886" s="15" t="inlineStr">
        <is>
          <t>TR-0885</t>
        </is>
      </c>
      <c r="B886" s="15" t="inlineStr">
        <is>
          <t>7231</t>
        </is>
      </c>
      <c r="C886" s="16" t="inlineStr">
        <is>
          <t>Motor Vehicle Mechanics and Repairers</t>
        </is>
      </c>
      <c r="D886" s="15" t="inlineStr">
        <is>
          <t>7232</t>
        </is>
      </c>
      <c r="E886" s="16" t="inlineStr">
        <is>
          <t>Aircraft Engine Mechanics and Repairers</t>
        </is>
      </c>
      <c r="F886" s="16" t="inlineStr">
        <is>
          <t>모빌리티 / 자율주행 / 로보틱스</t>
        </is>
      </c>
      <c r="G886" s="15" t="inlineStr">
        <is>
          <t>intra_cluster_transition</t>
        </is>
      </c>
      <c r="H886" s="16" t="inlineStr">
        <is>
          <t>fitting, examining, testing</t>
        </is>
      </c>
      <c r="I886" s="16" t="inlineStr">
        <is>
          <t>동일 직군 내 고급 도메인 지식</t>
        </is>
      </c>
      <c r="J886" s="16" t="inlineStr">
        <is>
          <t>직무 순환 및 실무 1~2년</t>
        </is>
      </c>
      <c r="K886" s="15" t="inlineStr">
        <is>
          <t>★★☆☆☆</t>
        </is>
      </c>
      <c r="L886" s="20" t="inlineStr">
        <is>
          <t>+12.5%</t>
        </is>
      </c>
    </row>
    <row r="887">
      <c r="A887" s="17" t="inlineStr">
        <is>
          <t>TR-0886</t>
        </is>
      </c>
      <c r="B887" s="17" t="inlineStr">
        <is>
          <t>7232</t>
        </is>
      </c>
      <c r="C887" s="18" t="inlineStr">
        <is>
          <t>Aircraft Engine Mechanics and Repairers</t>
        </is>
      </c>
      <c r="D887" s="17" t="inlineStr">
        <is>
          <t>7233</t>
        </is>
      </c>
      <c r="E887" s="18" t="inlineStr">
        <is>
          <t>Agricultural and Industrial Machinery Mechanics and Repairers</t>
        </is>
      </c>
      <c r="F887" s="18" t="inlineStr">
        <is>
          <t>모빌리티 / 자율주행 / 로보틱스</t>
        </is>
      </c>
      <c r="G887" s="17" t="inlineStr">
        <is>
          <t>intra_cluster_transition</t>
        </is>
      </c>
      <c r="H887" s="18" t="inlineStr">
        <is>
          <t>fitting, installing, examining</t>
        </is>
      </c>
      <c r="I887" s="18" t="inlineStr">
        <is>
          <t>동일 직군 내 고급 도메인 지식</t>
        </is>
      </c>
      <c r="J887" s="18" t="inlineStr">
        <is>
          <t>직무 순환 및 실무 1~2년</t>
        </is>
      </c>
      <c r="K887" s="17" t="inlineStr">
        <is>
          <t>★★☆☆☆</t>
        </is>
      </c>
      <c r="L887" s="21" t="inlineStr">
        <is>
          <t>+12.5%</t>
        </is>
      </c>
    </row>
    <row r="888">
      <c r="A888" s="15" t="inlineStr">
        <is>
          <t>TR-0887</t>
        </is>
      </c>
      <c r="B888" s="15" t="inlineStr">
        <is>
          <t>7233</t>
        </is>
      </c>
      <c r="C888" s="16" t="inlineStr">
        <is>
          <t>Agricultural and Industrial Machinery Mechanics and Repairers</t>
        </is>
      </c>
      <c r="D888" s="15" t="inlineStr">
        <is>
          <t>7234</t>
        </is>
      </c>
      <c r="E888" s="16" t="inlineStr">
        <is>
          <t>Bicycle and Related Repairers</t>
        </is>
      </c>
      <c r="F888" s="16" t="inlineStr">
        <is>
          <t>모빌리티 / 자율주행 / 로보틱스</t>
        </is>
      </c>
      <c r="G888" s="15" t="inlineStr">
        <is>
          <t>intra_cluster_transition</t>
        </is>
      </c>
      <c r="H888" s="16" t="inlineStr">
        <is>
          <t>examining, servicing, repairing</t>
        </is>
      </c>
      <c r="I888" s="16" t="inlineStr">
        <is>
          <t>동일 직군 내 고급 도메인 지식</t>
        </is>
      </c>
      <c r="J888" s="16" t="inlineStr">
        <is>
          <t>직무 순환 및 실무 1~2년</t>
        </is>
      </c>
      <c r="K888" s="15" t="inlineStr">
        <is>
          <t>★★☆☆☆</t>
        </is>
      </c>
      <c r="L888" s="20" t="inlineStr">
        <is>
          <t>+12.5%</t>
        </is>
      </c>
    </row>
    <row r="889">
      <c r="A889" s="17" t="inlineStr">
        <is>
          <t>TR-0888</t>
        </is>
      </c>
      <c r="B889" s="17" t="inlineStr">
        <is>
          <t>7311</t>
        </is>
      </c>
      <c r="C889" s="18" t="inlineStr">
        <is>
          <t>Precision-instrument Makers and Repairers</t>
        </is>
      </c>
      <c r="D889" s="17" t="inlineStr">
        <is>
          <t>7312</t>
        </is>
      </c>
      <c r="E889" s="18" t="inlineStr">
        <is>
          <t>Musical Instrument Makers and Tuners</t>
        </is>
      </c>
      <c r="F889" s="18" t="inlineStr">
        <is>
          <t>디자인 / 디지털미디어 / 콘텐츠</t>
        </is>
      </c>
      <c r="G889" s="17" t="inlineStr">
        <is>
          <t>intra_cluster_transition</t>
        </is>
      </c>
      <c r="H889" s="18" t="inlineStr">
        <is>
          <t>fabricating, assembling, musical</t>
        </is>
      </c>
      <c r="I889" s="18" t="inlineStr">
        <is>
          <t>동일 직군 내 고급 도메인 지식</t>
        </is>
      </c>
      <c r="J889" s="18" t="inlineStr">
        <is>
          <t>직무 순환 및 실무 1~2년</t>
        </is>
      </c>
      <c r="K889" s="17" t="inlineStr">
        <is>
          <t>★★☆☆☆</t>
        </is>
      </c>
      <c r="L889" s="21" t="inlineStr">
        <is>
          <t>+12.5%</t>
        </is>
      </c>
    </row>
    <row r="890">
      <c r="A890" s="15" t="inlineStr">
        <is>
          <t>TR-0889</t>
        </is>
      </c>
      <c r="B890" s="15" t="inlineStr">
        <is>
          <t>7312</t>
        </is>
      </c>
      <c r="C890" s="16" t="inlineStr">
        <is>
          <t>Musical Instrument Makers and Tuners</t>
        </is>
      </c>
      <c r="D890" s="15" t="inlineStr">
        <is>
          <t>7313</t>
        </is>
      </c>
      <c r="E890" s="16" t="inlineStr">
        <is>
          <t>Jewellery and Precious Metal Workers</t>
        </is>
      </c>
      <c r="F890" s="16" t="inlineStr">
        <is>
          <t>디자인 / 디지털미디어 / 콘텐츠</t>
        </is>
      </c>
      <c r="G890" s="15" t="inlineStr">
        <is>
          <t>intra_cluster_transition</t>
        </is>
      </c>
      <c r="H890" s="16" t="inlineStr">
        <is>
          <t>casting, jewellery, other</t>
        </is>
      </c>
      <c r="I890" s="16" t="inlineStr">
        <is>
          <t>동일 직군 내 고급 도메인 지식</t>
        </is>
      </c>
      <c r="J890" s="16" t="inlineStr">
        <is>
          <t>직무 순환 및 실무 1~2년</t>
        </is>
      </c>
      <c r="K890" s="15" t="inlineStr">
        <is>
          <t>★★☆☆☆</t>
        </is>
      </c>
      <c r="L890" s="20" t="inlineStr">
        <is>
          <t>+12.5%</t>
        </is>
      </c>
    </row>
    <row r="891">
      <c r="A891" s="17" t="inlineStr">
        <is>
          <t>TR-0890</t>
        </is>
      </c>
      <c r="B891" s="17" t="inlineStr">
        <is>
          <t>7313</t>
        </is>
      </c>
      <c r="C891" s="18" t="inlineStr">
        <is>
          <t>Jewellery and Precious Metal Workers</t>
        </is>
      </c>
      <c r="D891" s="17" t="inlineStr">
        <is>
          <t>7314</t>
        </is>
      </c>
      <c r="E891" s="18" t="inlineStr">
        <is>
          <t>Potters and Related Workers</t>
        </is>
      </c>
      <c r="F891" s="18" t="inlineStr">
        <is>
          <t>디자인 / 디지털미디어 / 콘텐츠</t>
        </is>
      </c>
      <c r="G891" s="17" t="inlineStr">
        <is>
          <t>intra_cluster_transition</t>
        </is>
      </c>
      <c r="H891" s="18" t="inlineStr">
        <is>
          <t>making, articles, pottery</t>
        </is>
      </c>
      <c r="I891" s="18" t="inlineStr">
        <is>
          <t>동일 직군 내 고급 도메인 지식</t>
        </is>
      </c>
      <c r="J891" s="18" t="inlineStr">
        <is>
          <t>직무 순환 및 실무 1~2년</t>
        </is>
      </c>
      <c r="K891" s="17" t="inlineStr">
        <is>
          <t>★★☆☆☆</t>
        </is>
      </c>
      <c r="L891" s="21" t="inlineStr">
        <is>
          <t>+12.5%</t>
        </is>
      </c>
    </row>
    <row r="892">
      <c r="A892" s="15" t="inlineStr">
        <is>
          <t>TR-0891</t>
        </is>
      </c>
      <c r="B892" s="15" t="inlineStr">
        <is>
          <t>7314</t>
        </is>
      </c>
      <c r="C892" s="16" t="inlineStr">
        <is>
          <t>Potters and Related Workers</t>
        </is>
      </c>
      <c r="D892" s="15" t="inlineStr">
        <is>
          <t>7315</t>
        </is>
      </c>
      <c r="E892" s="16" t="inlineStr">
        <is>
          <t>Glass Makers, Cutters, Grinders and Finishers</t>
        </is>
      </c>
      <c r="F892" s="16" t="inlineStr">
        <is>
          <t>디자인 / 디지털미디어 / 콘텐츠</t>
        </is>
      </c>
      <c r="G892" s="15" t="inlineStr">
        <is>
          <t>intra_cluster_transition</t>
        </is>
      </c>
      <c r="H892" s="16" t="inlineStr">
        <is>
          <t>heating, glass, pliable</t>
        </is>
      </c>
      <c r="I892" s="16" t="inlineStr">
        <is>
          <t>동일 직군 내 고급 도메인 지식</t>
        </is>
      </c>
      <c r="J892" s="16" t="inlineStr">
        <is>
          <t>직무 순환 및 실무 1~2년</t>
        </is>
      </c>
      <c r="K892" s="15" t="inlineStr">
        <is>
          <t>★★☆☆☆</t>
        </is>
      </c>
      <c r="L892" s="20" t="inlineStr">
        <is>
          <t>+12.5%</t>
        </is>
      </c>
    </row>
    <row r="893">
      <c r="A893" s="17" t="inlineStr">
        <is>
          <t>TR-0892</t>
        </is>
      </c>
      <c r="B893" s="17" t="inlineStr">
        <is>
          <t>7315</t>
        </is>
      </c>
      <c r="C893" s="18" t="inlineStr">
        <is>
          <t>Glass Makers, Cutters, Grinders and Finishers</t>
        </is>
      </c>
      <c r="D893" s="17" t="inlineStr">
        <is>
          <t>7316</t>
        </is>
      </c>
      <c r="E893" s="18" t="inlineStr">
        <is>
          <t>Sign Writers, Decorative Painters, Engravers and Etchers</t>
        </is>
      </c>
      <c r="F893" s="18" t="inlineStr">
        <is>
          <t>디자인 / 디지털미디어 / 콘텐츠</t>
        </is>
      </c>
      <c r="G893" s="17" t="inlineStr">
        <is>
          <t>intra_cluster_transition</t>
        </is>
      </c>
      <c r="H893" s="18" t="inlineStr">
        <is>
          <t>painting, decorative, freehand</t>
        </is>
      </c>
      <c r="I893" s="18" t="inlineStr">
        <is>
          <t>동일 직군 내 고급 도메인 지식</t>
        </is>
      </c>
      <c r="J893" s="18" t="inlineStr">
        <is>
          <t>직무 순환 및 실무 1~2년</t>
        </is>
      </c>
      <c r="K893" s="17" t="inlineStr">
        <is>
          <t>★★☆☆☆</t>
        </is>
      </c>
      <c r="L893" s="21" t="inlineStr">
        <is>
          <t>+12.5%</t>
        </is>
      </c>
    </row>
    <row r="894">
      <c r="A894" s="15" t="inlineStr">
        <is>
          <t>TR-0893</t>
        </is>
      </c>
      <c r="B894" s="15" t="inlineStr">
        <is>
          <t>7316</t>
        </is>
      </c>
      <c r="C894" s="16" t="inlineStr">
        <is>
          <t>Sign Writers, Decorative Painters, Engravers and Etchers</t>
        </is>
      </c>
      <c r="D894" s="15" t="inlineStr">
        <is>
          <t>7317</t>
        </is>
      </c>
      <c r="E894" s="16" t="inlineStr">
        <is>
          <t>Handicraft Workers in Wood, Basketry and Related Materials</t>
        </is>
      </c>
      <c r="F894" s="16" t="inlineStr">
        <is>
          <t>디자인 / 디지털미디어 / 콘텐츠</t>
        </is>
      </c>
      <c r="G894" s="15" t="inlineStr">
        <is>
          <t>intra_cluster_transition</t>
        </is>
      </c>
      <c r="H894" s="16" t="inlineStr">
        <is>
          <t>preparing, wood, straw</t>
        </is>
      </c>
      <c r="I894" s="16" t="inlineStr">
        <is>
          <t>동일 직군 내 고급 도메인 지식</t>
        </is>
      </c>
      <c r="J894" s="16" t="inlineStr">
        <is>
          <t>직무 순환 및 실무 1~2년</t>
        </is>
      </c>
      <c r="K894" s="15" t="inlineStr">
        <is>
          <t>★★☆☆☆</t>
        </is>
      </c>
      <c r="L894" s="20" t="inlineStr">
        <is>
          <t>+12.5%</t>
        </is>
      </c>
    </row>
    <row r="895">
      <c r="A895" s="17" t="inlineStr">
        <is>
          <t>TR-0894</t>
        </is>
      </c>
      <c r="B895" s="17" t="inlineStr">
        <is>
          <t>7317</t>
        </is>
      </c>
      <c r="C895" s="18" t="inlineStr">
        <is>
          <t>Handicraft Workers in Wood, Basketry and Related Materials</t>
        </is>
      </c>
      <c r="D895" s="17" t="inlineStr">
        <is>
          <t>7318</t>
        </is>
      </c>
      <c r="E895" s="18" t="inlineStr">
        <is>
          <t>Handicraft Workers in Textile, Leather and Related Materials</t>
        </is>
      </c>
      <c r="F895" s="18" t="inlineStr">
        <is>
          <t>디자인 / 디지털미디어 / 콘텐츠</t>
        </is>
      </c>
      <c r="G895" s="17" t="inlineStr">
        <is>
          <t>intra_cluster_transition</t>
        </is>
      </c>
      <c r="H895" s="18" t="inlineStr">
        <is>
          <t>spinning, dyeing, with</t>
        </is>
      </c>
      <c r="I895" s="18" t="inlineStr">
        <is>
          <t>동일 직군 내 고급 도메인 지식</t>
        </is>
      </c>
      <c r="J895" s="18" t="inlineStr">
        <is>
          <t>직무 순환 및 실무 1~2년</t>
        </is>
      </c>
      <c r="K895" s="17" t="inlineStr">
        <is>
          <t>★★☆☆☆</t>
        </is>
      </c>
      <c r="L895" s="21" t="inlineStr">
        <is>
          <t>+12.5%</t>
        </is>
      </c>
    </row>
    <row r="896">
      <c r="A896" s="15" t="inlineStr">
        <is>
          <t>TR-0895</t>
        </is>
      </c>
      <c r="B896" s="15" t="inlineStr">
        <is>
          <t>7318</t>
        </is>
      </c>
      <c r="C896" s="16" t="inlineStr">
        <is>
          <t>Handicraft Workers in Textile, Leather and Related Materials</t>
        </is>
      </c>
      <c r="D896" s="15" t="inlineStr">
        <is>
          <t>7319</t>
        </is>
      </c>
      <c r="E896" s="16" t="inlineStr">
        <is>
          <t>Handicraft Workers Not Elsewhere Classified</t>
        </is>
      </c>
      <c r="F896" s="16" t="inlineStr">
        <is>
          <t>디자인 / 디지털미디어 / 콘텐츠</t>
        </is>
      </c>
      <c r="G896" s="15" t="inlineStr">
        <is>
          <t>intra_cluster_transition</t>
        </is>
      </c>
      <c r="H896" s="16" t="inlineStr">
        <is>
          <t>Handicraft Workers Not Elsewhere Classified 실무, 표준 프로세스 준수, 데이터/지표 분석</t>
        </is>
      </c>
      <c r="I896" s="16" t="inlineStr">
        <is>
          <t>동일 직군 내 고급 도메인 지식</t>
        </is>
      </c>
      <c r="J896" s="16" t="inlineStr">
        <is>
          <t>직무 순환 및 실무 1~2년</t>
        </is>
      </c>
      <c r="K896" s="15" t="inlineStr">
        <is>
          <t>★★☆☆☆</t>
        </is>
      </c>
      <c r="L896" s="20" t="inlineStr">
        <is>
          <t>+12.5%</t>
        </is>
      </c>
    </row>
    <row r="897">
      <c r="A897" s="17" t="inlineStr">
        <is>
          <t>TR-0896</t>
        </is>
      </c>
      <c r="B897" s="17" t="inlineStr">
        <is>
          <t>7321</t>
        </is>
      </c>
      <c r="C897" s="18" t="inlineStr">
        <is>
          <t>Pre-press Technicians</t>
        </is>
      </c>
      <c r="D897" s="17" t="inlineStr">
        <is>
          <t>7322</t>
        </is>
      </c>
      <c r="E897" s="18" t="inlineStr">
        <is>
          <t>Printers</t>
        </is>
      </c>
      <c r="F897" s="18" t="inlineStr">
        <is>
          <t>디자인 / 디지털미디어 / 콘텐츠</t>
        </is>
      </c>
      <c r="G897" s="17" t="inlineStr">
        <is>
          <t>intra_cluster_transition</t>
        </is>
      </c>
      <c r="H897" s="18" t="inlineStr">
        <is>
          <t>setting, adjusting, monitoring</t>
        </is>
      </c>
      <c r="I897" s="18" t="inlineStr">
        <is>
          <t>동일 직군 내 고급 도메인 지식</t>
        </is>
      </c>
      <c r="J897" s="18" t="inlineStr">
        <is>
          <t>직무 순환 및 실무 1~2년</t>
        </is>
      </c>
      <c r="K897" s="17" t="inlineStr">
        <is>
          <t>★★☆☆☆</t>
        </is>
      </c>
      <c r="L897" s="21" t="inlineStr">
        <is>
          <t>+12.5%</t>
        </is>
      </c>
    </row>
    <row r="898">
      <c r="A898" s="15" t="inlineStr">
        <is>
          <t>TR-0897</t>
        </is>
      </c>
      <c r="B898" s="15" t="inlineStr">
        <is>
          <t>7322</t>
        </is>
      </c>
      <c r="C898" s="16" t="inlineStr">
        <is>
          <t>Printers</t>
        </is>
      </c>
      <c r="D898" s="15" t="inlineStr">
        <is>
          <t>7323</t>
        </is>
      </c>
      <c r="E898" s="16" t="inlineStr">
        <is>
          <t>Print Finishing and Binding Workers</t>
        </is>
      </c>
      <c r="F898" s="16" t="inlineStr">
        <is>
          <t>디자인 / 디지털미디어 / 콘텐츠</t>
        </is>
      </c>
      <c r="G898" s="15" t="inlineStr">
        <is>
          <t>intra_cluster_transition</t>
        </is>
      </c>
      <c r="H898" s="16" t="inlineStr">
        <is>
          <t>setting, supervising, operation</t>
        </is>
      </c>
      <c r="I898" s="16" t="inlineStr">
        <is>
          <t>동일 직군 내 고급 도메인 지식</t>
        </is>
      </c>
      <c r="J898" s="16" t="inlineStr">
        <is>
          <t>직무 순환 및 실무 1~2년</t>
        </is>
      </c>
      <c r="K898" s="15" t="inlineStr">
        <is>
          <t>★★☆☆☆</t>
        </is>
      </c>
      <c r="L898" s="20" t="inlineStr">
        <is>
          <t>+12.5%</t>
        </is>
      </c>
    </row>
    <row r="899">
      <c r="A899" s="17" t="inlineStr">
        <is>
          <t>TR-0898</t>
        </is>
      </c>
      <c r="B899" s="17" t="inlineStr">
        <is>
          <t>7412</t>
        </is>
      </c>
      <c r="C899" s="18" t="inlineStr">
        <is>
          <t>Electrical Mechanics and Fitters</t>
        </is>
      </c>
      <c r="D899" s="17" t="inlineStr">
        <is>
          <t>7413</t>
        </is>
      </c>
      <c r="E899" s="18" t="inlineStr">
        <is>
          <t>Electrical Line Installers and Repairers</t>
        </is>
      </c>
      <c r="F899" s="18" t="inlineStr">
        <is>
          <t>반도체 / 전자회로 / 하드웨어</t>
        </is>
      </c>
      <c r="G899" s="17" t="inlineStr">
        <is>
          <t>intra_cluster_transition</t>
        </is>
      </c>
      <c r="H899" s="18" t="inlineStr">
        <is>
          <t>installing, repairing, overhead</t>
        </is>
      </c>
      <c r="I899" s="18" t="inlineStr">
        <is>
          <t>동일 직군 내 고급 도메인 지식</t>
        </is>
      </c>
      <c r="J899" s="18" t="inlineStr">
        <is>
          <t>직무 순환 및 실무 1~2년</t>
        </is>
      </c>
      <c r="K899" s="17" t="inlineStr">
        <is>
          <t>★★☆☆☆</t>
        </is>
      </c>
      <c r="L899" s="21" t="inlineStr">
        <is>
          <t>+12.5%</t>
        </is>
      </c>
    </row>
    <row r="900">
      <c r="A900" s="15" t="inlineStr">
        <is>
          <t>TR-0899</t>
        </is>
      </c>
      <c r="B900" s="15" t="inlineStr">
        <is>
          <t>7421</t>
        </is>
      </c>
      <c r="C900" s="16" t="inlineStr">
        <is>
          <t>Electronics Mechanics and Servicers</t>
        </is>
      </c>
      <c r="D900" s="15" t="inlineStr">
        <is>
          <t>7422</t>
        </is>
      </c>
      <c r="E900" s="16" t="inlineStr">
        <is>
          <t>Information and Communications Technology Installers and Servicers</t>
        </is>
      </c>
      <c r="F900" s="16" t="inlineStr">
        <is>
          <t>반도체 / 전자회로 / 하드웨어</t>
        </is>
      </c>
      <c r="G900" s="15" t="inlineStr">
        <is>
          <t>intra_cluster_transition</t>
        </is>
      </c>
      <c r="H900" s="16" t="inlineStr">
        <is>
          <t>maintaining, troubleshooting, testing</t>
        </is>
      </c>
      <c r="I900" s="16" t="inlineStr">
        <is>
          <t>동일 직군 내 고급 도메인 지식</t>
        </is>
      </c>
      <c r="J900" s="16" t="inlineStr">
        <is>
          <t>직무 순환 및 실무 1~2년</t>
        </is>
      </c>
      <c r="K900" s="15" t="inlineStr">
        <is>
          <t>★★☆☆☆</t>
        </is>
      </c>
      <c r="L900" s="20" t="inlineStr">
        <is>
          <t>+12.5%</t>
        </is>
      </c>
    </row>
    <row r="901">
      <c r="A901" s="17" t="inlineStr">
        <is>
          <t>TR-0900</t>
        </is>
      </c>
      <c r="B901" s="17" t="inlineStr">
        <is>
          <t>7511</t>
        </is>
      </c>
      <c r="C901" s="18" t="inlineStr">
        <is>
          <t>Butchers, Fishmongers and Related Food Preparers</t>
        </is>
      </c>
      <c r="D901" s="17" t="inlineStr">
        <is>
          <t>7512</t>
        </is>
      </c>
      <c r="E901" s="18" t="inlineStr">
        <is>
          <t>Bakers, Pastry-cooks and Confectionery Makers</t>
        </is>
      </c>
      <c r="F901" s="18" t="inlineStr">
        <is>
          <t>모빌리티 / 자율주행 / 로보틱스</t>
        </is>
      </c>
      <c r="G901" s="17" t="inlineStr">
        <is>
          <t>intra_cluster_transition</t>
        </is>
      </c>
      <c r="H901" s="18" t="inlineStr">
        <is>
          <t>making, bread, cakes</t>
        </is>
      </c>
      <c r="I901" s="18" t="inlineStr">
        <is>
          <t>동일 직군 내 고급 도메인 지식</t>
        </is>
      </c>
      <c r="J901" s="18" t="inlineStr">
        <is>
          <t>직무 순환 및 실무 1~2년</t>
        </is>
      </c>
      <c r="K901" s="17" t="inlineStr">
        <is>
          <t>★★☆☆☆</t>
        </is>
      </c>
      <c r="L901" s="21" t="inlineStr">
        <is>
          <t>+12.5%</t>
        </is>
      </c>
    </row>
    <row r="902">
      <c r="A902" s="15" t="inlineStr">
        <is>
          <t>TR-0901</t>
        </is>
      </c>
      <c r="B902" s="15" t="inlineStr">
        <is>
          <t>7512</t>
        </is>
      </c>
      <c r="C902" s="16" t="inlineStr">
        <is>
          <t>Bakers, Pastry-cooks and Confectionery Makers</t>
        </is>
      </c>
      <c r="D902" s="15" t="inlineStr">
        <is>
          <t>7513</t>
        </is>
      </c>
      <c r="E902" s="16" t="inlineStr">
        <is>
          <t>Dairy Products Makers</t>
        </is>
      </c>
      <c r="F902" s="16" t="inlineStr">
        <is>
          <t>모빌리티 / 자율주행 / 로보틱스</t>
        </is>
      </c>
      <c r="G902" s="15" t="inlineStr">
        <is>
          <t>intra_cluster_transition</t>
        </is>
      </c>
      <c r="H902" s="16" t="inlineStr">
        <is>
          <t>boiling, pasteurizing, milk</t>
        </is>
      </c>
      <c r="I902" s="16" t="inlineStr">
        <is>
          <t>동일 직군 내 고급 도메인 지식</t>
        </is>
      </c>
      <c r="J902" s="16" t="inlineStr">
        <is>
          <t>직무 순환 및 실무 1~2년</t>
        </is>
      </c>
      <c r="K902" s="15" t="inlineStr">
        <is>
          <t>★★☆☆☆</t>
        </is>
      </c>
      <c r="L902" s="20" t="inlineStr">
        <is>
          <t>+12.5%</t>
        </is>
      </c>
    </row>
    <row r="903">
      <c r="A903" s="17" t="inlineStr">
        <is>
          <t>TR-0902</t>
        </is>
      </c>
      <c r="B903" s="17" t="inlineStr">
        <is>
          <t>7513</t>
        </is>
      </c>
      <c r="C903" s="18" t="inlineStr">
        <is>
          <t>Dairy Products Makers</t>
        </is>
      </c>
      <c r="D903" s="17" t="inlineStr">
        <is>
          <t>7514</t>
        </is>
      </c>
      <c r="E903" s="18" t="inlineStr">
        <is>
          <t>Fruit, Vegetable and Related Preservers</t>
        </is>
      </c>
      <c r="F903" s="18" t="inlineStr">
        <is>
          <t>모빌리티 / 자율주행 / 로보틱스</t>
        </is>
      </c>
      <c r="G903" s="17" t="inlineStr">
        <is>
          <t>intra_cluster_transition</t>
        </is>
      </c>
      <c r="H903" s="18" t="inlineStr">
        <is>
          <t>extracting, juices, from</t>
        </is>
      </c>
      <c r="I903" s="18" t="inlineStr">
        <is>
          <t>동일 직군 내 고급 도메인 지식</t>
        </is>
      </c>
      <c r="J903" s="18" t="inlineStr">
        <is>
          <t>직무 순환 및 실무 1~2년</t>
        </is>
      </c>
      <c r="K903" s="17" t="inlineStr">
        <is>
          <t>★★☆☆☆</t>
        </is>
      </c>
      <c r="L903" s="21" t="inlineStr">
        <is>
          <t>+12.5%</t>
        </is>
      </c>
    </row>
    <row r="904">
      <c r="A904" s="15" t="inlineStr">
        <is>
          <t>TR-0903</t>
        </is>
      </c>
      <c r="B904" s="15" t="inlineStr">
        <is>
          <t>7514</t>
        </is>
      </c>
      <c r="C904" s="16" t="inlineStr">
        <is>
          <t>Fruit, Vegetable and Related Preservers</t>
        </is>
      </c>
      <c r="D904" s="15" t="inlineStr">
        <is>
          <t>7515</t>
        </is>
      </c>
      <c r="E904" s="16" t="inlineStr">
        <is>
          <t>Food and Beverage Tasters and Graders</t>
        </is>
      </c>
      <c r="F904" s="16" t="inlineStr">
        <is>
          <t>모빌리티 / 자율주행 / 로보틱스</t>
        </is>
      </c>
      <c r="G904" s="15" t="inlineStr">
        <is>
          <t>intra_cluster_transition</t>
        </is>
      </c>
      <c r="H904" s="16" t="inlineStr">
        <is>
          <t>inspecting, testing, tasting</t>
        </is>
      </c>
      <c r="I904" s="16" t="inlineStr">
        <is>
          <t>동일 직군 내 고급 도메인 지식</t>
        </is>
      </c>
      <c r="J904" s="16" t="inlineStr">
        <is>
          <t>직무 순환 및 실무 1~2년</t>
        </is>
      </c>
      <c r="K904" s="15" t="inlineStr">
        <is>
          <t>★★☆☆☆</t>
        </is>
      </c>
      <c r="L904" s="20" t="inlineStr">
        <is>
          <t>+12.5%</t>
        </is>
      </c>
    </row>
    <row r="905">
      <c r="A905" s="17" t="inlineStr">
        <is>
          <t>TR-0904</t>
        </is>
      </c>
      <c r="B905" s="17" t="inlineStr">
        <is>
          <t>7515</t>
        </is>
      </c>
      <c r="C905" s="18" t="inlineStr">
        <is>
          <t>Food and Beverage Tasters and Graders</t>
        </is>
      </c>
      <c r="D905" s="17" t="inlineStr">
        <is>
          <t>7516</t>
        </is>
      </c>
      <c r="E905" s="18" t="inlineStr">
        <is>
          <t>Tobacco Preparers and Tobacco Products Makers</t>
        </is>
      </c>
      <c r="F905" s="18" t="inlineStr">
        <is>
          <t>모빌리티 / 자율주행 / 로보틱스</t>
        </is>
      </c>
      <c r="G905" s="17" t="inlineStr">
        <is>
          <t>intra_cluster_transition</t>
        </is>
      </c>
      <c r="H905" s="18" t="inlineStr">
        <is>
          <t>grading, cured, tobacco</t>
        </is>
      </c>
      <c r="I905" s="18" t="inlineStr">
        <is>
          <t>동일 직군 내 고급 도메인 지식</t>
        </is>
      </c>
      <c r="J905" s="18" t="inlineStr">
        <is>
          <t>직무 순환 및 실무 1~2년</t>
        </is>
      </c>
      <c r="K905" s="17" t="inlineStr">
        <is>
          <t>★★☆☆☆</t>
        </is>
      </c>
      <c r="L905" s="21" t="inlineStr">
        <is>
          <t>+12.5%</t>
        </is>
      </c>
    </row>
    <row r="906">
      <c r="A906" s="15" t="inlineStr">
        <is>
          <t>TR-0905</t>
        </is>
      </c>
      <c r="B906" s="15" t="inlineStr">
        <is>
          <t>7521</t>
        </is>
      </c>
      <c r="C906" s="16" t="inlineStr">
        <is>
          <t>Wood Treaters</t>
        </is>
      </c>
      <c r="D906" s="15" t="inlineStr">
        <is>
          <t>7522</t>
        </is>
      </c>
      <c r="E906" s="16" t="inlineStr">
        <is>
          <t>Cabinet-makers and Related Workers</t>
        </is>
      </c>
      <c r="F906" s="16" t="inlineStr">
        <is>
          <t>모빌리티 / 자율주행 / 로보틱스</t>
        </is>
      </c>
      <c r="G906" s="15" t="inlineStr">
        <is>
          <t>intra_cluster_transition</t>
        </is>
      </c>
      <c r="H906" s="16" t="inlineStr">
        <is>
          <t>operating, woodworking, machines</t>
        </is>
      </c>
      <c r="I906" s="16" t="inlineStr">
        <is>
          <t>동일 직군 내 고급 도메인 지식</t>
        </is>
      </c>
      <c r="J906" s="16" t="inlineStr">
        <is>
          <t>직무 순환 및 실무 1~2년</t>
        </is>
      </c>
      <c r="K906" s="15" t="inlineStr">
        <is>
          <t>★★☆☆☆</t>
        </is>
      </c>
      <c r="L906" s="20" t="inlineStr">
        <is>
          <t>+12.5%</t>
        </is>
      </c>
    </row>
    <row r="907">
      <c r="A907" s="17" t="inlineStr">
        <is>
          <t>TR-0906</t>
        </is>
      </c>
      <c r="B907" s="17" t="inlineStr">
        <is>
          <t>7522</t>
        </is>
      </c>
      <c r="C907" s="18" t="inlineStr">
        <is>
          <t>Cabinet-makers and Related Workers</t>
        </is>
      </c>
      <c r="D907" s="17" t="inlineStr">
        <is>
          <t>7523</t>
        </is>
      </c>
      <c r="E907" s="18" t="inlineStr">
        <is>
          <t>Woodworking Machine Tool Setters and Operators</t>
        </is>
      </c>
      <c r="F907" s="18" t="inlineStr">
        <is>
          <t>모빌리티 / 자율주행 / 로보틱스</t>
        </is>
      </c>
      <c r="G907" s="17" t="inlineStr">
        <is>
          <t>intra_cluster_transition</t>
        </is>
      </c>
      <c r="H907" s="18" t="inlineStr">
        <is>
          <t>setting, programming, operating</t>
        </is>
      </c>
      <c r="I907" s="18" t="inlineStr">
        <is>
          <t>동일 직군 내 고급 도메인 지식</t>
        </is>
      </c>
      <c r="J907" s="18" t="inlineStr">
        <is>
          <t>직무 순환 및 실무 1~2년</t>
        </is>
      </c>
      <c r="K907" s="17" t="inlineStr">
        <is>
          <t>★★☆☆☆</t>
        </is>
      </c>
      <c r="L907" s="21" t="inlineStr">
        <is>
          <t>+12.5%</t>
        </is>
      </c>
    </row>
    <row r="908">
      <c r="A908" s="15" t="inlineStr">
        <is>
          <t>TR-0907</t>
        </is>
      </c>
      <c r="B908" s="15" t="inlineStr">
        <is>
          <t>7531</t>
        </is>
      </c>
      <c r="C908" s="16" t="inlineStr">
        <is>
          <t>Tailors, Dressmakers, Furriers and Hatters</t>
        </is>
      </c>
      <c r="D908" s="15" t="inlineStr">
        <is>
          <t>7532</t>
        </is>
      </c>
      <c r="E908" s="16" t="inlineStr">
        <is>
          <t>Garment and Related Patternmakers and Cutters</t>
        </is>
      </c>
      <c r="F908" s="16" t="inlineStr">
        <is>
          <t>모빌리티 / 자율주행 / 로보틱스</t>
        </is>
      </c>
      <c r="G908" s="15" t="inlineStr">
        <is>
          <t>intra_cluster_transition</t>
        </is>
      </c>
      <c r="H908" s="16" t="inlineStr">
        <is>
          <t>creating, master, pattern</t>
        </is>
      </c>
      <c r="I908" s="16" t="inlineStr">
        <is>
          <t>동일 직군 내 고급 도메인 지식</t>
        </is>
      </c>
      <c r="J908" s="16" t="inlineStr">
        <is>
          <t>직무 순환 및 실무 1~2년</t>
        </is>
      </c>
      <c r="K908" s="15" t="inlineStr">
        <is>
          <t>★★☆☆☆</t>
        </is>
      </c>
      <c r="L908" s="20" t="inlineStr">
        <is>
          <t>+12.5%</t>
        </is>
      </c>
    </row>
    <row r="909">
      <c r="A909" s="17" t="inlineStr">
        <is>
          <t>TR-0908</t>
        </is>
      </c>
      <c r="B909" s="17" t="inlineStr">
        <is>
          <t>7532</t>
        </is>
      </c>
      <c r="C909" s="18" t="inlineStr">
        <is>
          <t>Garment and Related Patternmakers and Cutters</t>
        </is>
      </c>
      <c r="D909" s="17" t="inlineStr">
        <is>
          <t>7533</t>
        </is>
      </c>
      <c r="E909" s="18" t="inlineStr">
        <is>
          <t>Sewing, Embroidery and Related Workers</t>
        </is>
      </c>
      <c r="F909" s="18" t="inlineStr">
        <is>
          <t>모빌리티 / 자율주행 / 로보틱스</t>
        </is>
      </c>
      <c r="G909" s="17" t="inlineStr">
        <is>
          <t>intra_cluster_transition</t>
        </is>
      </c>
      <c r="H909" s="18" t="inlineStr">
        <is>
          <t>repairing, defective, damaged</t>
        </is>
      </c>
      <c r="I909" s="18" t="inlineStr">
        <is>
          <t>동일 직군 내 고급 도메인 지식</t>
        </is>
      </c>
      <c r="J909" s="18" t="inlineStr">
        <is>
          <t>직무 순환 및 실무 1~2년</t>
        </is>
      </c>
      <c r="K909" s="17" t="inlineStr">
        <is>
          <t>★★☆☆☆</t>
        </is>
      </c>
      <c r="L909" s="21" t="inlineStr">
        <is>
          <t>+12.5%</t>
        </is>
      </c>
    </row>
    <row r="910">
      <c r="A910" s="15" t="inlineStr">
        <is>
          <t>TR-0909</t>
        </is>
      </c>
      <c r="B910" s="15" t="inlineStr">
        <is>
          <t>7533</t>
        </is>
      </c>
      <c r="C910" s="16" t="inlineStr">
        <is>
          <t>Sewing, Embroidery and Related Workers</t>
        </is>
      </c>
      <c r="D910" s="15" t="inlineStr">
        <is>
          <t>7534</t>
        </is>
      </c>
      <c r="E910" s="16" t="inlineStr">
        <is>
          <t>Upholsterers and Related Workers</t>
        </is>
      </c>
      <c r="F910" s="16" t="inlineStr">
        <is>
          <t>모빌리티 / 자율주행 / 로보틱스</t>
        </is>
      </c>
      <c r="G910" s="15" t="inlineStr">
        <is>
          <t>intra_cluster_transition</t>
        </is>
      </c>
      <c r="H910" s="16" t="inlineStr">
        <is>
          <t>discussing, upholstery, fabric</t>
        </is>
      </c>
      <c r="I910" s="16" t="inlineStr">
        <is>
          <t>동일 직군 내 고급 도메인 지식</t>
        </is>
      </c>
      <c r="J910" s="16" t="inlineStr">
        <is>
          <t>직무 순환 및 실무 1~2년</t>
        </is>
      </c>
      <c r="K910" s="15" t="inlineStr">
        <is>
          <t>★★☆☆☆</t>
        </is>
      </c>
      <c r="L910" s="20" t="inlineStr">
        <is>
          <t>+12.5%</t>
        </is>
      </c>
    </row>
    <row r="911">
      <c r="A911" s="17" t="inlineStr">
        <is>
          <t>TR-0910</t>
        </is>
      </c>
      <c r="B911" s="17" t="inlineStr">
        <is>
          <t>7534</t>
        </is>
      </c>
      <c r="C911" s="18" t="inlineStr">
        <is>
          <t>Upholsterers and Related Workers</t>
        </is>
      </c>
      <c r="D911" s="17" t="inlineStr">
        <is>
          <t>7535</t>
        </is>
      </c>
      <c r="E911" s="18" t="inlineStr">
        <is>
          <t>Pelt Dressers, Tanners and Fellmongers</t>
        </is>
      </c>
      <c r="F911" s="18" t="inlineStr">
        <is>
          <t>모빌리티 / 자율주행 / 로보틱스</t>
        </is>
      </c>
      <c r="G911" s="17" t="inlineStr">
        <is>
          <t>intra_cluster_transition</t>
        </is>
      </c>
      <c r="H911" s="18" t="inlineStr">
        <is>
          <t>sorting, grading, pelts</t>
        </is>
      </c>
      <c r="I911" s="18" t="inlineStr">
        <is>
          <t>동일 직군 내 고급 도메인 지식</t>
        </is>
      </c>
      <c r="J911" s="18" t="inlineStr">
        <is>
          <t>직무 순환 및 실무 1~2년</t>
        </is>
      </c>
      <c r="K911" s="17" t="inlineStr">
        <is>
          <t>★★☆☆☆</t>
        </is>
      </c>
      <c r="L911" s="21" t="inlineStr">
        <is>
          <t>+12.5%</t>
        </is>
      </c>
    </row>
    <row r="912">
      <c r="A912" s="15" t="inlineStr">
        <is>
          <t>TR-0911</t>
        </is>
      </c>
      <c r="B912" s="15" t="inlineStr">
        <is>
          <t>7535</t>
        </is>
      </c>
      <c r="C912" s="16" t="inlineStr">
        <is>
          <t>Pelt Dressers, Tanners and Fellmongers</t>
        </is>
      </c>
      <c r="D912" s="15" t="inlineStr">
        <is>
          <t>7536</t>
        </is>
      </c>
      <c r="E912" s="16" t="inlineStr">
        <is>
          <t>Shoemakers and Related Workers</t>
        </is>
      </c>
      <c r="F912" s="16" t="inlineStr">
        <is>
          <t>모빌리티 / 자율주행 / 로보틱스</t>
        </is>
      </c>
      <c r="G912" s="15" t="inlineStr">
        <is>
          <t>intra_cluster_transition</t>
        </is>
      </c>
      <c r="H912" s="16" t="inlineStr">
        <is>
          <t>making, modifying, repairing</t>
        </is>
      </c>
      <c r="I912" s="16" t="inlineStr">
        <is>
          <t>동일 직군 내 고급 도메인 지식</t>
        </is>
      </c>
      <c r="J912" s="16" t="inlineStr">
        <is>
          <t>직무 순환 및 실무 1~2년</t>
        </is>
      </c>
      <c r="K912" s="15" t="inlineStr">
        <is>
          <t>★★☆☆☆</t>
        </is>
      </c>
      <c r="L912" s="20" t="inlineStr">
        <is>
          <t>+12.5%</t>
        </is>
      </c>
    </row>
    <row r="913">
      <c r="A913" s="17" t="inlineStr">
        <is>
          <t>TR-0912</t>
        </is>
      </c>
      <c r="B913" s="17" t="inlineStr">
        <is>
          <t>7541</t>
        </is>
      </c>
      <c r="C913" s="18" t="inlineStr">
        <is>
          <t>Underwater Divers</t>
        </is>
      </c>
      <c r="D913" s="17" t="inlineStr">
        <is>
          <t>7542</t>
        </is>
      </c>
      <c r="E913" s="18" t="inlineStr">
        <is>
          <t>Shotfirers and Blasters</t>
        </is>
      </c>
      <c r="F913" s="18" t="inlineStr">
        <is>
          <t>모빌리티 / 자율주행 / 로보틱스</t>
        </is>
      </c>
      <c r="G913" s="17" t="inlineStr">
        <is>
          <t>intra_cluster_transition</t>
        </is>
      </c>
      <c r="H913" s="18" t="inlineStr">
        <is>
          <t>ensuring, workplace, safety</t>
        </is>
      </c>
      <c r="I913" s="18" t="inlineStr">
        <is>
          <t>동일 직군 내 고급 도메인 지식</t>
        </is>
      </c>
      <c r="J913" s="18" t="inlineStr">
        <is>
          <t>직무 순환 및 실무 1~2년</t>
        </is>
      </c>
      <c r="K913" s="17" t="inlineStr">
        <is>
          <t>★★☆☆☆</t>
        </is>
      </c>
      <c r="L913" s="21" t="inlineStr">
        <is>
          <t>+12.5%</t>
        </is>
      </c>
    </row>
    <row r="914">
      <c r="A914" s="15" t="inlineStr">
        <is>
          <t>TR-0913</t>
        </is>
      </c>
      <c r="B914" s="15" t="inlineStr">
        <is>
          <t>7542</t>
        </is>
      </c>
      <c r="C914" s="16" t="inlineStr">
        <is>
          <t>Shotfirers and Blasters</t>
        </is>
      </c>
      <c r="D914" s="15" t="inlineStr">
        <is>
          <t>7543</t>
        </is>
      </c>
      <c r="E914" s="16" t="inlineStr">
        <is>
          <t>Product Graders and Testers (except Foods and Beverages)</t>
        </is>
      </c>
      <c r="F914" s="16" t="inlineStr">
        <is>
          <t>모빌리티 / 자율주행 / 로보틱스</t>
        </is>
      </c>
      <c r="G914" s="15" t="inlineStr">
        <is>
          <t>intra_cluster_transition</t>
        </is>
      </c>
      <c r="H914" s="16" t="inlineStr">
        <is>
          <t>inspecting, testing, products</t>
        </is>
      </c>
      <c r="I914" s="16" t="inlineStr">
        <is>
          <t>동일 직군 내 고급 도메인 지식</t>
        </is>
      </c>
      <c r="J914" s="16" t="inlineStr">
        <is>
          <t>직무 순환 및 실무 1~2년</t>
        </is>
      </c>
      <c r="K914" s="15" t="inlineStr">
        <is>
          <t>★★☆☆☆</t>
        </is>
      </c>
      <c r="L914" s="20" t="inlineStr">
        <is>
          <t>+12.5%</t>
        </is>
      </c>
    </row>
    <row r="915">
      <c r="A915" s="17" t="inlineStr">
        <is>
          <t>TR-0914</t>
        </is>
      </c>
      <c r="B915" s="17" t="inlineStr">
        <is>
          <t>7543</t>
        </is>
      </c>
      <c r="C915" s="18" t="inlineStr">
        <is>
          <t>Product Graders and Testers (except Foods and Beverages)</t>
        </is>
      </c>
      <c r="D915" s="17" t="inlineStr">
        <is>
          <t>7544</t>
        </is>
      </c>
      <c r="E915" s="18" t="inlineStr">
        <is>
          <t>Fumigators and Other Pest and Weed Controllers</t>
        </is>
      </c>
      <c r="F915" s="18" t="inlineStr">
        <is>
          <t>모빌리티 / 자율주행 / 로보틱스</t>
        </is>
      </c>
      <c r="G915" s="17" t="inlineStr">
        <is>
          <t>intra_cluster_transition</t>
        </is>
      </c>
      <c r="H915" s="18" t="inlineStr">
        <is>
          <t>operating, monitoring, equipment</t>
        </is>
      </c>
      <c r="I915" s="18" t="inlineStr">
        <is>
          <t>동일 직군 내 고급 도메인 지식</t>
        </is>
      </c>
      <c r="J915" s="18" t="inlineStr">
        <is>
          <t>직무 순환 및 실무 1~2년</t>
        </is>
      </c>
      <c r="K915" s="17" t="inlineStr">
        <is>
          <t>★★☆☆☆</t>
        </is>
      </c>
      <c r="L915" s="21" t="inlineStr">
        <is>
          <t>+12.5%</t>
        </is>
      </c>
    </row>
    <row r="916">
      <c r="A916" s="15" t="inlineStr">
        <is>
          <t>TR-0915</t>
        </is>
      </c>
      <c r="B916" s="15" t="inlineStr">
        <is>
          <t>7544</t>
        </is>
      </c>
      <c r="C916" s="16" t="inlineStr">
        <is>
          <t>Fumigators and Other Pest and Weed Controllers</t>
        </is>
      </c>
      <c r="D916" s="15" t="inlineStr">
        <is>
          <t>7549</t>
        </is>
      </c>
      <c r="E916" s="16" t="inlineStr">
        <is>
          <t>Craft and Related Workers not Elsewhere Classified</t>
        </is>
      </c>
      <c r="F916" s="16" t="inlineStr">
        <is>
          <t>모빌리티 / 자율주행 / 로보틱스</t>
        </is>
      </c>
      <c r="G916" s="15" t="inlineStr">
        <is>
          <t>intra_cluster_transition</t>
        </is>
      </c>
      <c r="H916" s="16" t="inlineStr">
        <is>
          <t>such, cases, would</t>
        </is>
      </c>
      <c r="I916" s="16" t="inlineStr">
        <is>
          <t>동일 직군 내 고급 도메인 지식</t>
        </is>
      </c>
      <c r="J916" s="16" t="inlineStr">
        <is>
          <t>직무 순환 및 실무 1~2년</t>
        </is>
      </c>
      <c r="K916" s="15" t="inlineStr">
        <is>
          <t>★★☆☆☆</t>
        </is>
      </c>
      <c r="L916" s="20" t="inlineStr">
        <is>
          <t>+12.5%</t>
        </is>
      </c>
    </row>
    <row r="917">
      <c r="A917" s="17" t="inlineStr">
        <is>
          <t>TR-0916</t>
        </is>
      </c>
      <c r="B917" s="17" t="inlineStr">
        <is>
          <t>8111</t>
        </is>
      </c>
      <c r="C917" s="18" t="inlineStr">
        <is>
          <t>Miners and Quarriers</t>
        </is>
      </c>
      <c r="D917" s="17" t="inlineStr">
        <is>
          <t>8112</t>
        </is>
      </c>
      <c r="E917" s="18" t="inlineStr">
        <is>
          <t>Mineral and Stone Processing Plant Operators</t>
        </is>
      </c>
      <c r="F917" s="18" t="inlineStr">
        <is>
          <t>배터리 / 신소재 / 에너지</t>
        </is>
      </c>
      <c r="G917" s="17" t="inlineStr">
        <is>
          <t>intra_cluster_transition</t>
        </is>
      </c>
      <c r="H917" s="18" t="inlineStr">
        <is>
          <t>setting, operating, stationary</t>
        </is>
      </c>
      <c r="I917" s="18" t="inlineStr">
        <is>
          <t>동일 직군 내 고급 도메인 지식</t>
        </is>
      </c>
      <c r="J917" s="18" t="inlineStr">
        <is>
          <t>직무 순환 및 실무 1~2년</t>
        </is>
      </c>
      <c r="K917" s="17" t="inlineStr">
        <is>
          <t>★★☆☆☆</t>
        </is>
      </c>
      <c r="L917" s="21" t="inlineStr">
        <is>
          <t>+12.5%</t>
        </is>
      </c>
    </row>
    <row r="918">
      <c r="A918" s="15" t="inlineStr">
        <is>
          <t>TR-0917</t>
        </is>
      </c>
      <c r="B918" s="15" t="inlineStr">
        <is>
          <t>8112</t>
        </is>
      </c>
      <c r="C918" s="16" t="inlineStr">
        <is>
          <t>Mineral and Stone Processing Plant Operators</t>
        </is>
      </c>
      <c r="D918" s="15" t="inlineStr">
        <is>
          <t>8113</t>
        </is>
      </c>
      <c r="E918" s="16" t="inlineStr">
        <is>
          <t>Well Drillers and Borers and Related Workers</t>
        </is>
      </c>
      <c r="F918" s="16" t="inlineStr">
        <is>
          <t>배터리 / 신소재 / 에너지</t>
        </is>
      </c>
      <c r="G918" s="15" t="inlineStr">
        <is>
          <t>intra_cluster_transition</t>
        </is>
      </c>
      <c r="H918" s="16" t="inlineStr">
        <is>
          <t>dismantling, moving, assembling</t>
        </is>
      </c>
      <c r="I918" s="16" t="inlineStr">
        <is>
          <t>동일 직군 내 고급 도메인 지식</t>
        </is>
      </c>
      <c r="J918" s="16" t="inlineStr">
        <is>
          <t>직무 순환 및 실무 1~2년</t>
        </is>
      </c>
      <c r="K918" s="15" t="inlineStr">
        <is>
          <t>★★☆☆☆</t>
        </is>
      </c>
      <c r="L918" s="20" t="inlineStr">
        <is>
          <t>+12.5%</t>
        </is>
      </c>
    </row>
    <row r="919">
      <c r="A919" s="17" t="inlineStr">
        <is>
          <t>TR-0918</t>
        </is>
      </c>
      <c r="B919" s="17" t="inlineStr">
        <is>
          <t>8113</t>
        </is>
      </c>
      <c r="C919" s="18" t="inlineStr">
        <is>
          <t>Well Drillers and Borers and Related Workers</t>
        </is>
      </c>
      <c r="D919" s="17" t="inlineStr">
        <is>
          <t>8114</t>
        </is>
      </c>
      <c r="E919" s="18" t="inlineStr">
        <is>
          <t>Cement, Stone and Other Mineral Products Machine Operators</t>
        </is>
      </c>
      <c r="F919" s="18" t="inlineStr">
        <is>
          <t>배터리 / 신소재 / 에너지</t>
        </is>
      </c>
      <c r="G919" s="17" t="inlineStr">
        <is>
          <t>intra_cluster_transition</t>
        </is>
      </c>
      <c r="H919" s="18" t="inlineStr">
        <is>
          <t>operating, extrusion, moulding</t>
        </is>
      </c>
      <c r="I919" s="18" t="inlineStr">
        <is>
          <t>동일 직군 내 고급 도메인 지식</t>
        </is>
      </c>
      <c r="J919" s="18" t="inlineStr">
        <is>
          <t>직무 순환 및 실무 1~2년</t>
        </is>
      </c>
      <c r="K919" s="17" t="inlineStr">
        <is>
          <t>★★☆☆☆</t>
        </is>
      </c>
      <c r="L919" s="21" t="inlineStr">
        <is>
          <t>+12.5%</t>
        </is>
      </c>
    </row>
    <row r="920">
      <c r="A920" s="15" t="inlineStr">
        <is>
          <t>TR-0919</t>
        </is>
      </c>
      <c r="B920" s="15" t="inlineStr">
        <is>
          <t>8131</t>
        </is>
      </c>
      <c r="C920" s="16" t="inlineStr">
        <is>
          <t>Chemical Products Plant and Machine Operators</t>
        </is>
      </c>
      <c r="D920" s="15" t="inlineStr">
        <is>
          <t>8132</t>
        </is>
      </c>
      <c r="E920" s="16" t="inlineStr">
        <is>
          <t>Photographic Products Machine Operators</t>
        </is>
      </c>
      <c r="F920" s="16" t="inlineStr">
        <is>
          <t>배터리 / 신소재 / 에너지</t>
        </is>
      </c>
      <c r="G920" s="15" t="inlineStr">
        <is>
          <t>intra_cluster_transition</t>
        </is>
      </c>
      <c r="H920" s="16" t="inlineStr">
        <is>
          <t>operating, monitoring, equipment</t>
        </is>
      </c>
      <c r="I920" s="16" t="inlineStr">
        <is>
          <t>동일 직군 내 고급 도메인 지식</t>
        </is>
      </c>
      <c r="J920" s="16" t="inlineStr">
        <is>
          <t>직무 순환 및 실무 1~2년</t>
        </is>
      </c>
      <c r="K920" s="15" t="inlineStr">
        <is>
          <t>★★☆☆☆</t>
        </is>
      </c>
      <c r="L920" s="20" t="inlineStr">
        <is>
          <t>+12.5%</t>
        </is>
      </c>
    </row>
    <row r="921">
      <c r="A921" s="17" t="inlineStr">
        <is>
          <t>TR-0920</t>
        </is>
      </c>
      <c r="B921" s="17" t="inlineStr">
        <is>
          <t>8141</t>
        </is>
      </c>
      <c r="C921" s="18" t="inlineStr">
        <is>
          <t>Rubber Products Machine Operators</t>
        </is>
      </c>
      <c r="D921" s="17" t="inlineStr">
        <is>
          <t>8142</t>
        </is>
      </c>
      <c r="E921" s="18" t="inlineStr">
        <is>
          <t>Plastic Products Machine Operators</t>
        </is>
      </c>
      <c r="F921" s="18" t="inlineStr">
        <is>
          <t>배터리 / 신소재 / 에너지</t>
        </is>
      </c>
      <c r="G921" s="17" t="inlineStr">
        <is>
          <t>intra_cluster_transition</t>
        </is>
      </c>
      <c r="H921" s="18" t="inlineStr">
        <is>
          <t>operating, monitoring, machines</t>
        </is>
      </c>
      <c r="I921" s="18" t="inlineStr">
        <is>
          <t>동일 직군 내 고급 도메인 지식</t>
        </is>
      </c>
      <c r="J921" s="18" t="inlineStr">
        <is>
          <t>직무 순환 및 실무 1~2년</t>
        </is>
      </c>
      <c r="K921" s="17" t="inlineStr">
        <is>
          <t>★★☆☆☆</t>
        </is>
      </c>
      <c r="L921" s="21" t="inlineStr">
        <is>
          <t>+12.5%</t>
        </is>
      </c>
    </row>
    <row r="922">
      <c r="A922" s="15" t="inlineStr">
        <is>
          <t>TR-0921</t>
        </is>
      </c>
      <c r="B922" s="15" t="inlineStr">
        <is>
          <t>8142</t>
        </is>
      </c>
      <c r="C922" s="16" t="inlineStr">
        <is>
          <t>Plastic Products Machine Operators</t>
        </is>
      </c>
      <c r="D922" s="15" t="inlineStr">
        <is>
          <t>8143</t>
        </is>
      </c>
      <c r="E922" s="16" t="inlineStr">
        <is>
          <t>Paper Products Machine Operators</t>
        </is>
      </c>
      <c r="F922" s="16" t="inlineStr">
        <is>
          <t>배터리 / 신소재 / 에너지</t>
        </is>
      </c>
      <c r="G922" s="15" t="inlineStr">
        <is>
          <t>intra_cluster_transition</t>
        </is>
      </c>
      <c r="H922" s="16" t="inlineStr">
        <is>
          <t>operating, monitoring, machines</t>
        </is>
      </c>
      <c r="I922" s="16" t="inlineStr">
        <is>
          <t>동일 직군 내 고급 도메인 지식</t>
        </is>
      </c>
      <c r="J922" s="16" t="inlineStr">
        <is>
          <t>직무 순환 및 실무 1~2년</t>
        </is>
      </c>
      <c r="K922" s="15" t="inlineStr">
        <is>
          <t>★★☆☆☆</t>
        </is>
      </c>
      <c r="L922" s="20" t="inlineStr">
        <is>
          <t>+12.5%</t>
        </is>
      </c>
    </row>
    <row r="923">
      <c r="A923" s="17" t="inlineStr">
        <is>
          <t>TR-0922</t>
        </is>
      </c>
      <c r="B923" s="17" t="inlineStr">
        <is>
          <t>8151</t>
        </is>
      </c>
      <c r="C923" s="18" t="inlineStr">
        <is>
          <t>Fibre Preparing, Spinning and Winding Machine Operators</t>
        </is>
      </c>
      <c r="D923" s="17" t="inlineStr">
        <is>
          <t>8152</t>
        </is>
      </c>
      <c r="E923" s="18" t="inlineStr">
        <is>
          <t>Weaving and Knitting Machine Operators</t>
        </is>
      </c>
      <c r="F923" s="18" t="inlineStr">
        <is>
          <t>배터리 / 신소재 / 에너지</t>
        </is>
      </c>
      <c r="G923" s="17" t="inlineStr">
        <is>
          <t>intra_cluster_transition</t>
        </is>
      </c>
      <c r="H923" s="18" t="inlineStr">
        <is>
          <t>setting, operating, batteries</t>
        </is>
      </c>
      <c r="I923" s="18" t="inlineStr">
        <is>
          <t>동일 직군 내 고급 도메인 지식</t>
        </is>
      </c>
      <c r="J923" s="18" t="inlineStr">
        <is>
          <t>직무 순환 및 실무 1~2년</t>
        </is>
      </c>
      <c r="K923" s="17" t="inlineStr">
        <is>
          <t>★★☆☆☆</t>
        </is>
      </c>
      <c r="L923" s="21" t="inlineStr">
        <is>
          <t>+12.5%</t>
        </is>
      </c>
    </row>
    <row r="924">
      <c r="A924" s="15" t="inlineStr">
        <is>
          <t>TR-0923</t>
        </is>
      </c>
      <c r="B924" s="15" t="inlineStr">
        <is>
          <t>8152</t>
        </is>
      </c>
      <c r="C924" s="16" t="inlineStr">
        <is>
          <t>Weaving and Knitting Machine Operators</t>
        </is>
      </c>
      <c r="D924" s="15" t="inlineStr">
        <is>
          <t>8153</t>
        </is>
      </c>
      <c r="E924" s="16" t="inlineStr">
        <is>
          <t>Sewing Machine Operators</t>
        </is>
      </c>
      <c r="F924" s="16" t="inlineStr">
        <is>
          <t>배터리 / 신소재 / 에너지</t>
        </is>
      </c>
      <c r="G924" s="15" t="inlineStr">
        <is>
          <t>intra_cluster_transition</t>
        </is>
      </c>
      <c r="H924" s="16" t="inlineStr">
        <is>
          <t>operating, tending, sewing</t>
        </is>
      </c>
      <c r="I924" s="16" t="inlineStr">
        <is>
          <t>동일 직군 내 고급 도메인 지식</t>
        </is>
      </c>
      <c r="J924" s="16" t="inlineStr">
        <is>
          <t>직무 순환 및 실무 1~2년</t>
        </is>
      </c>
      <c r="K924" s="15" t="inlineStr">
        <is>
          <t>★★☆☆☆</t>
        </is>
      </c>
      <c r="L924" s="20" t="inlineStr">
        <is>
          <t>+12.5%</t>
        </is>
      </c>
    </row>
    <row r="925">
      <c r="A925" s="17" t="inlineStr">
        <is>
          <t>TR-0924</t>
        </is>
      </c>
      <c r="B925" s="17" t="inlineStr">
        <is>
          <t>8153</t>
        </is>
      </c>
      <c r="C925" s="18" t="inlineStr">
        <is>
          <t>Sewing Machine Operators</t>
        </is>
      </c>
      <c r="D925" s="17" t="inlineStr">
        <is>
          <t>8154</t>
        </is>
      </c>
      <c r="E925" s="18" t="inlineStr">
        <is>
          <t>Bleaching, Dyeing and Fabric Cleaning Machine Operators</t>
        </is>
      </c>
      <c r="F925" s="18" t="inlineStr">
        <is>
          <t>배터리 / 신소재 / 에너지</t>
        </is>
      </c>
      <c r="G925" s="17" t="inlineStr">
        <is>
          <t>intra_cluster_transition</t>
        </is>
      </c>
      <c r="H925" s="18" t="inlineStr">
        <is>
          <t>starting, controlling, machines</t>
        </is>
      </c>
      <c r="I925" s="18" t="inlineStr">
        <is>
          <t>동일 직군 내 고급 도메인 지식</t>
        </is>
      </c>
      <c r="J925" s="18" t="inlineStr">
        <is>
          <t>직무 순환 및 실무 1~2년</t>
        </is>
      </c>
      <c r="K925" s="17" t="inlineStr">
        <is>
          <t>★★☆☆☆</t>
        </is>
      </c>
      <c r="L925" s="21" t="inlineStr">
        <is>
          <t>+12.5%</t>
        </is>
      </c>
    </row>
    <row r="926">
      <c r="A926" s="15" t="inlineStr">
        <is>
          <t>TR-0925</t>
        </is>
      </c>
      <c r="B926" s="15" t="inlineStr">
        <is>
          <t>8154</t>
        </is>
      </c>
      <c r="C926" s="16" t="inlineStr">
        <is>
          <t>Bleaching, Dyeing and Fabric Cleaning Machine Operators</t>
        </is>
      </c>
      <c r="D926" s="15" t="inlineStr">
        <is>
          <t>8155</t>
        </is>
      </c>
      <c r="E926" s="16" t="inlineStr">
        <is>
          <t>Fur and Leather Preparing Machine Operators</t>
        </is>
      </c>
      <c r="F926" s="16" t="inlineStr">
        <is>
          <t>배터리 / 신소재 / 에너지</t>
        </is>
      </c>
      <c r="G926" s="15" t="inlineStr">
        <is>
          <t>intra_cluster_transition</t>
        </is>
      </c>
      <c r="H926" s="16" t="inlineStr">
        <is>
          <t>operating, monitoring, machines</t>
        </is>
      </c>
      <c r="I926" s="16" t="inlineStr">
        <is>
          <t>동일 직군 내 고급 도메인 지식</t>
        </is>
      </c>
      <c r="J926" s="16" t="inlineStr">
        <is>
          <t>직무 순환 및 실무 1~2년</t>
        </is>
      </c>
      <c r="K926" s="15" t="inlineStr">
        <is>
          <t>★★☆☆☆</t>
        </is>
      </c>
      <c r="L926" s="20" t="inlineStr">
        <is>
          <t>+12.5%</t>
        </is>
      </c>
    </row>
    <row r="927">
      <c r="A927" s="17" t="inlineStr">
        <is>
          <t>TR-0926</t>
        </is>
      </c>
      <c r="B927" s="17" t="inlineStr">
        <is>
          <t>8155</t>
        </is>
      </c>
      <c r="C927" s="18" t="inlineStr">
        <is>
          <t>Fur and Leather Preparing Machine Operators</t>
        </is>
      </c>
      <c r="D927" s="17" t="inlineStr">
        <is>
          <t>8156</t>
        </is>
      </c>
      <c r="E927" s="18" t="inlineStr">
        <is>
          <t>Shoemaking and Related Machine Operators</t>
        </is>
      </c>
      <c r="F927" s="18" t="inlineStr">
        <is>
          <t>배터리 / 신소재 / 에너지</t>
        </is>
      </c>
      <c r="G927" s="17" t="inlineStr">
        <is>
          <t>intra_cluster_transition</t>
        </is>
      </c>
      <c r="H927" s="18" t="inlineStr">
        <is>
          <t>operating, monitoring, machines</t>
        </is>
      </c>
      <c r="I927" s="18" t="inlineStr">
        <is>
          <t>동일 직군 내 고급 도메인 지식</t>
        </is>
      </c>
      <c r="J927" s="18" t="inlineStr">
        <is>
          <t>직무 순환 및 실무 1~2년</t>
        </is>
      </c>
      <c r="K927" s="17" t="inlineStr">
        <is>
          <t>★★☆☆☆</t>
        </is>
      </c>
      <c r="L927" s="21" t="inlineStr">
        <is>
          <t>+12.5%</t>
        </is>
      </c>
    </row>
    <row r="928">
      <c r="A928" s="15" t="inlineStr">
        <is>
          <t>TR-0927</t>
        </is>
      </c>
      <c r="B928" s="15" t="inlineStr">
        <is>
          <t>8156</t>
        </is>
      </c>
      <c r="C928" s="16" t="inlineStr">
        <is>
          <t>Shoemaking and Related Machine Operators</t>
        </is>
      </c>
      <c r="D928" s="15" t="inlineStr">
        <is>
          <t>8157</t>
        </is>
      </c>
      <c r="E928" s="16" t="inlineStr">
        <is>
          <t>Laundry Machine Operators</t>
        </is>
      </c>
      <c r="F928" s="16" t="inlineStr">
        <is>
          <t>배터리 / 신소재 / 에너지</t>
        </is>
      </c>
      <c r="G928" s="15" t="inlineStr">
        <is>
          <t>intra_cluster_transition</t>
        </is>
      </c>
      <c r="H928" s="16" t="inlineStr">
        <is>
          <t>sorting, articles, cleaning</t>
        </is>
      </c>
      <c r="I928" s="16" t="inlineStr">
        <is>
          <t>동일 직군 내 고급 도메인 지식</t>
        </is>
      </c>
      <c r="J928" s="16" t="inlineStr">
        <is>
          <t>직무 순환 및 실무 1~2년</t>
        </is>
      </c>
      <c r="K928" s="15" t="inlineStr">
        <is>
          <t>★★☆☆☆</t>
        </is>
      </c>
      <c r="L928" s="20" t="inlineStr">
        <is>
          <t>+12.5%</t>
        </is>
      </c>
    </row>
    <row r="929">
      <c r="A929" s="17" t="inlineStr">
        <is>
          <t>TR-0928</t>
        </is>
      </c>
      <c r="B929" s="17" t="inlineStr">
        <is>
          <t>8157</t>
        </is>
      </c>
      <c r="C929" s="18" t="inlineStr">
        <is>
          <t>Laundry Machine Operators</t>
        </is>
      </c>
      <c r="D929" s="17" t="inlineStr">
        <is>
          <t>8159</t>
        </is>
      </c>
      <c r="E929" s="18" t="inlineStr">
        <is>
          <t>Textile, Fur and Leather Products Machine Operators Not Elsewhere Classified</t>
        </is>
      </c>
      <c r="F929" s="18" t="inlineStr">
        <is>
          <t>배터리 / 신소재 / 에너지</t>
        </is>
      </c>
      <c r="G929" s="17" t="inlineStr">
        <is>
          <t>intra_cluster_transition</t>
        </is>
      </c>
      <c r="H929" s="18" t="inlineStr">
        <is>
          <t>such, cases, would</t>
        </is>
      </c>
      <c r="I929" s="18" t="inlineStr">
        <is>
          <t>동일 직군 내 고급 도메인 지식</t>
        </is>
      </c>
      <c r="J929" s="18" t="inlineStr">
        <is>
          <t>직무 순환 및 실무 1~2년</t>
        </is>
      </c>
      <c r="K929" s="17" t="inlineStr">
        <is>
          <t>★★☆☆☆</t>
        </is>
      </c>
      <c r="L929" s="21" t="inlineStr">
        <is>
          <t>+12.5%</t>
        </is>
      </c>
    </row>
    <row r="930">
      <c r="A930" s="15" t="inlineStr">
        <is>
          <t>TR-0929</t>
        </is>
      </c>
      <c r="B930" s="15" t="inlineStr">
        <is>
          <t>8171</t>
        </is>
      </c>
      <c r="C930" s="16" t="inlineStr">
        <is>
          <t>Pulp and Papermaking Plant Operators</t>
        </is>
      </c>
      <c r="D930" s="15" t="inlineStr">
        <is>
          <t>8172</t>
        </is>
      </c>
      <c r="E930" s="16" t="inlineStr">
        <is>
          <t>Wood Processing Plant Operators</t>
        </is>
      </c>
      <c r="F930" s="16" t="inlineStr">
        <is>
          <t>배터리 / 신소재 / 에너지</t>
        </is>
      </c>
      <c r="G930" s="15" t="inlineStr">
        <is>
          <t>intra_cluster_transition</t>
        </is>
      </c>
      <c r="H930" s="16" t="inlineStr">
        <is>
          <t>examining, logs, rough</t>
        </is>
      </c>
      <c r="I930" s="16" t="inlineStr">
        <is>
          <t>동일 직군 내 고급 도메인 지식</t>
        </is>
      </c>
      <c r="J930" s="16" t="inlineStr">
        <is>
          <t>직무 순환 및 실무 1~2년</t>
        </is>
      </c>
      <c r="K930" s="15" t="inlineStr">
        <is>
          <t>★★☆☆☆</t>
        </is>
      </c>
      <c r="L930" s="20" t="inlineStr">
        <is>
          <t>+12.5%</t>
        </is>
      </c>
    </row>
    <row r="931">
      <c r="A931" s="17" t="inlineStr">
        <is>
          <t>TR-0930</t>
        </is>
      </c>
      <c r="B931" s="17" t="inlineStr">
        <is>
          <t>8181</t>
        </is>
      </c>
      <c r="C931" s="18" t="inlineStr">
        <is>
          <t>Glass and Ceramics Plant Operators</t>
        </is>
      </c>
      <c r="D931" s="17" t="inlineStr">
        <is>
          <t>8182</t>
        </is>
      </c>
      <c r="E931" s="18" t="inlineStr">
        <is>
          <t>Steam Engine and Boiler Operators</t>
        </is>
      </c>
      <c r="F931" s="18" t="inlineStr">
        <is>
          <t>배터리 / 신소재 / 에너지</t>
        </is>
      </c>
      <c r="G931" s="17" t="inlineStr">
        <is>
          <t>intra_cluster_transition</t>
        </is>
      </c>
      <c r="H931" s="18" t="inlineStr">
        <is>
          <t>operating, cleaning, lubricating</t>
        </is>
      </c>
      <c r="I931" s="18" t="inlineStr">
        <is>
          <t>동일 직군 내 고급 도메인 지식</t>
        </is>
      </c>
      <c r="J931" s="18" t="inlineStr">
        <is>
          <t>직무 순환 및 실무 1~2년</t>
        </is>
      </c>
      <c r="K931" s="17" t="inlineStr">
        <is>
          <t>★★☆☆☆</t>
        </is>
      </c>
      <c r="L931" s="21" t="inlineStr">
        <is>
          <t>+12.5%</t>
        </is>
      </c>
    </row>
    <row r="932">
      <c r="A932" s="15" t="inlineStr">
        <is>
          <t>TR-0931</t>
        </is>
      </c>
      <c r="B932" s="15" t="inlineStr">
        <is>
          <t>8182</t>
        </is>
      </c>
      <c r="C932" s="16" t="inlineStr">
        <is>
          <t>Steam Engine and Boiler Operators</t>
        </is>
      </c>
      <c r="D932" s="15" t="inlineStr">
        <is>
          <t>8183</t>
        </is>
      </c>
      <c r="E932" s="16" t="inlineStr">
        <is>
          <t>Packing, Bottling and Labelling Machine Operators</t>
        </is>
      </c>
      <c r="F932" s="16" t="inlineStr">
        <is>
          <t>배터리 / 신소재 / 에너지</t>
        </is>
      </c>
      <c r="G932" s="15" t="inlineStr">
        <is>
          <t>intra_cluster_transition</t>
        </is>
      </c>
      <c r="H932" s="16" t="inlineStr">
        <is>
          <t>operating, monitoring, machines</t>
        </is>
      </c>
      <c r="I932" s="16" t="inlineStr">
        <is>
          <t>동일 직군 내 고급 도메인 지식</t>
        </is>
      </c>
      <c r="J932" s="16" t="inlineStr">
        <is>
          <t>직무 순환 및 실무 1~2년</t>
        </is>
      </c>
      <c r="K932" s="15" t="inlineStr">
        <is>
          <t>★★☆☆☆</t>
        </is>
      </c>
      <c r="L932" s="20" t="inlineStr">
        <is>
          <t>+12.5%</t>
        </is>
      </c>
    </row>
    <row r="933">
      <c r="A933" s="17" t="inlineStr">
        <is>
          <t>TR-0932</t>
        </is>
      </c>
      <c r="B933" s="17" t="inlineStr">
        <is>
          <t>8183</t>
        </is>
      </c>
      <c r="C933" s="18" t="inlineStr">
        <is>
          <t>Packing, Bottling and Labelling Machine Operators</t>
        </is>
      </c>
      <c r="D933" s="17" t="inlineStr">
        <is>
          <t>8189</t>
        </is>
      </c>
      <c r="E933" s="18" t="inlineStr">
        <is>
          <t>Stationary Plant and Machine Operators Not Elsewhere Classified</t>
        </is>
      </c>
      <c r="F933" s="18" t="inlineStr">
        <is>
          <t>배터리 / 신소재 / 에너지</t>
        </is>
      </c>
      <c r="G933" s="17" t="inlineStr">
        <is>
          <t>intra_cluster_transition</t>
        </is>
      </c>
      <c r="H933" s="18" t="inlineStr">
        <is>
          <t>Stationary Plant and Machine Operators Not Elsewhere Classified 실무, 표준 프로세스 준수, 데이터/지표 분석</t>
        </is>
      </c>
      <c r="I933" s="18" t="inlineStr">
        <is>
          <t>동일 직군 내 고급 도메인 지식</t>
        </is>
      </c>
      <c r="J933" s="18" t="inlineStr">
        <is>
          <t>직무 순환 및 실무 1~2년</t>
        </is>
      </c>
      <c r="K933" s="17" t="inlineStr">
        <is>
          <t>★★☆☆☆</t>
        </is>
      </c>
      <c r="L933" s="21" t="inlineStr">
        <is>
          <t>+12.5%</t>
        </is>
      </c>
    </row>
    <row r="934">
      <c r="A934" s="15" t="inlineStr">
        <is>
          <t>TR-0933</t>
        </is>
      </c>
      <c r="B934" s="15" t="inlineStr">
        <is>
          <t>8212</t>
        </is>
      </c>
      <c r="C934" s="16" t="inlineStr">
        <is>
          <t>Electrical and Electronic Equipment Assemblers</t>
        </is>
      </c>
      <c r="D934" s="15" t="inlineStr">
        <is>
          <t>8219</t>
        </is>
      </c>
      <c r="E934" s="16" t="inlineStr">
        <is>
          <t>Assemblers Not Elsewhere Classified</t>
        </is>
      </c>
      <c r="F934" s="16" t="inlineStr">
        <is>
          <t>배터리 / 신소재 / 에너지</t>
        </is>
      </c>
      <c r="G934" s="15" t="inlineStr">
        <is>
          <t>intra_cluster_transition</t>
        </is>
      </c>
      <c r="H934" s="16" t="inlineStr">
        <is>
          <t>assembling, component, parts</t>
        </is>
      </c>
      <c r="I934" s="16" t="inlineStr">
        <is>
          <t>동일 직군 내 고급 도메인 지식</t>
        </is>
      </c>
      <c r="J934" s="16" t="inlineStr">
        <is>
          <t>직무 순환 및 실무 1~2년</t>
        </is>
      </c>
      <c r="K934" s="15" t="inlineStr">
        <is>
          <t>★★☆☆☆</t>
        </is>
      </c>
      <c r="L934" s="20" t="inlineStr">
        <is>
          <t>+12.5%</t>
        </is>
      </c>
    </row>
    <row r="935">
      <c r="A935" s="17" t="inlineStr">
        <is>
          <t>TR-0934</t>
        </is>
      </c>
      <c r="B935" s="17" t="inlineStr">
        <is>
          <t>8311</t>
        </is>
      </c>
      <c r="C935" s="18" t="inlineStr">
        <is>
          <t>Locomotive Engine Drivers</t>
        </is>
      </c>
      <c r="D935" s="17" t="inlineStr">
        <is>
          <t>8312</t>
        </is>
      </c>
      <c r="E935" s="18" t="inlineStr">
        <is>
          <t>Railway Brake, Signal and Switch Operators</t>
        </is>
      </c>
      <c r="F935" s="18" t="inlineStr">
        <is>
          <t>모빌리티 / 자율주행 / 로보틱스</t>
        </is>
      </c>
      <c r="G935" s="17" t="inlineStr">
        <is>
          <t>intra_cluster_transition</t>
        </is>
      </c>
      <c r="H935" s="18" t="inlineStr">
        <is>
          <t>taking, charge, safeguarding</t>
        </is>
      </c>
      <c r="I935" s="18" t="inlineStr">
        <is>
          <t>동일 직군 내 고급 도메인 지식</t>
        </is>
      </c>
      <c r="J935" s="18" t="inlineStr">
        <is>
          <t>직무 순환 및 실무 1~2년</t>
        </is>
      </c>
      <c r="K935" s="17" t="inlineStr">
        <is>
          <t>★★☆☆☆</t>
        </is>
      </c>
      <c r="L935" s="21" t="inlineStr">
        <is>
          <t>+12.5%</t>
        </is>
      </c>
    </row>
    <row r="936">
      <c r="A936" s="15" t="inlineStr">
        <is>
          <t>TR-0935</t>
        </is>
      </c>
      <c r="B936" s="15" t="inlineStr">
        <is>
          <t>8321</t>
        </is>
      </c>
      <c r="C936" s="16" t="inlineStr">
        <is>
          <t>Motorcycle Drivers</t>
        </is>
      </c>
      <c r="D936" s="15" t="inlineStr">
        <is>
          <t>8322</t>
        </is>
      </c>
      <c r="E936" s="16" t="inlineStr">
        <is>
          <t>Car, Taxi and Van Drivers</t>
        </is>
      </c>
      <c r="F936" s="16" t="inlineStr">
        <is>
          <t>모빌리티 / 자율주행 / 로보틱스</t>
        </is>
      </c>
      <c r="G936" s="15" t="inlineStr">
        <is>
          <t>intra_cluster_transition</t>
        </is>
      </c>
      <c r="H936" s="16" t="inlineStr">
        <is>
          <t>driving, tending, passenger</t>
        </is>
      </c>
      <c r="I936" s="16" t="inlineStr">
        <is>
          <t>동일 직군 내 고급 도메인 지식</t>
        </is>
      </c>
      <c r="J936" s="16" t="inlineStr">
        <is>
          <t>직무 순환 및 실무 1~2년</t>
        </is>
      </c>
      <c r="K936" s="15" t="inlineStr">
        <is>
          <t>★★☆☆☆</t>
        </is>
      </c>
      <c r="L936" s="20" t="inlineStr">
        <is>
          <t>+12.5%</t>
        </is>
      </c>
    </row>
    <row r="937">
      <c r="A937" s="17" t="inlineStr">
        <is>
          <t>TR-0936</t>
        </is>
      </c>
      <c r="B937" s="17" t="inlineStr">
        <is>
          <t>8331</t>
        </is>
      </c>
      <c r="C937" s="18" t="inlineStr">
        <is>
          <t>Bus and Tram Drivers</t>
        </is>
      </c>
      <c r="D937" s="17" t="inlineStr">
        <is>
          <t>8332</t>
        </is>
      </c>
      <c r="E937" s="18" t="inlineStr">
        <is>
          <t>Heavy Truck and Lorry Drivers</t>
        </is>
      </c>
      <c r="F937" s="18" t="inlineStr">
        <is>
          <t>모빌리티 / 자율주행 / 로보틱스</t>
        </is>
      </c>
      <c r="G937" s="17" t="inlineStr">
        <is>
          <t>intra_cluster_transition</t>
        </is>
      </c>
      <c r="H937" s="18" t="inlineStr">
        <is>
          <t>driving, tending, heavy</t>
        </is>
      </c>
      <c r="I937" s="18" t="inlineStr">
        <is>
          <t>동일 직군 내 고급 도메인 지식</t>
        </is>
      </c>
      <c r="J937" s="18" t="inlineStr">
        <is>
          <t>직무 순환 및 실무 1~2년</t>
        </is>
      </c>
      <c r="K937" s="17" t="inlineStr">
        <is>
          <t>★★☆☆☆</t>
        </is>
      </c>
      <c r="L937" s="21" t="inlineStr">
        <is>
          <t>+12.5%</t>
        </is>
      </c>
    </row>
    <row r="938">
      <c r="A938" s="15" t="inlineStr">
        <is>
          <t>TR-0937</t>
        </is>
      </c>
      <c r="B938" s="15" t="inlineStr">
        <is>
          <t>8342</t>
        </is>
      </c>
      <c r="C938" s="16" t="inlineStr">
        <is>
          <t>Earthmoving and Related Plant Operators</t>
        </is>
      </c>
      <c r="D938" s="15" t="inlineStr">
        <is>
          <t>8343</t>
        </is>
      </c>
      <c r="E938" s="16" t="inlineStr">
        <is>
          <t>Crane, hoist and related plant operators</t>
        </is>
      </c>
      <c r="F938" s="16" t="inlineStr">
        <is>
          <t>모빌리티 / 자율주행 / 로보틱스</t>
        </is>
      </c>
      <c r="G938" s="15" t="inlineStr">
        <is>
          <t>intra_cluster_transition</t>
        </is>
      </c>
      <c r="H938" s="16" t="inlineStr">
        <is>
          <t>operating, monitoring, stationary</t>
        </is>
      </c>
      <c r="I938" s="16" t="inlineStr">
        <is>
          <t>동일 직군 내 고급 도메인 지식</t>
        </is>
      </c>
      <c r="J938" s="16" t="inlineStr">
        <is>
          <t>직무 순환 및 실무 1~2년</t>
        </is>
      </c>
      <c r="K938" s="15" t="inlineStr">
        <is>
          <t>★★☆☆☆</t>
        </is>
      </c>
      <c r="L938" s="20" t="inlineStr">
        <is>
          <t>+12.5%</t>
        </is>
      </c>
    </row>
    <row r="939">
      <c r="A939" s="17" t="inlineStr">
        <is>
          <t>TR-0938</t>
        </is>
      </c>
      <c r="B939" s="17" t="inlineStr">
        <is>
          <t>8343</t>
        </is>
      </c>
      <c r="C939" s="18" t="inlineStr">
        <is>
          <t>Crane, hoist and related plant operators</t>
        </is>
      </c>
      <c r="D939" s="17" t="inlineStr">
        <is>
          <t>8344</t>
        </is>
      </c>
      <c r="E939" s="18" t="inlineStr">
        <is>
          <t>Lifting Truck Operators</t>
        </is>
      </c>
      <c r="F939" s="18" t="inlineStr">
        <is>
          <t>모빌리티 / 자율주행 / 로보틱스</t>
        </is>
      </c>
      <c r="G939" s="17" t="inlineStr">
        <is>
          <t>intra_cluster_transition</t>
        </is>
      </c>
      <c r="H939" s="18" t="inlineStr">
        <is>
          <t>operating, monitoring, lifting</t>
        </is>
      </c>
      <c r="I939" s="18" t="inlineStr">
        <is>
          <t>동일 직군 내 고급 도메인 지식</t>
        </is>
      </c>
      <c r="J939" s="18" t="inlineStr">
        <is>
          <t>직무 순환 및 실무 1~2년</t>
        </is>
      </c>
      <c r="K939" s="17" t="inlineStr">
        <is>
          <t>★★☆☆☆</t>
        </is>
      </c>
      <c r="L939" s="21" t="inlineStr">
        <is>
          <t>+12.5%</t>
        </is>
      </c>
    </row>
    <row r="940">
      <c r="A940" s="15" t="inlineStr">
        <is>
          <t>TR-0939</t>
        </is>
      </c>
      <c r="B940" s="15" t="inlineStr">
        <is>
          <t>9121</t>
        </is>
      </c>
      <c r="C940" s="16" t="inlineStr">
        <is>
          <t>Hand Launderers and Pressers</t>
        </is>
      </c>
      <c r="D940" s="15" t="inlineStr">
        <is>
          <t>9122</t>
        </is>
      </c>
      <c r="E940" s="16" t="inlineStr">
        <is>
          <t>Vehicle Cleaners</t>
        </is>
      </c>
      <c r="F940" s="16" t="inlineStr">
        <is>
          <t>탄소중립 / 산업안전 / ESG</t>
        </is>
      </c>
      <c r="G940" s="15" t="inlineStr">
        <is>
          <t>intra_cluster_transition</t>
        </is>
      </c>
      <c r="H940" s="16" t="inlineStr">
        <is>
          <t>cleaning, washing, polishing</t>
        </is>
      </c>
      <c r="I940" s="16" t="inlineStr">
        <is>
          <t>동일 직군 내 고급 도메인 지식</t>
        </is>
      </c>
      <c r="J940" s="16" t="inlineStr">
        <is>
          <t>직무 순환 및 실무 1~2년</t>
        </is>
      </c>
      <c r="K940" s="15" t="inlineStr">
        <is>
          <t>★★☆☆☆</t>
        </is>
      </c>
      <c r="L940" s="20" t="inlineStr">
        <is>
          <t>+12.5%</t>
        </is>
      </c>
    </row>
    <row r="941">
      <c r="A941" s="17" t="inlineStr">
        <is>
          <t>TR-0940</t>
        </is>
      </c>
      <c r="B941" s="17" t="inlineStr">
        <is>
          <t>9122</t>
        </is>
      </c>
      <c r="C941" s="18" t="inlineStr">
        <is>
          <t>Vehicle Cleaners</t>
        </is>
      </c>
      <c r="D941" s="17" t="inlineStr">
        <is>
          <t>9123</t>
        </is>
      </c>
      <c r="E941" s="18" t="inlineStr">
        <is>
          <t>Window Cleaners</t>
        </is>
      </c>
      <c r="F941" s="18" t="inlineStr">
        <is>
          <t>탄소중립 / 산업안전 / ESG</t>
        </is>
      </c>
      <c r="G941" s="17" t="inlineStr">
        <is>
          <t>intra_cluster_transition</t>
        </is>
      </c>
      <c r="H941" s="18" t="inlineStr">
        <is>
          <t>washing, windows, other</t>
        </is>
      </c>
      <c r="I941" s="18" t="inlineStr">
        <is>
          <t>동일 직군 내 고급 도메인 지식</t>
        </is>
      </c>
      <c r="J941" s="18" t="inlineStr">
        <is>
          <t>직무 순환 및 실무 1~2년</t>
        </is>
      </c>
      <c r="K941" s="17" t="inlineStr">
        <is>
          <t>★★☆☆☆</t>
        </is>
      </c>
      <c r="L941" s="21" t="inlineStr">
        <is>
          <t>+12.5%</t>
        </is>
      </c>
    </row>
    <row r="942">
      <c r="A942" s="15" t="inlineStr">
        <is>
          <t>TR-0941</t>
        </is>
      </c>
      <c r="B942" s="15" t="inlineStr">
        <is>
          <t>9123</t>
        </is>
      </c>
      <c r="C942" s="16" t="inlineStr">
        <is>
          <t>Window Cleaners</t>
        </is>
      </c>
      <c r="D942" s="15" t="inlineStr">
        <is>
          <t>9129</t>
        </is>
      </c>
      <c r="E942" s="16" t="inlineStr">
        <is>
          <t>Other Cleaning Workers</t>
        </is>
      </c>
      <c r="F942" s="16" t="inlineStr">
        <is>
          <t>탄소중립 / 산업안전 / ESG</t>
        </is>
      </c>
      <c r="G942" s="15" t="inlineStr">
        <is>
          <t>intra_cluster_transition</t>
        </is>
      </c>
      <c r="H942" s="16" t="inlineStr">
        <is>
          <t>such, instances, would</t>
        </is>
      </c>
      <c r="I942" s="16" t="inlineStr">
        <is>
          <t>동일 직군 내 고급 도메인 지식</t>
        </is>
      </c>
      <c r="J942" s="16" t="inlineStr">
        <is>
          <t>직무 순환 및 실무 1~2년</t>
        </is>
      </c>
      <c r="K942" s="15" t="inlineStr">
        <is>
          <t>★★☆☆☆</t>
        </is>
      </c>
      <c r="L942" s="20" t="inlineStr">
        <is>
          <t>+12.5%</t>
        </is>
      </c>
    </row>
    <row r="943">
      <c r="A943" s="17" t="inlineStr">
        <is>
          <t>TR-0942</t>
        </is>
      </c>
      <c r="B943" s="17" t="inlineStr">
        <is>
          <t>9211</t>
        </is>
      </c>
      <c r="C943" s="18" t="inlineStr">
        <is>
          <t>Crop Farm Labourers</t>
        </is>
      </c>
      <c r="D943" s="17" t="inlineStr">
        <is>
          <t>9212</t>
        </is>
      </c>
      <c r="E943" s="18" t="inlineStr">
        <is>
          <t>Livestock Farm Labourers</t>
        </is>
      </c>
      <c r="F943" s="18" t="inlineStr">
        <is>
          <t>탄소중립 / 산업안전 / ESG</t>
        </is>
      </c>
      <c r="G943" s="17" t="inlineStr">
        <is>
          <t>intra_cluster_transition</t>
        </is>
      </c>
      <c r="H943" s="18" t="inlineStr">
        <is>
          <t>digging, shovelling, clear</t>
        </is>
      </c>
      <c r="I943" s="18" t="inlineStr">
        <is>
          <t>동일 직군 내 고급 도메인 지식</t>
        </is>
      </c>
      <c r="J943" s="18" t="inlineStr">
        <is>
          <t>직무 순환 및 실무 1~2년</t>
        </is>
      </c>
      <c r="K943" s="17" t="inlineStr">
        <is>
          <t>★★☆☆☆</t>
        </is>
      </c>
      <c r="L943" s="21" t="inlineStr">
        <is>
          <t>+12.5%</t>
        </is>
      </c>
    </row>
    <row r="944">
      <c r="A944" s="15" t="inlineStr">
        <is>
          <t>TR-0943</t>
        </is>
      </c>
      <c r="B944" s="15" t="inlineStr">
        <is>
          <t>9212</t>
        </is>
      </c>
      <c r="C944" s="16" t="inlineStr">
        <is>
          <t>Livestock Farm Labourers</t>
        </is>
      </c>
      <c r="D944" s="15" t="inlineStr">
        <is>
          <t>9213</t>
        </is>
      </c>
      <c r="E944" s="16" t="inlineStr">
        <is>
          <t>Mixed Crop and Livestock Farm Labourers</t>
        </is>
      </c>
      <c r="F944" s="16" t="inlineStr">
        <is>
          <t>탄소중립 / 산업안전 / ESG</t>
        </is>
      </c>
      <c r="G944" s="15" t="inlineStr">
        <is>
          <t>intra_cluster_transition</t>
        </is>
      </c>
      <c r="H944" s="16" t="inlineStr">
        <is>
          <t>digging, shovelling, clear</t>
        </is>
      </c>
      <c r="I944" s="16" t="inlineStr">
        <is>
          <t>동일 직군 내 고급 도메인 지식</t>
        </is>
      </c>
      <c r="J944" s="16" t="inlineStr">
        <is>
          <t>직무 순환 및 실무 1~2년</t>
        </is>
      </c>
      <c r="K944" s="15" t="inlineStr">
        <is>
          <t>★★☆☆☆</t>
        </is>
      </c>
      <c r="L944" s="20" t="inlineStr">
        <is>
          <t>+12.5%</t>
        </is>
      </c>
    </row>
    <row r="945">
      <c r="A945" s="17" t="inlineStr">
        <is>
          <t>TR-0944</t>
        </is>
      </c>
      <c r="B945" s="17" t="inlineStr">
        <is>
          <t>9213</t>
        </is>
      </c>
      <c r="C945" s="18" t="inlineStr">
        <is>
          <t>Mixed Crop and Livestock Farm Labourers</t>
        </is>
      </c>
      <c r="D945" s="17" t="inlineStr">
        <is>
          <t>9214</t>
        </is>
      </c>
      <c r="E945" s="18" t="inlineStr">
        <is>
          <t>Garden and Horticultural Labourers</t>
        </is>
      </c>
      <c r="F945" s="18" t="inlineStr">
        <is>
          <t>탄소중립 / 산업안전 / ESG</t>
        </is>
      </c>
      <c r="G945" s="17" t="inlineStr">
        <is>
          <t>intra_cluster_transition</t>
        </is>
      </c>
      <c r="H945" s="18" t="inlineStr">
        <is>
          <t>loading, unloading, moving</t>
        </is>
      </c>
      <c r="I945" s="18" t="inlineStr">
        <is>
          <t>동일 직군 내 고급 도메인 지식</t>
        </is>
      </c>
      <c r="J945" s="18" t="inlineStr">
        <is>
          <t>직무 순환 및 실무 1~2년</t>
        </is>
      </c>
      <c r="K945" s="17" t="inlineStr">
        <is>
          <t>★★☆☆☆</t>
        </is>
      </c>
      <c r="L945" s="21" t="inlineStr">
        <is>
          <t>+12.5%</t>
        </is>
      </c>
    </row>
    <row r="946">
      <c r="A946" s="15" t="inlineStr">
        <is>
          <t>TR-0945</t>
        </is>
      </c>
      <c r="B946" s="15" t="inlineStr">
        <is>
          <t>9214</t>
        </is>
      </c>
      <c r="C946" s="16" t="inlineStr">
        <is>
          <t>Garden and Horticultural Labourers</t>
        </is>
      </c>
      <c r="D946" s="15" t="inlineStr">
        <is>
          <t>9215</t>
        </is>
      </c>
      <c r="E946" s="16" t="inlineStr">
        <is>
          <t>Forestry Labourers</t>
        </is>
      </c>
      <c r="F946" s="16" t="inlineStr">
        <is>
          <t>탄소중립 / 산업안전 / ESG</t>
        </is>
      </c>
      <c r="G946" s="15" t="inlineStr">
        <is>
          <t>intra_cluster_transition</t>
        </is>
      </c>
      <c r="H946" s="16" t="inlineStr">
        <is>
          <t>digging, holes, tree</t>
        </is>
      </c>
      <c r="I946" s="16" t="inlineStr">
        <is>
          <t>동일 직군 내 고급 도메인 지식</t>
        </is>
      </c>
      <c r="J946" s="16" t="inlineStr">
        <is>
          <t>직무 순환 및 실무 1~2년</t>
        </is>
      </c>
      <c r="K946" s="15" t="inlineStr">
        <is>
          <t>★★☆☆☆</t>
        </is>
      </c>
      <c r="L946" s="20" t="inlineStr">
        <is>
          <t>+12.5%</t>
        </is>
      </c>
    </row>
    <row r="947">
      <c r="A947" s="17" t="inlineStr">
        <is>
          <t>TR-0946</t>
        </is>
      </c>
      <c r="B947" s="17" t="inlineStr">
        <is>
          <t>9215</t>
        </is>
      </c>
      <c r="C947" s="18" t="inlineStr">
        <is>
          <t>Forestry Labourers</t>
        </is>
      </c>
      <c r="D947" s="17" t="inlineStr">
        <is>
          <t>9216</t>
        </is>
      </c>
      <c r="E947" s="18" t="inlineStr">
        <is>
          <t>Fishery and Aquaculture Labourers</t>
        </is>
      </c>
      <c r="F947" s="18" t="inlineStr">
        <is>
          <t>탄소중립 / 산업안전 / ESG</t>
        </is>
      </c>
      <c r="G947" s="17" t="inlineStr">
        <is>
          <t>intra_cluster_transition</t>
        </is>
      </c>
      <c r="H947" s="18" t="inlineStr">
        <is>
          <t>cleaning, feeding, fish</t>
        </is>
      </c>
      <c r="I947" s="18" t="inlineStr">
        <is>
          <t>동일 직군 내 고급 도메인 지식</t>
        </is>
      </c>
      <c r="J947" s="18" t="inlineStr">
        <is>
          <t>직무 순환 및 실무 1~2년</t>
        </is>
      </c>
      <c r="K947" s="17" t="inlineStr">
        <is>
          <t>★★☆☆☆</t>
        </is>
      </c>
      <c r="L947" s="21" t="inlineStr">
        <is>
          <t>+12.5%</t>
        </is>
      </c>
    </row>
    <row r="948">
      <c r="A948" s="15" t="inlineStr">
        <is>
          <t>TR-0947</t>
        </is>
      </c>
      <c r="B948" s="15" t="inlineStr">
        <is>
          <t>9311</t>
        </is>
      </c>
      <c r="C948" s="16" t="inlineStr">
        <is>
          <t>Mining and Quarrying Labourers</t>
        </is>
      </c>
      <c r="D948" s="15" t="inlineStr">
        <is>
          <t>9312</t>
        </is>
      </c>
      <c r="E948" s="16" t="inlineStr">
        <is>
          <t>Civil Engineering Labourers</t>
        </is>
      </c>
      <c r="F948" s="16" t="inlineStr">
        <is>
          <t>모빌리티 / 자율주행 / 로보틱스</t>
        </is>
      </c>
      <c r="G948" s="15" t="inlineStr">
        <is>
          <t>intra_cluster_transition</t>
        </is>
      </c>
      <c r="H948" s="16" t="inlineStr">
        <is>
          <t>digging, filling, holes</t>
        </is>
      </c>
      <c r="I948" s="16" t="inlineStr">
        <is>
          <t>동일 직군 내 고급 도메인 지식</t>
        </is>
      </c>
      <c r="J948" s="16" t="inlineStr">
        <is>
          <t>직무 순환 및 실무 1~2년</t>
        </is>
      </c>
      <c r="K948" s="15" t="inlineStr">
        <is>
          <t>★★☆☆☆</t>
        </is>
      </c>
      <c r="L948" s="20" t="inlineStr">
        <is>
          <t>+12.5%</t>
        </is>
      </c>
    </row>
    <row r="949">
      <c r="A949" s="17" t="inlineStr">
        <is>
          <t>TR-0948</t>
        </is>
      </c>
      <c r="B949" s="17" t="inlineStr">
        <is>
          <t>9312</t>
        </is>
      </c>
      <c r="C949" s="18" t="inlineStr">
        <is>
          <t>Civil Engineering Labourers</t>
        </is>
      </c>
      <c r="D949" s="17" t="inlineStr">
        <is>
          <t>9313</t>
        </is>
      </c>
      <c r="E949" s="18" t="inlineStr">
        <is>
          <t>Building Construction Labourers</t>
        </is>
      </c>
      <c r="F949" s="18" t="inlineStr">
        <is>
          <t>모빌리티 / 자율주행 / 로보틱스</t>
        </is>
      </c>
      <c r="G949" s="17" t="inlineStr">
        <is>
          <t>intra_cluster_transition</t>
        </is>
      </c>
      <c r="H949" s="18" t="inlineStr">
        <is>
          <t>cleaning, used, building</t>
        </is>
      </c>
      <c r="I949" s="18" t="inlineStr">
        <is>
          <t>동일 직군 내 고급 도메인 지식</t>
        </is>
      </c>
      <c r="J949" s="18" t="inlineStr">
        <is>
          <t>직무 순환 및 실무 1~2년</t>
        </is>
      </c>
      <c r="K949" s="17" t="inlineStr">
        <is>
          <t>★★☆☆☆</t>
        </is>
      </c>
      <c r="L949" s="21" t="inlineStr">
        <is>
          <t>+12.5%</t>
        </is>
      </c>
    </row>
    <row r="950">
      <c r="A950" s="15" t="inlineStr">
        <is>
          <t>TR-0949</t>
        </is>
      </c>
      <c r="B950" s="15" t="inlineStr">
        <is>
          <t>9321</t>
        </is>
      </c>
      <c r="C950" s="16" t="inlineStr">
        <is>
          <t>Hand Packers</t>
        </is>
      </c>
      <c r="D950" s="15" t="inlineStr">
        <is>
          <t>9329</t>
        </is>
      </c>
      <c r="E950" s="16" t="inlineStr">
        <is>
          <t>Manufacturing Labourers Not Elsewhere Classified</t>
        </is>
      </c>
      <c r="F950" s="16" t="inlineStr">
        <is>
          <t>모빌리티 / 자율주행 / 로보틱스</t>
        </is>
      </c>
      <c r="G950" s="15" t="inlineStr">
        <is>
          <t>intra_cluster_transition</t>
        </is>
      </c>
      <c r="H950" s="16" t="inlineStr">
        <is>
          <t>conveying, goods, material</t>
        </is>
      </c>
      <c r="I950" s="16" t="inlineStr">
        <is>
          <t>동일 직군 내 고급 도메인 지식</t>
        </is>
      </c>
      <c r="J950" s="16" t="inlineStr">
        <is>
          <t>직무 순환 및 실무 1~2년</t>
        </is>
      </c>
      <c r="K950" s="15" t="inlineStr">
        <is>
          <t>★★☆☆☆</t>
        </is>
      </c>
      <c r="L950" s="20" t="inlineStr">
        <is>
          <t>+12.5%</t>
        </is>
      </c>
    </row>
    <row r="951">
      <c r="A951" s="17" t="inlineStr">
        <is>
          <t>TR-0950</t>
        </is>
      </c>
      <c r="B951" s="17" t="inlineStr">
        <is>
          <t>9331</t>
        </is>
      </c>
      <c r="C951" s="18" t="inlineStr">
        <is>
          <t>Hand and Pedal Vehicle Drivers</t>
        </is>
      </c>
      <c r="D951" s="17" t="inlineStr">
        <is>
          <t>9332</t>
        </is>
      </c>
      <c r="E951" s="18" t="inlineStr">
        <is>
          <t>Drivers of Animal-drawn Vehicles and Machinery</t>
        </is>
      </c>
      <c r="F951" s="18" t="inlineStr">
        <is>
          <t>모빌리티 / 자율주행 / 로보틱스</t>
        </is>
      </c>
      <c r="G951" s="17" t="inlineStr">
        <is>
          <t>intra_cluster_transition</t>
        </is>
      </c>
      <c r="H951" s="18" t="inlineStr">
        <is>
          <t>harnessing, animals, hitching</t>
        </is>
      </c>
      <c r="I951" s="18" t="inlineStr">
        <is>
          <t>동일 직군 내 고급 도메인 지식</t>
        </is>
      </c>
      <c r="J951" s="18" t="inlineStr">
        <is>
          <t>직무 순환 및 실무 1~2년</t>
        </is>
      </c>
      <c r="K951" s="17" t="inlineStr">
        <is>
          <t>★★☆☆☆</t>
        </is>
      </c>
      <c r="L951" s="21" t="inlineStr">
        <is>
          <t>+12.5%</t>
        </is>
      </c>
    </row>
    <row r="952">
      <c r="A952" s="15" t="inlineStr">
        <is>
          <t>TR-0951</t>
        </is>
      </c>
      <c r="B952" s="15" t="inlineStr">
        <is>
          <t>9332</t>
        </is>
      </c>
      <c r="C952" s="16" t="inlineStr">
        <is>
          <t>Drivers of Animal-drawn Vehicles and Machinery</t>
        </is>
      </c>
      <c r="D952" s="15" t="inlineStr">
        <is>
          <t>9333</t>
        </is>
      </c>
      <c r="E952" s="16" t="inlineStr">
        <is>
          <t>Freight Handlers</t>
        </is>
      </c>
      <c r="F952" s="16" t="inlineStr">
        <is>
          <t>모빌리티 / 자율주행 / 로보틱스</t>
        </is>
      </c>
      <c r="G952" s="15" t="inlineStr">
        <is>
          <t>intra_cluster_transition</t>
        </is>
      </c>
      <c r="H952" s="16" t="inlineStr">
        <is>
          <t>packing, office, household</t>
        </is>
      </c>
      <c r="I952" s="16" t="inlineStr">
        <is>
          <t>동일 직군 내 고급 도메인 지식</t>
        </is>
      </c>
      <c r="J952" s="16" t="inlineStr">
        <is>
          <t>직무 순환 및 실무 1~2년</t>
        </is>
      </c>
      <c r="K952" s="15" t="inlineStr">
        <is>
          <t>★★☆☆☆</t>
        </is>
      </c>
      <c r="L952" s="20" t="inlineStr">
        <is>
          <t>+12.5%</t>
        </is>
      </c>
    </row>
    <row r="953">
      <c r="A953" s="17" t="inlineStr">
        <is>
          <t>TR-0952</t>
        </is>
      </c>
      <c r="B953" s="17" t="inlineStr">
        <is>
          <t>9333</t>
        </is>
      </c>
      <c r="C953" s="18" t="inlineStr">
        <is>
          <t>Freight Handlers</t>
        </is>
      </c>
      <c r="D953" s="17" t="inlineStr">
        <is>
          <t>9334</t>
        </is>
      </c>
      <c r="E953" s="18" t="inlineStr">
        <is>
          <t>Shelf Fillers</t>
        </is>
      </c>
      <c r="F953" s="18" t="inlineStr">
        <is>
          <t>모빌리티 / 자율주행 / 로보틱스</t>
        </is>
      </c>
      <c r="G953" s="17" t="inlineStr">
        <is>
          <t>intra_cluster_transition</t>
        </is>
      </c>
      <c r="H953" s="18" t="inlineStr">
        <is>
          <t>placing, goods, neatly</t>
        </is>
      </c>
      <c r="I953" s="18" t="inlineStr">
        <is>
          <t>동일 직군 내 고급 도메인 지식</t>
        </is>
      </c>
      <c r="J953" s="18" t="inlineStr">
        <is>
          <t>직무 순환 및 실무 1~2년</t>
        </is>
      </c>
      <c r="K953" s="17" t="inlineStr">
        <is>
          <t>★★☆☆☆</t>
        </is>
      </c>
      <c r="L953" s="21" t="inlineStr">
        <is>
          <t>+12.5%</t>
        </is>
      </c>
    </row>
    <row r="954">
      <c r="A954" s="15" t="inlineStr">
        <is>
          <t>TR-0953</t>
        </is>
      </c>
      <c r="B954" s="15" t="inlineStr">
        <is>
          <t>9411</t>
        </is>
      </c>
      <c r="C954" s="16" t="inlineStr">
        <is>
          <t>Fast Food Preparers</t>
        </is>
      </c>
      <c r="D954" s="15" t="inlineStr">
        <is>
          <t>9412</t>
        </is>
      </c>
      <c r="E954" s="16" t="inlineStr">
        <is>
          <t>Kitchen Helpers</t>
        </is>
      </c>
      <c r="F954" s="16" t="inlineStr">
        <is>
          <t>B2B영업 / 마케팅 / GTM</t>
        </is>
      </c>
      <c r="G954" s="15" t="inlineStr">
        <is>
          <t>intra_cluster_transition</t>
        </is>
      </c>
      <c r="H954" s="16" t="inlineStr">
        <is>
          <t>cleaning, kitchens, food</t>
        </is>
      </c>
      <c r="I954" s="16" t="inlineStr">
        <is>
          <t>동일 직군 내 고급 도메인 지식</t>
        </is>
      </c>
      <c r="J954" s="16" t="inlineStr">
        <is>
          <t>직무 순환 및 실무 1~2년</t>
        </is>
      </c>
      <c r="K954" s="15" t="inlineStr">
        <is>
          <t>★★☆☆☆</t>
        </is>
      </c>
      <c r="L954" s="20" t="inlineStr">
        <is>
          <t>+12.5%</t>
        </is>
      </c>
    </row>
    <row r="955">
      <c r="A955" s="17" t="inlineStr">
        <is>
          <t>TR-0954</t>
        </is>
      </c>
      <c r="B955" s="17" t="inlineStr">
        <is>
          <t>9621</t>
        </is>
      </c>
      <c r="C955" s="18" t="inlineStr">
        <is>
          <t>Messengers, Package Deliverers and Luggage Porters</t>
        </is>
      </c>
      <c r="D955" s="17" t="inlineStr">
        <is>
          <t>9622</t>
        </is>
      </c>
      <c r="E955" s="18" t="inlineStr">
        <is>
          <t>Odd Job Persons</t>
        </is>
      </c>
      <c r="F955" s="18" t="inlineStr">
        <is>
          <t>탄소중립 / 산업안전 / ESG</t>
        </is>
      </c>
      <c r="G955" s="17" t="inlineStr">
        <is>
          <t>intra_cluster_transition</t>
        </is>
      </c>
      <c r="H955" s="18" t="inlineStr">
        <is>
          <t>repairing, broken, windows</t>
        </is>
      </c>
      <c r="I955" s="18" t="inlineStr">
        <is>
          <t>동일 직군 내 고급 도메인 지식</t>
        </is>
      </c>
      <c r="J955" s="18" t="inlineStr">
        <is>
          <t>직무 순환 및 실무 1~2년</t>
        </is>
      </c>
      <c r="K955" s="17" t="inlineStr">
        <is>
          <t>★★☆☆☆</t>
        </is>
      </c>
      <c r="L955" s="21" t="inlineStr">
        <is>
          <t>+12.5%</t>
        </is>
      </c>
    </row>
    <row r="956">
      <c r="A956" s="15" t="inlineStr">
        <is>
          <t>TR-0955</t>
        </is>
      </c>
      <c r="B956" s="15" t="inlineStr">
        <is>
          <t>9622</t>
        </is>
      </c>
      <c r="C956" s="16" t="inlineStr">
        <is>
          <t>Odd Job Persons</t>
        </is>
      </c>
      <c r="D956" s="15" t="inlineStr">
        <is>
          <t>9623</t>
        </is>
      </c>
      <c r="E956" s="16" t="inlineStr">
        <is>
          <t>Meter Readers and Vending-machine Collectors</t>
        </is>
      </c>
      <c r="F956" s="16" t="inlineStr">
        <is>
          <t>탄소중립 / 산업안전 / ESG</t>
        </is>
      </c>
      <c r="G956" s="15" t="inlineStr">
        <is>
          <t>intra_cluster_transition</t>
        </is>
      </c>
      <c r="H956" s="16" t="inlineStr">
        <is>
          <t>filling, storage, areas</t>
        </is>
      </c>
      <c r="I956" s="16" t="inlineStr">
        <is>
          <t>동일 직군 내 고급 도메인 지식</t>
        </is>
      </c>
      <c r="J956" s="16" t="inlineStr">
        <is>
          <t>직무 순환 및 실무 1~2년</t>
        </is>
      </c>
      <c r="K956" s="15" t="inlineStr">
        <is>
          <t>★★☆☆☆</t>
        </is>
      </c>
      <c r="L956" s="20" t="inlineStr">
        <is>
          <t>+12.5%</t>
        </is>
      </c>
    </row>
    <row r="957">
      <c r="A957" s="17" t="inlineStr">
        <is>
          <t>TR-0956</t>
        </is>
      </c>
      <c r="B957" s="17" t="inlineStr">
        <is>
          <t>9623</t>
        </is>
      </c>
      <c r="C957" s="18" t="inlineStr">
        <is>
          <t>Meter Readers and Vending-machine Collectors</t>
        </is>
      </c>
      <c r="D957" s="17" t="inlineStr">
        <is>
          <t>9624</t>
        </is>
      </c>
      <c r="E957" s="18" t="inlineStr">
        <is>
          <t>Water and Firewood Collectors</t>
        </is>
      </c>
      <c r="F957" s="18" t="inlineStr">
        <is>
          <t>탄소중립 / 산업안전 / ESG</t>
        </is>
      </c>
      <c r="G957" s="17" t="inlineStr">
        <is>
          <t>intra_cluster_transition</t>
        </is>
      </c>
      <c r="H957" s="18" t="inlineStr">
        <is>
          <t>cutting, collecting, wood</t>
        </is>
      </c>
      <c r="I957" s="18" t="inlineStr">
        <is>
          <t>동일 직군 내 고급 도메인 지식</t>
        </is>
      </c>
      <c r="J957" s="18" t="inlineStr">
        <is>
          <t>직무 순환 및 실무 1~2년</t>
        </is>
      </c>
      <c r="K957" s="17" t="inlineStr">
        <is>
          <t>★★☆☆☆</t>
        </is>
      </c>
      <c r="L957" s="21" t="inlineStr">
        <is>
          <t>+12.5%</t>
        </is>
      </c>
    </row>
    <row r="958">
      <c r="A958" s="15" t="inlineStr">
        <is>
          <t>TR-0957</t>
        </is>
      </c>
      <c r="B958" s="15" t="inlineStr">
        <is>
          <t>9624</t>
        </is>
      </c>
      <c r="C958" s="16" t="inlineStr">
        <is>
          <t>Water and Firewood Collectors</t>
        </is>
      </c>
      <c r="D958" s="15" t="inlineStr">
        <is>
          <t>9629</t>
        </is>
      </c>
      <c r="E958" s="16" t="inlineStr">
        <is>
          <t>Elementary Workers Not Elsewhere Classified</t>
        </is>
      </c>
      <c r="F958" s="16" t="inlineStr">
        <is>
          <t>탄소중립 / 산업안전 / ESG</t>
        </is>
      </c>
      <c r="G958" s="15" t="inlineStr">
        <is>
          <t>intra_cluster_transition</t>
        </is>
      </c>
      <c r="H958" s="16" t="inlineStr">
        <is>
          <t>such, cases, would</t>
        </is>
      </c>
      <c r="I958" s="16" t="inlineStr">
        <is>
          <t>동일 직군 내 고급 도메인 지식</t>
        </is>
      </c>
      <c r="J958" s="16" t="inlineStr">
        <is>
          <t>직무 순환 및 실무 1~2년</t>
        </is>
      </c>
      <c r="K958" s="15" t="inlineStr">
        <is>
          <t>★★☆☆☆</t>
        </is>
      </c>
      <c r="L958" s="20" t="inlineStr">
        <is>
          <t>+12.5%</t>
        </is>
      </c>
    </row>
    <row r="959">
      <c r="A959" s="17" t="inlineStr">
        <is>
          <t>TR-0958</t>
        </is>
      </c>
      <c r="B959" s="17" t="inlineStr">
        <is>
          <t>2111</t>
        </is>
      </c>
      <c r="C959" s="18" t="inlineStr">
        <is>
          <t>Physicists and Astronomers</t>
        </is>
      </c>
      <c r="D959" s="17" t="inlineStr">
        <is>
          <t>1321</t>
        </is>
      </c>
      <c r="E959" s="18" t="inlineStr">
        <is>
          <t>Manufacturing Managers</t>
        </is>
      </c>
      <c r="F959" s="18" t="inlineStr">
        <is>
          <t>반도체 / 전자회로 / 하드웨어</t>
        </is>
      </c>
      <c r="G959" s="17" t="inlineStr">
        <is>
          <t>vertical_promotion</t>
        </is>
      </c>
      <c r="H959" s="18" t="inlineStr">
        <is>
          <t>조직 관리 및 리더십, 예산/손익(P&amp;L) 관리, 전사 전략 수립</t>
        </is>
      </c>
      <c r="I959" s="18" t="inlineStr">
        <is>
          <t>MBA 또는 경영학 석사, 글로벌 비즈니스 협상력</t>
        </is>
      </c>
      <c r="J959" s="18" t="inlineStr">
        <is>
          <t>팀장/관리직 경력 3년 이상 (총 경력 7~10년+)</t>
        </is>
      </c>
      <c r="K959" s="17" t="inlineStr">
        <is>
          <t>★★★★☆</t>
        </is>
      </c>
      <c r="L959" s="21" t="inlineStr">
        <is>
          <t>+35.0%</t>
        </is>
      </c>
    </row>
    <row r="960">
      <c r="A960" s="15" t="inlineStr">
        <is>
          <t>TR-0959</t>
        </is>
      </c>
      <c r="B960" s="15" t="inlineStr">
        <is>
          <t>2112</t>
        </is>
      </c>
      <c r="C960" s="16" t="inlineStr">
        <is>
          <t>Meteorologists</t>
        </is>
      </c>
      <c r="D960" s="15" t="inlineStr">
        <is>
          <t>1321</t>
        </is>
      </c>
      <c r="E960" s="16" t="inlineStr">
        <is>
          <t>Manufacturing Managers</t>
        </is>
      </c>
      <c r="F960" s="16" t="inlineStr">
        <is>
          <t>반도체 / 전자회로 / 하드웨어</t>
        </is>
      </c>
      <c r="G960" s="15" t="inlineStr">
        <is>
          <t>vertical_promotion</t>
        </is>
      </c>
      <c r="H960" s="16" t="inlineStr">
        <is>
          <t>조직 관리 및 리더십, 예산/손익(P&amp;L) 관리, 전사 전략 수립</t>
        </is>
      </c>
      <c r="I960" s="16" t="inlineStr">
        <is>
          <t>MBA 또는 경영학 석사, 글로벌 비즈니스 협상력</t>
        </is>
      </c>
      <c r="J960" s="16" t="inlineStr">
        <is>
          <t>팀장/관리직 경력 3년 이상 (총 경력 7~10년+)</t>
        </is>
      </c>
      <c r="K960" s="15" t="inlineStr">
        <is>
          <t>★★★★☆</t>
        </is>
      </c>
      <c r="L960" s="20" t="inlineStr">
        <is>
          <t>+35.0%</t>
        </is>
      </c>
    </row>
    <row r="961">
      <c r="A961" s="17" t="inlineStr">
        <is>
          <t>TR-0960</t>
        </is>
      </c>
      <c r="B961" s="17" t="inlineStr">
        <is>
          <t>2113</t>
        </is>
      </c>
      <c r="C961" s="18" t="inlineStr">
        <is>
          <t>Chemists</t>
        </is>
      </c>
      <c r="D961" s="17" t="inlineStr">
        <is>
          <t>1321</t>
        </is>
      </c>
      <c r="E961" s="18" t="inlineStr">
        <is>
          <t>Manufacturing Managers</t>
        </is>
      </c>
      <c r="F961" s="18" t="inlineStr">
        <is>
          <t>반도체 / 전자회로 / 하드웨어</t>
        </is>
      </c>
      <c r="G961" s="17" t="inlineStr">
        <is>
          <t>vertical_promotion</t>
        </is>
      </c>
      <c r="H961" s="18" t="inlineStr">
        <is>
          <t>조직 관리 및 리더십, 예산/손익(P&amp;L) 관리, 전사 전략 수립</t>
        </is>
      </c>
      <c r="I961" s="18" t="inlineStr">
        <is>
          <t>MBA 또는 경영학 석사, 글로벌 비즈니스 협상력</t>
        </is>
      </c>
      <c r="J961" s="18" t="inlineStr">
        <is>
          <t>팀장/관리직 경력 3년 이상 (총 경력 7~10년+)</t>
        </is>
      </c>
      <c r="K961" s="17" t="inlineStr">
        <is>
          <t>★★★★☆</t>
        </is>
      </c>
      <c r="L961" s="21" t="inlineStr">
        <is>
          <t>+35.0%</t>
        </is>
      </c>
    </row>
    <row r="962">
      <c r="A962" s="15" t="inlineStr">
        <is>
          <t>TR-0961</t>
        </is>
      </c>
      <c r="B962" s="15" t="inlineStr">
        <is>
          <t>2114</t>
        </is>
      </c>
      <c r="C962" s="16" t="inlineStr">
        <is>
          <t>Geologists and geophysicists</t>
        </is>
      </c>
      <c r="D962" s="15" t="inlineStr">
        <is>
          <t>1321</t>
        </is>
      </c>
      <c r="E962" s="16" t="inlineStr">
        <is>
          <t>Manufacturing Managers</t>
        </is>
      </c>
      <c r="F962" s="16" t="inlineStr">
        <is>
          <t>반도체 / 전자회로 / 하드웨어</t>
        </is>
      </c>
      <c r="G962" s="15" t="inlineStr">
        <is>
          <t>vertical_promotion</t>
        </is>
      </c>
      <c r="H962" s="16" t="inlineStr">
        <is>
          <t>조직 관리 및 리더십, 예산/손익(P&amp;L) 관리, 전사 전략 수립</t>
        </is>
      </c>
      <c r="I962" s="16" t="inlineStr">
        <is>
          <t>MBA 또는 경영학 석사, 글로벌 비즈니스 협상력</t>
        </is>
      </c>
      <c r="J962" s="16" t="inlineStr">
        <is>
          <t>팀장/관리직 경력 3년 이상 (총 경력 7~10년+)</t>
        </is>
      </c>
      <c r="K962" s="15" t="inlineStr">
        <is>
          <t>★★★★☆</t>
        </is>
      </c>
      <c r="L962" s="20" t="inlineStr">
        <is>
          <t>+35.0%</t>
        </is>
      </c>
    </row>
    <row r="963">
      <c r="A963" s="17" t="inlineStr">
        <is>
          <t>TR-0962</t>
        </is>
      </c>
      <c r="B963" s="17" t="inlineStr">
        <is>
          <t>2120</t>
        </is>
      </c>
      <c r="C963" s="18" t="inlineStr">
        <is>
          <t>Mathematicians, Actuaries and Statisticians</t>
        </is>
      </c>
      <c r="D963" s="17" t="inlineStr">
        <is>
          <t>1321</t>
        </is>
      </c>
      <c r="E963" s="18" t="inlineStr">
        <is>
          <t>Manufacturing Managers</t>
        </is>
      </c>
      <c r="F963" s="18" t="inlineStr">
        <is>
          <t>반도체 / 전자회로 / 하드웨어</t>
        </is>
      </c>
      <c r="G963" s="17" t="inlineStr">
        <is>
          <t>vertical_promotion</t>
        </is>
      </c>
      <c r="H963" s="18" t="inlineStr">
        <is>
          <t>조직 관리 및 리더십, 예산/손익(P&amp;L) 관리, 전사 전략 수립</t>
        </is>
      </c>
      <c r="I963" s="18" t="inlineStr">
        <is>
          <t>MBA 또는 경영학 석사, 글로벌 비즈니스 협상력</t>
        </is>
      </c>
      <c r="J963" s="18" t="inlineStr">
        <is>
          <t>팀장/관리직 경력 3년 이상 (총 경력 7~10년+)</t>
        </is>
      </c>
      <c r="K963" s="17" t="inlineStr">
        <is>
          <t>★★★★☆</t>
        </is>
      </c>
      <c r="L963" s="21" t="inlineStr">
        <is>
          <t>+35.0%</t>
        </is>
      </c>
    </row>
    <row r="964">
      <c r="A964" s="15" t="inlineStr">
        <is>
          <t>TR-0963</t>
        </is>
      </c>
      <c r="B964" s="15" t="inlineStr">
        <is>
          <t>2131</t>
        </is>
      </c>
      <c r="C964" s="16" t="inlineStr">
        <is>
          <t>Biologists, Botanists, Zoologists and Related Professionals</t>
        </is>
      </c>
      <c r="D964" s="15" t="inlineStr">
        <is>
          <t>1321</t>
        </is>
      </c>
      <c r="E964" s="16" t="inlineStr">
        <is>
          <t>Manufacturing Managers</t>
        </is>
      </c>
      <c r="F964" s="16" t="inlineStr">
        <is>
          <t>반도체 / 전자회로 / 하드웨어</t>
        </is>
      </c>
      <c r="G964" s="15" t="inlineStr">
        <is>
          <t>vertical_promotion</t>
        </is>
      </c>
      <c r="H964" s="16" t="inlineStr">
        <is>
          <t>조직 관리 및 리더십, 예산/손익(P&amp;L) 관리, 전사 전략 수립</t>
        </is>
      </c>
      <c r="I964" s="16" t="inlineStr">
        <is>
          <t>MBA 또는 경영학 석사, 글로벌 비즈니스 협상력</t>
        </is>
      </c>
      <c r="J964" s="16" t="inlineStr">
        <is>
          <t>팀장/관리직 경력 3년 이상 (총 경력 7~10년+)</t>
        </is>
      </c>
      <c r="K964" s="15" t="inlineStr">
        <is>
          <t>★★★★☆</t>
        </is>
      </c>
      <c r="L964" s="20" t="inlineStr">
        <is>
          <t>+35.0%</t>
        </is>
      </c>
    </row>
    <row r="965">
      <c r="A965" s="17" t="inlineStr">
        <is>
          <t>TR-0964</t>
        </is>
      </c>
      <c r="B965" s="17" t="inlineStr">
        <is>
          <t>2132</t>
        </is>
      </c>
      <c r="C965" s="18" t="inlineStr">
        <is>
          <t>Farming, Forestry and Fisheries Advisers</t>
        </is>
      </c>
      <c r="D965" s="17" t="inlineStr">
        <is>
          <t>1321</t>
        </is>
      </c>
      <c r="E965" s="18" t="inlineStr">
        <is>
          <t>Manufacturing Managers</t>
        </is>
      </c>
      <c r="F965" s="18" t="inlineStr">
        <is>
          <t>반도체 / 전자회로 / 하드웨어</t>
        </is>
      </c>
      <c r="G965" s="17" t="inlineStr">
        <is>
          <t>vertical_promotion</t>
        </is>
      </c>
      <c r="H965" s="18" t="inlineStr">
        <is>
          <t>조직 관리 및 리더십, 예산/손익(P&amp;L) 관리, 전사 전략 수립</t>
        </is>
      </c>
      <c r="I965" s="18" t="inlineStr">
        <is>
          <t>MBA 또는 경영학 석사, 글로벌 비즈니스 협상력</t>
        </is>
      </c>
      <c r="J965" s="18" t="inlineStr">
        <is>
          <t>팀장/관리직 경력 3년 이상 (총 경력 7~10년+)</t>
        </is>
      </c>
      <c r="K965" s="17" t="inlineStr">
        <is>
          <t>★★★★☆</t>
        </is>
      </c>
      <c r="L965" s="21" t="inlineStr">
        <is>
          <t>+35.0%</t>
        </is>
      </c>
    </row>
    <row r="966">
      <c r="A966" s="15" t="inlineStr">
        <is>
          <t>TR-0965</t>
        </is>
      </c>
      <c r="B966" s="15" t="inlineStr">
        <is>
          <t>2133</t>
        </is>
      </c>
      <c r="C966" s="16" t="inlineStr">
        <is>
          <t>Environmental Protection Professionals</t>
        </is>
      </c>
      <c r="D966" s="15" t="inlineStr">
        <is>
          <t>1321</t>
        </is>
      </c>
      <c r="E966" s="16" t="inlineStr">
        <is>
          <t>Manufacturing Managers</t>
        </is>
      </c>
      <c r="F966" s="16" t="inlineStr">
        <is>
          <t>반도체 / 전자회로 / 하드웨어</t>
        </is>
      </c>
      <c r="G966" s="15" t="inlineStr">
        <is>
          <t>vertical_promotion</t>
        </is>
      </c>
      <c r="H966" s="16" t="inlineStr">
        <is>
          <t>조직 관리 및 리더십, 예산/손익(P&amp;L) 관리, 전사 전략 수립</t>
        </is>
      </c>
      <c r="I966" s="16" t="inlineStr">
        <is>
          <t>MBA 또는 경영학 석사, 글로벌 비즈니스 협상력</t>
        </is>
      </c>
      <c r="J966" s="16" t="inlineStr">
        <is>
          <t>팀장/관리직 경력 3년 이상 (총 경력 7~10년+)</t>
        </is>
      </c>
      <c r="K966" s="15" t="inlineStr">
        <is>
          <t>★★★★☆</t>
        </is>
      </c>
      <c r="L966" s="20" t="inlineStr">
        <is>
          <t>+35.0%</t>
        </is>
      </c>
    </row>
    <row r="967">
      <c r="A967" s="17" t="inlineStr">
        <is>
          <t>TR-0966</t>
        </is>
      </c>
      <c r="B967" s="17" t="inlineStr">
        <is>
          <t>2142</t>
        </is>
      </c>
      <c r="C967" s="18" t="inlineStr">
        <is>
          <t>Civil Engineers</t>
        </is>
      </c>
      <c r="D967" s="17" t="inlineStr">
        <is>
          <t>1321</t>
        </is>
      </c>
      <c r="E967" s="18" t="inlineStr">
        <is>
          <t>Manufacturing Managers</t>
        </is>
      </c>
      <c r="F967" s="18" t="inlineStr">
        <is>
          <t>반도체 / 전자회로 / 하드웨어</t>
        </is>
      </c>
      <c r="G967" s="17" t="inlineStr">
        <is>
          <t>vertical_promotion</t>
        </is>
      </c>
      <c r="H967" s="18" t="inlineStr">
        <is>
          <t>조직 관리 및 리더십, 예산/손익(P&amp;L) 관리, 전사 전략 수립</t>
        </is>
      </c>
      <c r="I967" s="18" t="inlineStr">
        <is>
          <t>MBA 또는 경영학 석사, 글로벌 비즈니스 협상력</t>
        </is>
      </c>
      <c r="J967" s="18" t="inlineStr">
        <is>
          <t>팀장/관리직 경력 3년 이상 (총 경력 7~10년+)</t>
        </is>
      </c>
      <c r="K967" s="17" t="inlineStr">
        <is>
          <t>★★★★☆</t>
        </is>
      </c>
      <c r="L967" s="21" t="inlineStr">
        <is>
          <t>+35.0%</t>
        </is>
      </c>
    </row>
    <row r="968">
      <c r="A968" s="15" t="inlineStr">
        <is>
          <t>TR-0967</t>
        </is>
      </c>
      <c r="B968" s="15" t="inlineStr">
        <is>
          <t>2143</t>
        </is>
      </c>
      <c r="C968" s="16" t="inlineStr">
        <is>
          <t>Environmental Engineers</t>
        </is>
      </c>
      <c r="D968" s="15" t="inlineStr">
        <is>
          <t>1321</t>
        </is>
      </c>
      <c r="E968" s="16" t="inlineStr">
        <is>
          <t>Manufacturing Managers</t>
        </is>
      </c>
      <c r="F968" s="16" t="inlineStr">
        <is>
          <t>반도체 / 전자회로 / 하드웨어</t>
        </is>
      </c>
      <c r="G968" s="15" t="inlineStr">
        <is>
          <t>vertical_promotion</t>
        </is>
      </c>
      <c r="H968" s="16" t="inlineStr">
        <is>
          <t>조직 관리 및 리더십, 예산/손익(P&amp;L) 관리, 전사 전략 수립</t>
        </is>
      </c>
      <c r="I968" s="16" t="inlineStr">
        <is>
          <t>MBA 또는 경영학 석사, 글로벌 비즈니스 협상력</t>
        </is>
      </c>
      <c r="J968" s="16" t="inlineStr">
        <is>
          <t>팀장/관리직 경력 3년 이상 (총 경력 7~10년+)</t>
        </is>
      </c>
      <c r="K968" s="15" t="inlineStr">
        <is>
          <t>★★★★☆</t>
        </is>
      </c>
      <c r="L968" s="20" t="inlineStr">
        <is>
          <t>+35.0%</t>
        </is>
      </c>
    </row>
    <row r="969">
      <c r="A969" s="17" t="inlineStr">
        <is>
          <t>TR-0968</t>
        </is>
      </c>
      <c r="B969" s="17" t="inlineStr">
        <is>
          <t>2144</t>
        </is>
      </c>
      <c r="C969" s="18" t="inlineStr">
        <is>
          <t>Mechanical Engineers</t>
        </is>
      </c>
      <c r="D969" s="17" t="inlineStr">
        <is>
          <t>1321</t>
        </is>
      </c>
      <c r="E969" s="18" t="inlineStr">
        <is>
          <t>Manufacturing Managers</t>
        </is>
      </c>
      <c r="F969" s="18" t="inlineStr">
        <is>
          <t>반도체 / 전자회로 / 하드웨어</t>
        </is>
      </c>
      <c r="G969" s="17" t="inlineStr">
        <is>
          <t>vertical_promotion</t>
        </is>
      </c>
      <c r="H969" s="18" t="inlineStr">
        <is>
          <t>조직 관리 및 리더십, 예산/손익(P&amp;L) 관리, 전사 전략 수립</t>
        </is>
      </c>
      <c r="I969" s="18" t="inlineStr">
        <is>
          <t>MBA 또는 경영학 석사, 글로벌 비즈니스 협상력</t>
        </is>
      </c>
      <c r="J969" s="18" t="inlineStr">
        <is>
          <t>팀장/관리직 경력 3년 이상 (총 경력 7~10년+)</t>
        </is>
      </c>
      <c r="K969" s="17" t="inlineStr">
        <is>
          <t>★★★★☆</t>
        </is>
      </c>
      <c r="L969" s="21" t="inlineStr">
        <is>
          <t>+35.0%</t>
        </is>
      </c>
    </row>
    <row r="970">
      <c r="A970" s="15" t="inlineStr">
        <is>
          <t>TR-0969</t>
        </is>
      </c>
      <c r="B970" s="15" t="inlineStr">
        <is>
          <t>2145</t>
        </is>
      </c>
      <c r="C970" s="16" t="inlineStr">
        <is>
          <t>Chemical Engineers</t>
        </is>
      </c>
      <c r="D970" s="15" t="inlineStr">
        <is>
          <t>1321</t>
        </is>
      </c>
      <c r="E970" s="16" t="inlineStr">
        <is>
          <t>Manufacturing Managers</t>
        </is>
      </c>
      <c r="F970" s="16" t="inlineStr">
        <is>
          <t>반도체 / 전자회로 / 하드웨어</t>
        </is>
      </c>
      <c r="G970" s="15" t="inlineStr">
        <is>
          <t>vertical_promotion</t>
        </is>
      </c>
      <c r="H970" s="16" t="inlineStr">
        <is>
          <t>조직 관리 및 리더십, 예산/손익(P&amp;L) 관리, 전사 전략 수립</t>
        </is>
      </c>
      <c r="I970" s="16" t="inlineStr">
        <is>
          <t>MBA 또는 경영학 석사, 글로벌 비즈니스 협상력</t>
        </is>
      </c>
      <c r="J970" s="16" t="inlineStr">
        <is>
          <t>팀장/관리직 경력 3년 이상 (총 경력 7~10년+)</t>
        </is>
      </c>
      <c r="K970" s="15" t="inlineStr">
        <is>
          <t>★★★★☆</t>
        </is>
      </c>
      <c r="L970" s="20" t="inlineStr">
        <is>
          <t>+35.0%</t>
        </is>
      </c>
    </row>
    <row r="971">
      <c r="A971" s="17" t="inlineStr">
        <is>
          <t>TR-0970</t>
        </is>
      </c>
      <c r="B971" s="17" t="inlineStr">
        <is>
          <t>2146</t>
        </is>
      </c>
      <c r="C971" s="18" t="inlineStr">
        <is>
          <t>Mining Engineers, Metallurgists and Related Professionals</t>
        </is>
      </c>
      <c r="D971" s="17" t="inlineStr">
        <is>
          <t>1321</t>
        </is>
      </c>
      <c r="E971" s="18" t="inlineStr">
        <is>
          <t>Manufacturing Managers</t>
        </is>
      </c>
      <c r="F971" s="18" t="inlineStr">
        <is>
          <t>반도체 / 전자회로 / 하드웨어</t>
        </is>
      </c>
      <c r="G971" s="17" t="inlineStr">
        <is>
          <t>vertical_promotion</t>
        </is>
      </c>
      <c r="H971" s="18" t="inlineStr">
        <is>
          <t>조직 관리 및 리더십, 예산/손익(P&amp;L) 관리, 전사 전략 수립</t>
        </is>
      </c>
      <c r="I971" s="18" t="inlineStr">
        <is>
          <t>MBA 또는 경영학 석사, 글로벌 비즈니스 협상력</t>
        </is>
      </c>
      <c r="J971" s="18" t="inlineStr">
        <is>
          <t>팀장/관리직 경력 3년 이상 (총 경력 7~10년+)</t>
        </is>
      </c>
      <c r="K971" s="17" t="inlineStr">
        <is>
          <t>★★★★☆</t>
        </is>
      </c>
      <c r="L971" s="21" t="inlineStr">
        <is>
          <t>+35.0%</t>
        </is>
      </c>
    </row>
    <row r="972">
      <c r="A972" s="15" t="inlineStr">
        <is>
          <t>TR-0971</t>
        </is>
      </c>
      <c r="B972" s="15" t="inlineStr">
        <is>
          <t>2149</t>
        </is>
      </c>
      <c r="C972" s="16" t="inlineStr">
        <is>
          <t>Engineering Professionals Not Elsewhere Classified</t>
        </is>
      </c>
      <c r="D972" s="15" t="inlineStr">
        <is>
          <t>1321</t>
        </is>
      </c>
      <c r="E972" s="16" t="inlineStr">
        <is>
          <t>Manufacturing Managers</t>
        </is>
      </c>
      <c r="F972" s="16" t="inlineStr">
        <is>
          <t>반도체 / 전자회로 / 하드웨어</t>
        </is>
      </c>
      <c r="G972" s="15" t="inlineStr">
        <is>
          <t>vertical_promotion</t>
        </is>
      </c>
      <c r="H972" s="16" t="inlineStr">
        <is>
          <t>조직 관리 및 리더십, 예산/손익(P&amp;L) 관리, 전사 전략 수립</t>
        </is>
      </c>
      <c r="I972" s="16" t="inlineStr">
        <is>
          <t>MBA 또는 경영학 석사, 글로벌 비즈니스 협상력</t>
        </is>
      </c>
      <c r="J972" s="16" t="inlineStr">
        <is>
          <t>팀장/관리직 경력 3년 이상 (총 경력 7~10년+)</t>
        </is>
      </c>
      <c r="K972" s="15" t="inlineStr">
        <is>
          <t>★★★★☆</t>
        </is>
      </c>
      <c r="L972" s="20" t="inlineStr">
        <is>
          <t>+35.0%</t>
        </is>
      </c>
    </row>
    <row r="973">
      <c r="A973" s="17" t="inlineStr">
        <is>
          <t>TR-0972</t>
        </is>
      </c>
      <c r="B973" s="17" t="inlineStr">
        <is>
          <t>2151</t>
        </is>
      </c>
      <c r="C973" s="18" t="inlineStr">
        <is>
          <t>Electrical Engineers</t>
        </is>
      </c>
      <c r="D973" s="17" t="inlineStr">
        <is>
          <t>1321</t>
        </is>
      </c>
      <c r="E973" s="18" t="inlineStr">
        <is>
          <t>Manufacturing Managers</t>
        </is>
      </c>
      <c r="F973" s="18" t="inlineStr">
        <is>
          <t>반도체 / 전자회로 / 하드웨어</t>
        </is>
      </c>
      <c r="G973" s="17" t="inlineStr">
        <is>
          <t>vertical_promotion</t>
        </is>
      </c>
      <c r="H973" s="18" t="inlineStr">
        <is>
          <t>조직 관리 및 리더십, 예산/손익(P&amp;L) 관리, 전사 전략 수립</t>
        </is>
      </c>
      <c r="I973" s="18" t="inlineStr">
        <is>
          <t>MBA 또는 경영학 석사, 글로벌 비즈니스 협상력</t>
        </is>
      </c>
      <c r="J973" s="18" t="inlineStr">
        <is>
          <t>팀장/관리직 경력 3년 이상 (총 경력 7~10년+)</t>
        </is>
      </c>
      <c r="K973" s="17" t="inlineStr">
        <is>
          <t>★★★★☆</t>
        </is>
      </c>
      <c r="L973" s="21" t="inlineStr">
        <is>
          <t>+35.0%</t>
        </is>
      </c>
    </row>
    <row r="974">
      <c r="A974" s="15" t="inlineStr">
        <is>
          <t>TR-0973</t>
        </is>
      </c>
      <c r="B974" s="15" t="inlineStr">
        <is>
          <t>2152</t>
        </is>
      </c>
      <c r="C974" s="16" t="inlineStr">
        <is>
          <t>Electronics Engineers</t>
        </is>
      </c>
      <c r="D974" s="15" t="inlineStr">
        <is>
          <t>1321</t>
        </is>
      </c>
      <c r="E974" s="16" t="inlineStr">
        <is>
          <t>Manufacturing Managers</t>
        </is>
      </c>
      <c r="F974" s="16" t="inlineStr">
        <is>
          <t>반도체 / 전자회로 / 하드웨어</t>
        </is>
      </c>
      <c r="G974" s="15" t="inlineStr">
        <is>
          <t>vertical_promotion</t>
        </is>
      </c>
      <c r="H974" s="16" t="inlineStr">
        <is>
          <t>조직 관리 및 리더십, 예산/손익(P&amp;L) 관리, 전사 전략 수립</t>
        </is>
      </c>
      <c r="I974" s="16" t="inlineStr">
        <is>
          <t>MBA 또는 경영학 석사, 글로벌 비즈니스 협상력</t>
        </is>
      </c>
      <c r="J974" s="16" t="inlineStr">
        <is>
          <t>팀장/관리직 경력 3년 이상 (총 경력 7~10년+)</t>
        </is>
      </c>
      <c r="K974" s="15" t="inlineStr">
        <is>
          <t>★★★★☆</t>
        </is>
      </c>
      <c r="L974" s="20" t="inlineStr">
        <is>
          <t>+35.0%</t>
        </is>
      </c>
    </row>
    <row r="975">
      <c r="A975" s="17" t="inlineStr">
        <is>
          <t>TR-0974</t>
        </is>
      </c>
      <c r="B975" s="17" t="inlineStr">
        <is>
          <t>2153</t>
        </is>
      </c>
      <c r="C975" s="18" t="inlineStr">
        <is>
          <t>Telecommunications Engineers</t>
        </is>
      </c>
      <c r="D975" s="17" t="inlineStr">
        <is>
          <t>1321</t>
        </is>
      </c>
      <c r="E975" s="18" t="inlineStr">
        <is>
          <t>Manufacturing Managers</t>
        </is>
      </c>
      <c r="F975" s="18" t="inlineStr">
        <is>
          <t>반도체 / 전자회로 / 하드웨어</t>
        </is>
      </c>
      <c r="G975" s="17" t="inlineStr">
        <is>
          <t>vertical_promotion</t>
        </is>
      </c>
      <c r="H975" s="18" t="inlineStr">
        <is>
          <t>조직 관리 및 리더십, 예산/손익(P&amp;L) 관리, 전사 전략 수립</t>
        </is>
      </c>
      <c r="I975" s="18" t="inlineStr">
        <is>
          <t>MBA 또는 경영학 석사, 글로벌 비즈니스 협상력</t>
        </is>
      </c>
      <c r="J975" s="18" t="inlineStr">
        <is>
          <t>팀장/관리직 경력 3년 이상 (총 경력 7~10년+)</t>
        </is>
      </c>
      <c r="K975" s="17" t="inlineStr">
        <is>
          <t>★★★★☆</t>
        </is>
      </c>
      <c r="L975" s="21" t="inlineStr">
        <is>
          <t>+35.0%</t>
        </is>
      </c>
    </row>
    <row r="976">
      <c r="A976" s="15" t="inlineStr">
        <is>
          <t>TR-0975</t>
        </is>
      </c>
      <c r="B976" s="15" t="inlineStr">
        <is>
          <t>2161</t>
        </is>
      </c>
      <c r="C976" s="16" t="inlineStr">
        <is>
          <t>Building Architects</t>
        </is>
      </c>
      <c r="D976" s="15" t="inlineStr">
        <is>
          <t>1321</t>
        </is>
      </c>
      <c r="E976" s="16" t="inlineStr">
        <is>
          <t>Manufacturing Managers</t>
        </is>
      </c>
      <c r="F976" s="16" t="inlineStr">
        <is>
          <t>반도체 / 전자회로 / 하드웨어</t>
        </is>
      </c>
      <c r="G976" s="15" t="inlineStr">
        <is>
          <t>vertical_promotion</t>
        </is>
      </c>
      <c r="H976" s="16" t="inlineStr">
        <is>
          <t>조직 관리 및 리더십, 예산/손익(P&amp;L) 관리, 전사 전략 수립</t>
        </is>
      </c>
      <c r="I976" s="16" t="inlineStr">
        <is>
          <t>MBA 또는 경영학 석사, 글로벌 비즈니스 협상력</t>
        </is>
      </c>
      <c r="J976" s="16" t="inlineStr">
        <is>
          <t>팀장/관리직 경력 3년 이상 (총 경력 7~10년+)</t>
        </is>
      </c>
      <c r="K976" s="15" t="inlineStr">
        <is>
          <t>★★★★☆</t>
        </is>
      </c>
      <c r="L976" s="20" t="inlineStr">
        <is>
          <t>+35.0%</t>
        </is>
      </c>
    </row>
    <row r="977">
      <c r="A977" s="17" t="inlineStr">
        <is>
          <t>TR-0976</t>
        </is>
      </c>
      <c r="B977" s="17" t="inlineStr">
        <is>
          <t>2162</t>
        </is>
      </c>
      <c r="C977" s="18" t="inlineStr">
        <is>
          <t>Landscape Architects</t>
        </is>
      </c>
      <c r="D977" s="17" t="inlineStr">
        <is>
          <t>1321</t>
        </is>
      </c>
      <c r="E977" s="18" t="inlineStr">
        <is>
          <t>Manufacturing Managers</t>
        </is>
      </c>
      <c r="F977" s="18" t="inlineStr">
        <is>
          <t>반도체 / 전자회로 / 하드웨어</t>
        </is>
      </c>
      <c r="G977" s="17" t="inlineStr">
        <is>
          <t>vertical_promotion</t>
        </is>
      </c>
      <c r="H977" s="18" t="inlineStr">
        <is>
          <t>조직 관리 및 리더십, 예산/손익(P&amp;L) 관리, 전사 전략 수립</t>
        </is>
      </c>
      <c r="I977" s="18" t="inlineStr">
        <is>
          <t>MBA 또는 경영학 석사, 글로벌 비즈니스 협상력</t>
        </is>
      </c>
      <c r="J977" s="18" t="inlineStr">
        <is>
          <t>팀장/관리직 경력 3년 이상 (총 경력 7~10년+)</t>
        </is>
      </c>
      <c r="K977" s="17" t="inlineStr">
        <is>
          <t>★★★★☆</t>
        </is>
      </c>
      <c r="L977" s="21" t="inlineStr">
        <is>
          <t>+35.0%</t>
        </is>
      </c>
    </row>
    <row r="978">
      <c r="A978" s="15" t="inlineStr">
        <is>
          <t>TR-0977</t>
        </is>
      </c>
      <c r="B978" s="15" t="inlineStr">
        <is>
          <t>2163</t>
        </is>
      </c>
      <c r="C978" s="16" t="inlineStr">
        <is>
          <t>Product and Garment Designers</t>
        </is>
      </c>
      <c r="D978" s="15" t="inlineStr">
        <is>
          <t>1321</t>
        </is>
      </c>
      <c r="E978" s="16" t="inlineStr">
        <is>
          <t>Manufacturing Managers</t>
        </is>
      </c>
      <c r="F978" s="16" t="inlineStr">
        <is>
          <t>반도체 / 전자회로 / 하드웨어</t>
        </is>
      </c>
      <c r="G978" s="15" t="inlineStr">
        <is>
          <t>vertical_promotion</t>
        </is>
      </c>
      <c r="H978" s="16" t="inlineStr">
        <is>
          <t>조직 관리 및 리더십, 예산/손익(P&amp;L) 관리, 전사 전략 수립</t>
        </is>
      </c>
      <c r="I978" s="16" t="inlineStr">
        <is>
          <t>MBA 또는 경영학 석사, 글로벌 비즈니스 협상력</t>
        </is>
      </c>
      <c r="J978" s="16" t="inlineStr">
        <is>
          <t>팀장/관리직 경력 3년 이상 (총 경력 7~10년+)</t>
        </is>
      </c>
      <c r="K978" s="15" t="inlineStr">
        <is>
          <t>★★★★☆</t>
        </is>
      </c>
      <c r="L978" s="20" t="inlineStr">
        <is>
          <t>+35.0%</t>
        </is>
      </c>
    </row>
    <row r="979">
      <c r="A979" s="17" t="inlineStr">
        <is>
          <t>TR-0978</t>
        </is>
      </c>
      <c r="B979" s="17" t="inlineStr">
        <is>
          <t>2164</t>
        </is>
      </c>
      <c r="C979" s="18" t="inlineStr">
        <is>
          <t>Town and Traffic Planners</t>
        </is>
      </c>
      <c r="D979" s="17" t="inlineStr">
        <is>
          <t>1321</t>
        </is>
      </c>
      <c r="E979" s="18" t="inlineStr">
        <is>
          <t>Manufacturing Managers</t>
        </is>
      </c>
      <c r="F979" s="18" t="inlineStr">
        <is>
          <t>반도체 / 전자회로 / 하드웨어</t>
        </is>
      </c>
      <c r="G979" s="17" t="inlineStr">
        <is>
          <t>vertical_promotion</t>
        </is>
      </c>
      <c r="H979" s="18" t="inlineStr">
        <is>
          <t>조직 관리 및 리더십, 예산/손익(P&amp;L) 관리, 전사 전략 수립</t>
        </is>
      </c>
      <c r="I979" s="18" t="inlineStr">
        <is>
          <t>MBA 또는 경영학 석사, 글로벌 비즈니스 협상력</t>
        </is>
      </c>
      <c r="J979" s="18" t="inlineStr">
        <is>
          <t>팀장/관리직 경력 3년 이상 (총 경력 7~10년+)</t>
        </is>
      </c>
      <c r="K979" s="17" t="inlineStr">
        <is>
          <t>★★★★☆</t>
        </is>
      </c>
      <c r="L979" s="21" t="inlineStr">
        <is>
          <t>+35.0%</t>
        </is>
      </c>
    </row>
    <row r="980">
      <c r="A980" s="15" t="inlineStr">
        <is>
          <t>TR-0979</t>
        </is>
      </c>
      <c r="B980" s="15" t="inlineStr">
        <is>
          <t>2165</t>
        </is>
      </c>
      <c r="C980" s="16" t="inlineStr">
        <is>
          <t>Cartographers and Surveyors</t>
        </is>
      </c>
      <c r="D980" s="15" t="inlineStr">
        <is>
          <t>1321</t>
        </is>
      </c>
      <c r="E980" s="16" t="inlineStr">
        <is>
          <t>Manufacturing Managers</t>
        </is>
      </c>
      <c r="F980" s="16" t="inlineStr">
        <is>
          <t>반도체 / 전자회로 / 하드웨어</t>
        </is>
      </c>
      <c r="G980" s="15" t="inlineStr">
        <is>
          <t>vertical_promotion</t>
        </is>
      </c>
      <c r="H980" s="16" t="inlineStr">
        <is>
          <t>조직 관리 및 리더십, 예산/손익(P&amp;L) 관리, 전사 전략 수립</t>
        </is>
      </c>
      <c r="I980" s="16" t="inlineStr">
        <is>
          <t>MBA 또는 경영학 석사, 글로벌 비즈니스 협상력</t>
        </is>
      </c>
      <c r="J980" s="16" t="inlineStr">
        <is>
          <t>팀장/관리직 경력 3년 이상 (총 경력 7~10년+)</t>
        </is>
      </c>
      <c r="K980" s="15" t="inlineStr">
        <is>
          <t>★★★★☆</t>
        </is>
      </c>
      <c r="L980" s="20" t="inlineStr">
        <is>
          <t>+35.0%</t>
        </is>
      </c>
    </row>
    <row r="981">
      <c r="A981" s="17" t="inlineStr">
        <is>
          <t>TR-0980</t>
        </is>
      </c>
      <c r="B981" s="17" t="inlineStr">
        <is>
          <t>2166</t>
        </is>
      </c>
      <c r="C981" s="18" t="inlineStr">
        <is>
          <t>Graphic and Multimedia Designers</t>
        </is>
      </c>
      <c r="D981" s="17" t="inlineStr">
        <is>
          <t>1321</t>
        </is>
      </c>
      <c r="E981" s="18" t="inlineStr">
        <is>
          <t>Manufacturing Managers</t>
        </is>
      </c>
      <c r="F981" s="18" t="inlineStr">
        <is>
          <t>반도체 / 전자회로 / 하드웨어</t>
        </is>
      </c>
      <c r="G981" s="17" t="inlineStr">
        <is>
          <t>vertical_promotion</t>
        </is>
      </c>
      <c r="H981" s="18" t="inlineStr">
        <is>
          <t>조직 관리 및 리더십, 예산/손익(P&amp;L) 관리, 전사 전략 수립</t>
        </is>
      </c>
      <c r="I981" s="18" t="inlineStr">
        <is>
          <t>MBA 또는 경영학 석사, 글로벌 비즈니스 협상력</t>
        </is>
      </c>
      <c r="J981" s="18" t="inlineStr">
        <is>
          <t>팀장/관리직 경력 3년 이상 (총 경력 7~10년+)</t>
        </is>
      </c>
      <c r="K981" s="17" t="inlineStr">
        <is>
          <t>★★★★☆</t>
        </is>
      </c>
      <c r="L981" s="21" t="inlineStr">
        <is>
          <t>+35.0%</t>
        </is>
      </c>
    </row>
    <row r="982">
      <c r="A982" s="15" t="inlineStr">
        <is>
          <t>TR-0981</t>
        </is>
      </c>
      <c r="B982" s="15" t="inlineStr">
        <is>
          <t>2211</t>
        </is>
      </c>
      <c r="C982" s="16" t="inlineStr">
        <is>
          <t>Generalist Medical Practitioners</t>
        </is>
      </c>
      <c r="D982" s="15" t="inlineStr">
        <is>
          <t>1342</t>
        </is>
      </c>
      <c r="E982" s="16" t="inlineStr">
        <is>
          <t>Health Service Managers</t>
        </is>
      </c>
      <c r="F982" s="16" t="inlineStr">
        <is>
          <t>바이오 / 제약 / 임상헬스케어</t>
        </is>
      </c>
      <c r="G982" s="15" t="inlineStr">
        <is>
          <t>vertical_promotion</t>
        </is>
      </c>
      <c r="H982" s="16" t="inlineStr">
        <is>
          <t>조직 관리 및 리더십, 예산/손익(P&amp;L) 관리, 전사 전략 수립</t>
        </is>
      </c>
      <c r="I982" s="16" t="inlineStr">
        <is>
          <t>MBA 또는 경영학 석사, 글로벌 비즈니스 협상력</t>
        </is>
      </c>
      <c r="J982" s="16" t="inlineStr">
        <is>
          <t>팀장/관리직 경력 3년 이상 (총 경력 7~10년+)</t>
        </is>
      </c>
      <c r="K982" s="15" t="inlineStr">
        <is>
          <t>★★★★☆</t>
        </is>
      </c>
      <c r="L982" s="20" t="inlineStr">
        <is>
          <t>+35.0%</t>
        </is>
      </c>
    </row>
    <row r="983">
      <c r="A983" s="17" t="inlineStr">
        <is>
          <t>TR-0982</t>
        </is>
      </c>
      <c r="B983" s="17" t="inlineStr">
        <is>
          <t>2212</t>
        </is>
      </c>
      <c r="C983" s="18" t="inlineStr">
        <is>
          <t>Specialist Medical Practitioners</t>
        </is>
      </c>
      <c r="D983" s="17" t="inlineStr">
        <is>
          <t>1342</t>
        </is>
      </c>
      <c r="E983" s="18" t="inlineStr">
        <is>
          <t>Health Service Managers</t>
        </is>
      </c>
      <c r="F983" s="18" t="inlineStr">
        <is>
          <t>바이오 / 제약 / 임상헬스케어</t>
        </is>
      </c>
      <c r="G983" s="17" t="inlineStr">
        <is>
          <t>vertical_promotion</t>
        </is>
      </c>
      <c r="H983" s="18" t="inlineStr">
        <is>
          <t>조직 관리 및 리더십, 예산/손익(P&amp;L) 관리, 전사 전략 수립</t>
        </is>
      </c>
      <c r="I983" s="18" t="inlineStr">
        <is>
          <t>MBA 또는 경영학 석사, 글로벌 비즈니스 협상력</t>
        </is>
      </c>
      <c r="J983" s="18" t="inlineStr">
        <is>
          <t>팀장/관리직 경력 3년 이상 (총 경력 7~10년+)</t>
        </is>
      </c>
      <c r="K983" s="17" t="inlineStr">
        <is>
          <t>★★★★☆</t>
        </is>
      </c>
      <c r="L983" s="21" t="inlineStr">
        <is>
          <t>+35.0%</t>
        </is>
      </c>
    </row>
    <row r="984">
      <c r="A984" s="15" t="inlineStr">
        <is>
          <t>TR-0983</t>
        </is>
      </c>
      <c r="B984" s="15" t="inlineStr">
        <is>
          <t>2221</t>
        </is>
      </c>
      <c r="C984" s="16" t="inlineStr">
        <is>
          <t>Nursing Professionals</t>
        </is>
      </c>
      <c r="D984" s="15" t="inlineStr">
        <is>
          <t>1342</t>
        </is>
      </c>
      <c r="E984" s="16" t="inlineStr">
        <is>
          <t>Health Service Managers</t>
        </is>
      </c>
      <c r="F984" s="16" t="inlineStr">
        <is>
          <t>바이오 / 제약 / 임상헬스케어</t>
        </is>
      </c>
      <c r="G984" s="15" t="inlineStr">
        <is>
          <t>vertical_promotion</t>
        </is>
      </c>
      <c r="H984" s="16" t="inlineStr">
        <is>
          <t>조직 관리 및 리더십, 예산/손익(P&amp;L) 관리, 전사 전략 수립</t>
        </is>
      </c>
      <c r="I984" s="16" t="inlineStr">
        <is>
          <t>MBA 또는 경영학 석사, 글로벌 비즈니스 협상력</t>
        </is>
      </c>
      <c r="J984" s="16" t="inlineStr">
        <is>
          <t>팀장/관리직 경력 3년 이상 (총 경력 7~10년+)</t>
        </is>
      </c>
      <c r="K984" s="15" t="inlineStr">
        <is>
          <t>★★★★☆</t>
        </is>
      </c>
      <c r="L984" s="20" t="inlineStr">
        <is>
          <t>+35.0%</t>
        </is>
      </c>
    </row>
    <row r="985">
      <c r="A985" s="17" t="inlineStr">
        <is>
          <t>TR-0984</t>
        </is>
      </c>
      <c r="B985" s="17" t="inlineStr">
        <is>
          <t>2222</t>
        </is>
      </c>
      <c r="C985" s="18" t="inlineStr">
        <is>
          <t>Midwifery Professionals</t>
        </is>
      </c>
      <c r="D985" s="17" t="inlineStr">
        <is>
          <t>1342</t>
        </is>
      </c>
      <c r="E985" s="18" t="inlineStr">
        <is>
          <t>Health Service Managers</t>
        </is>
      </c>
      <c r="F985" s="18" t="inlineStr">
        <is>
          <t>바이오 / 제약 / 임상헬스케어</t>
        </is>
      </c>
      <c r="G985" s="17" t="inlineStr">
        <is>
          <t>vertical_promotion</t>
        </is>
      </c>
      <c r="H985" s="18" t="inlineStr">
        <is>
          <t>조직 관리 및 리더십, 예산/손익(P&amp;L) 관리, 전사 전략 수립</t>
        </is>
      </c>
      <c r="I985" s="18" t="inlineStr">
        <is>
          <t>MBA 또는 경영학 석사, 글로벌 비즈니스 협상력</t>
        </is>
      </c>
      <c r="J985" s="18" t="inlineStr">
        <is>
          <t>팀장/관리직 경력 3년 이상 (총 경력 7~10년+)</t>
        </is>
      </c>
      <c r="K985" s="17" t="inlineStr">
        <is>
          <t>★★★★☆</t>
        </is>
      </c>
      <c r="L985" s="21" t="inlineStr">
        <is>
          <t>+35.0%</t>
        </is>
      </c>
    </row>
    <row r="986">
      <c r="A986" s="15" t="inlineStr">
        <is>
          <t>TR-0985</t>
        </is>
      </c>
      <c r="B986" s="15" t="inlineStr">
        <is>
          <t>2230</t>
        </is>
      </c>
      <c r="C986" s="16" t="inlineStr">
        <is>
          <t>Traditional and Complementary Medicine Professionals</t>
        </is>
      </c>
      <c r="D986" s="15" t="inlineStr">
        <is>
          <t>1342</t>
        </is>
      </c>
      <c r="E986" s="16" t="inlineStr">
        <is>
          <t>Health Service Managers</t>
        </is>
      </c>
      <c r="F986" s="16" t="inlineStr">
        <is>
          <t>바이오 / 제약 / 임상헬스케어</t>
        </is>
      </c>
      <c r="G986" s="15" t="inlineStr">
        <is>
          <t>vertical_promotion</t>
        </is>
      </c>
      <c r="H986" s="16" t="inlineStr">
        <is>
          <t>조직 관리 및 리더십, 예산/손익(P&amp;L) 관리, 전사 전략 수립</t>
        </is>
      </c>
      <c r="I986" s="16" t="inlineStr">
        <is>
          <t>MBA 또는 경영학 석사, 글로벌 비즈니스 협상력</t>
        </is>
      </c>
      <c r="J986" s="16" t="inlineStr">
        <is>
          <t>팀장/관리직 경력 3년 이상 (총 경력 7~10년+)</t>
        </is>
      </c>
      <c r="K986" s="15" t="inlineStr">
        <is>
          <t>★★★★☆</t>
        </is>
      </c>
      <c r="L986" s="20" t="inlineStr">
        <is>
          <t>+35.0%</t>
        </is>
      </c>
    </row>
    <row r="987">
      <c r="A987" s="17" t="inlineStr">
        <is>
          <t>TR-0986</t>
        </is>
      </c>
      <c r="B987" s="17" t="inlineStr">
        <is>
          <t>2240</t>
        </is>
      </c>
      <c r="C987" s="18" t="inlineStr">
        <is>
          <t>Paramedical Practitioners</t>
        </is>
      </c>
      <c r="D987" s="17" t="inlineStr">
        <is>
          <t>1342</t>
        </is>
      </c>
      <c r="E987" s="18" t="inlineStr">
        <is>
          <t>Health Service Managers</t>
        </is>
      </c>
      <c r="F987" s="18" t="inlineStr">
        <is>
          <t>바이오 / 제약 / 임상헬스케어</t>
        </is>
      </c>
      <c r="G987" s="17" t="inlineStr">
        <is>
          <t>vertical_promotion</t>
        </is>
      </c>
      <c r="H987" s="18" t="inlineStr">
        <is>
          <t>조직 관리 및 리더십, 예산/손익(P&amp;L) 관리, 전사 전략 수립</t>
        </is>
      </c>
      <c r="I987" s="18" t="inlineStr">
        <is>
          <t>MBA 또는 경영학 석사, 글로벌 비즈니스 협상력</t>
        </is>
      </c>
      <c r="J987" s="18" t="inlineStr">
        <is>
          <t>팀장/관리직 경력 3년 이상 (총 경력 7~10년+)</t>
        </is>
      </c>
      <c r="K987" s="17" t="inlineStr">
        <is>
          <t>★★★★☆</t>
        </is>
      </c>
      <c r="L987" s="21" t="inlineStr">
        <is>
          <t>+35.0%</t>
        </is>
      </c>
    </row>
    <row r="988">
      <c r="A988" s="15" t="inlineStr">
        <is>
          <t>TR-0987</t>
        </is>
      </c>
      <c r="B988" s="15" t="inlineStr">
        <is>
          <t>2250</t>
        </is>
      </c>
      <c r="C988" s="16" t="inlineStr">
        <is>
          <t>Veterinarians</t>
        </is>
      </c>
      <c r="D988" s="15" t="inlineStr">
        <is>
          <t>1342</t>
        </is>
      </c>
      <c r="E988" s="16" t="inlineStr">
        <is>
          <t>Health Service Managers</t>
        </is>
      </c>
      <c r="F988" s="16" t="inlineStr">
        <is>
          <t>바이오 / 제약 / 임상헬스케어</t>
        </is>
      </c>
      <c r="G988" s="15" t="inlineStr">
        <is>
          <t>vertical_promotion</t>
        </is>
      </c>
      <c r="H988" s="16" t="inlineStr">
        <is>
          <t>조직 관리 및 리더십, 예산/손익(P&amp;L) 관리, 전사 전략 수립</t>
        </is>
      </c>
      <c r="I988" s="16" t="inlineStr">
        <is>
          <t>MBA 또는 경영학 석사, 글로벌 비즈니스 협상력</t>
        </is>
      </c>
      <c r="J988" s="16" t="inlineStr">
        <is>
          <t>팀장/관리직 경력 3년 이상 (총 경력 7~10년+)</t>
        </is>
      </c>
      <c r="K988" s="15" t="inlineStr">
        <is>
          <t>★★★★☆</t>
        </is>
      </c>
      <c r="L988" s="20" t="inlineStr">
        <is>
          <t>+35.0%</t>
        </is>
      </c>
    </row>
    <row r="989">
      <c r="A989" s="17" t="inlineStr">
        <is>
          <t>TR-0988</t>
        </is>
      </c>
      <c r="B989" s="17" t="inlineStr">
        <is>
          <t>2261</t>
        </is>
      </c>
      <c r="C989" s="18" t="inlineStr">
        <is>
          <t>Dentists</t>
        </is>
      </c>
      <c r="D989" s="17" t="inlineStr">
        <is>
          <t>1342</t>
        </is>
      </c>
      <c r="E989" s="18" t="inlineStr">
        <is>
          <t>Health Service Managers</t>
        </is>
      </c>
      <c r="F989" s="18" t="inlineStr">
        <is>
          <t>바이오 / 제약 / 임상헬스케어</t>
        </is>
      </c>
      <c r="G989" s="17" t="inlineStr">
        <is>
          <t>vertical_promotion</t>
        </is>
      </c>
      <c r="H989" s="18" t="inlineStr">
        <is>
          <t>조직 관리 및 리더십, 예산/손익(P&amp;L) 관리, 전사 전략 수립</t>
        </is>
      </c>
      <c r="I989" s="18" t="inlineStr">
        <is>
          <t>MBA 또는 경영학 석사, 글로벌 비즈니스 협상력</t>
        </is>
      </c>
      <c r="J989" s="18" t="inlineStr">
        <is>
          <t>팀장/관리직 경력 3년 이상 (총 경력 7~10년+)</t>
        </is>
      </c>
      <c r="K989" s="17" t="inlineStr">
        <is>
          <t>★★★★☆</t>
        </is>
      </c>
      <c r="L989" s="21" t="inlineStr">
        <is>
          <t>+35.0%</t>
        </is>
      </c>
    </row>
    <row r="990">
      <c r="A990" s="15" t="inlineStr">
        <is>
          <t>TR-0989</t>
        </is>
      </c>
      <c r="B990" s="15" t="inlineStr">
        <is>
          <t>2262</t>
        </is>
      </c>
      <c r="C990" s="16" t="inlineStr">
        <is>
          <t>Pharmacists</t>
        </is>
      </c>
      <c r="D990" s="15" t="inlineStr">
        <is>
          <t>1342</t>
        </is>
      </c>
      <c r="E990" s="16" t="inlineStr">
        <is>
          <t>Health Service Managers</t>
        </is>
      </c>
      <c r="F990" s="16" t="inlineStr">
        <is>
          <t>바이오 / 제약 / 임상헬스케어</t>
        </is>
      </c>
      <c r="G990" s="15" t="inlineStr">
        <is>
          <t>vertical_promotion</t>
        </is>
      </c>
      <c r="H990" s="16" t="inlineStr">
        <is>
          <t>조직 관리 및 리더십, 예산/손익(P&amp;L) 관리, 전사 전략 수립</t>
        </is>
      </c>
      <c r="I990" s="16" t="inlineStr">
        <is>
          <t>MBA 또는 경영학 석사, 글로벌 비즈니스 협상력</t>
        </is>
      </c>
      <c r="J990" s="16" t="inlineStr">
        <is>
          <t>팀장/관리직 경력 3년 이상 (총 경력 7~10년+)</t>
        </is>
      </c>
      <c r="K990" s="15" t="inlineStr">
        <is>
          <t>★★★★☆</t>
        </is>
      </c>
      <c r="L990" s="20" t="inlineStr">
        <is>
          <t>+35.0%</t>
        </is>
      </c>
    </row>
    <row r="991">
      <c r="A991" s="17" t="inlineStr">
        <is>
          <t>TR-0990</t>
        </is>
      </c>
      <c r="B991" s="17" t="inlineStr">
        <is>
          <t>2263</t>
        </is>
      </c>
      <c r="C991" s="18" t="inlineStr">
        <is>
          <t>Environmental and Occupational Health and Hygiene Professionals</t>
        </is>
      </c>
      <c r="D991" s="17" t="inlineStr">
        <is>
          <t>1342</t>
        </is>
      </c>
      <c r="E991" s="18" t="inlineStr">
        <is>
          <t>Health Service Managers</t>
        </is>
      </c>
      <c r="F991" s="18" t="inlineStr">
        <is>
          <t>바이오 / 제약 / 임상헬스케어</t>
        </is>
      </c>
      <c r="G991" s="17" t="inlineStr">
        <is>
          <t>vertical_promotion</t>
        </is>
      </c>
      <c r="H991" s="18" t="inlineStr">
        <is>
          <t>조직 관리 및 리더십, 예산/손익(P&amp;L) 관리, 전사 전략 수립</t>
        </is>
      </c>
      <c r="I991" s="18" t="inlineStr">
        <is>
          <t>MBA 또는 경영학 석사, 글로벌 비즈니스 협상력</t>
        </is>
      </c>
      <c r="J991" s="18" t="inlineStr">
        <is>
          <t>팀장/관리직 경력 3년 이상 (총 경력 7~10년+)</t>
        </is>
      </c>
      <c r="K991" s="17" t="inlineStr">
        <is>
          <t>★★★★☆</t>
        </is>
      </c>
      <c r="L991" s="21" t="inlineStr">
        <is>
          <t>+35.0%</t>
        </is>
      </c>
    </row>
    <row r="992">
      <c r="A992" s="15" t="inlineStr">
        <is>
          <t>TR-0991</t>
        </is>
      </c>
      <c r="B992" s="15" t="inlineStr">
        <is>
          <t>2264</t>
        </is>
      </c>
      <c r="C992" s="16" t="inlineStr">
        <is>
          <t>Physiotherapists</t>
        </is>
      </c>
      <c r="D992" s="15" t="inlineStr">
        <is>
          <t>1342</t>
        </is>
      </c>
      <c r="E992" s="16" t="inlineStr">
        <is>
          <t>Health Service Managers</t>
        </is>
      </c>
      <c r="F992" s="16" t="inlineStr">
        <is>
          <t>바이오 / 제약 / 임상헬스케어</t>
        </is>
      </c>
      <c r="G992" s="15" t="inlineStr">
        <is>
          <t>vertical_promotion</t>
        </is>
      </c>
      <c r="H992" s="16" t="inlineStr">
        <is>
          <t>조직 관리 및 리더십, 예산/손익(P&amp;L) 관리, 전사 전략 수립</t>
        </is>
      </c>
      <c r="I992" s="16" t="inlineStr">
        <is>
          <t>MBA 또는 경영학 석사, 글로벌 비즈니스 협상력</t>
        </is>
      </c>
      <c r="J992" s="16" t="inlineStr">
        <is>
          <t>팀장/관리직 경력 3년 이상 (총 경력 7~10년+)</t>
        </is>
      </c>
      <c r="K992" s="15" t="inlineStr">
        <is>
          <t>★★★★☆</t>
        </is>
      </c>
      <c r="L992" s="20" t="inlineStr">
        <is>
          <t>+35.0%</t>
        </is>
      </c>
    </row>
    <row r="993">
      <c r="A993" s="17" t="inlineStr">
        <is>
          <t>TR-0992</t>
        </is>
      </c>
      <c r="B993" s="17" t="inlineStr">
        <is>
          <t>2265</t>
        </is>
      </c>
      <c r="C993" s="18" t="inlineStr">
        <is>
          <t>Dieticians and Nutritionists</t>
        </is>
      </c>
      <c r="D993" s="17" t="inlineStr">
        <is>
          <t>1342</t>
        </is>
      </c>
      <c r="E993" s="18" t="inlineStr">
        <is>
          <t>Health Service Managers</t>
        </is>
      </c>
      <c r="F993" s="18" t="inlineStr">
        <is>
          <t>바이오 / 제약 / 임상헬스케어</t>
        </is>
      </c>
      <c r="G993" s="17" t="inlineStr">
        <is>
          <t>vertical_promotion</t>
        </is>
      </c>
      <c r="H993" s="18" t="inlineStr">
        <is>
          <t>조직 관리 및 리더십, 예산/손익(P&amp;L) 관리, 전사 전략 수립</t>
        </is>
      </c>
      <c r="I993" s="18" t="inlineStr">
        <is>
          <t>MBA 또는 경영학 석사, 글로벌 비즈니스 협상력</t>
        </is>
      </c>
      <c r="J993" s="18" t="inlineStr">
        <is>
          <t>팀장/관리직 경력 3년 이상 (총 경력 7~10년+)</t>
        </is>
      </c>
      <c r="K993" s="17" t="inlineStr">
        <is>
          <t>★★★★☆</t>
        </is>
      </c>
      <c r="L993" s="21" t="inlineStr">
        <is>
          <t>+35.0%</t>
        </is>
      </c>
    </row>
    <row r="994">
      <c r="A994" s="15" t="inlineStr">
        <is>
          <t>TR-0993</t>
        </is>
      </c>
      <c r="B994" s="15" t="inlineStr">
        <is>
          <t>2266</t>
        </is>
      </c>
      <c r="C994" s="16" t="inlineStr">
        <is>
          <t>Audiologists and Speech Therapists</t>
        </is>
      </c>
      <c r="D994" s="15" t="inlineStr">
        <is>
          <t>1342</t>
        </is>
      </c>
      <c r="E994" s="16" t="inlineStr">
        <is>
          <t>Health Service Managers</t>
        </is>
      </c>
      <c r="F994" s="16" t="inlineStr">
        <is>
          <t>바이오 / 제약 / 임상헬스케어</t>
        </is>
      </c>
      <c r="G994" s="15" t="inlineStr">
        <is>
          <t>vertical_promotion</t>
        </is>
      </c>
      <c r="H994" s="16" t="inlineStr">
        <is>
          <t>조직 관리 및 리더십, 예산/손익(P&amp;L) 관리, 전사 전략 수립</t>
        </is>
      </c>
      <c r="I994" s="16" t="inlineStr">
        <is>
          <t>MBA 또는 경영학 석사, 글로벌 비즈니스 협상력</t>
        </is>
      </c>
      <c r="J994" s="16" t="inlineStr">
        <is>
          <t>팀장/관리직 경력 3년 이상 (총 경력 7~10년+)</t>
        </is>
      </c>
      <c r="K994" s="15" t="inlineStr">
        <is>
          <t>★★★★☆</t>
        </is>
      </c>
      <c r="L994" s="20" t="inlineStr">
        <is>
          <t>+35.0%</t>
        </is>
      </c>
    </row>
    <row r="995">
      <c r="A995" s="17" t="inlineStr">
        <is>
          <t>TR-0994</t>
        </is>
      </c>
      <c r="B995" s="17" t="inlineStr">
        <is>
          <t>2267</t>
        </is>
      </c>
      <c r="C995" s="18" t="inlineStr">
        <is>
          <t>Optometrists and Ophthalmic Opticians</t>
        </is>
      </c>
      <c r="D995" s="17" t="inlineStr">
        <is>
          <t>1342</t>
        </is>
      </c>
      <c r="E995" s="18" t="inlineStr">
        <is>
          <t>Health Service Managers</t>
        </is>
      </c>
      <c r="F995" s="18" t="inlineStr">
        <is>
          <t>바이오 / 제약 / 임상헬스케어</t>
        </is>
      </c>
      <c r="G995" s="17" t="inlineStr">
        <is>
          <t>vertical_promotion</t>
        </is>
      </c>
      <c r="H995" s="18" t="inlineStr">
        <is>
          <t>조직 관리 및 리더십, 예산/손익(P&amp;L) 관리, 전사 전략 수립</t>
        </is>
      </c>
      <c r="I995" s="18" t="inlineStr">
        <is>
          <t>MBA 또는 경영학 석사, 글로벌 비즈니스 협상력</t>
        </is>
      </c>
      <c r="J995" s="18" t="inlineStr">
        <is>
          <t>팀장/관리직 경력 3년 이상 (총 경력 7~10년+)</t>
        </is>
      </c>
      <c r="K995" s="17" t="inlineStr">
        <is>
          <t>★★★★☆</t>
        </is>
      </c>
      <c r="L995" s="21" t="inlineStr">
        <is>
          <t>+35.0%</t>
        </is>
      </c>
    </row>
    <row r="996">
      <c r="A996" s="15" t="inlineStr">
        <is>
          <t>TR-0995</t>
        </is>
      </c>
      <c r="B996" s="15" t="inlineStr">
        <is>
          <t>2269</t>
        </is>
      </c>
      <c r="C996" s="16" t="inlineStr">
        <is>
          <t>Health Professionals Not Elsewhere Classified</t>
        </is>
      </c>
      <c r="D996" s="15" t="inlineStr">
        <is>
          <t>1342</t>
        </is>
      </c>
      <c r="E996" s="16" t="inlineStr">
        <is>
          <t>Health Service Managers</t>
        </is>
      </c>
      <c r="F996" s="16" t="inlineStr">
        <is>
          <t>바이오 / 제약 / 임상헬스케어</t>
        </is>
      </c>
      <c r="G996" s="15" t="inlineStr">
        <is>
          <t>vertical_promotion</t>
        </is>
      </c>
      <c r="H996" s="16" t="inlineStr">
        <is>
          <t>조직 관리 및 리더십, 예산/손익(P&amp;L) 관리, 전사 전략 수립</t>
        </is>
      </c>
      <c r="I996" s="16" t="inlineStr">
        <is>
          <t>MBA 또는 경영학 석사, 글로벌 비즈니스 협상력</t>
        </is>
      </c>
      <c r="J996" s="16" t="inlineStr">
        <is>
          <t>팀장/관리직 경력 3년 이상 (총 경력 7~10년+)</t>
        </is>
      </c>
      <c r="K996" s="15" t="inlineStr">
        <is>
          <t>★★★★☆</t>
        </is>
      </c>
      <c r="L996" s="20" t="inlineStr">
        <is>
          <t>+35.0%</t>
        </is>
      </c>
    </row>
    <row r="997">
      <c r="A997" s="17" t="inlineStr">
        <is>
          <t>TR-0996</t>
        </is>
      </c>
      <c r="B997" s="17" t="inlineStr">
        <is>
          <t>2342</t>
        </is>
      </c>
      <c r="C997" s="18" t="inlineStr">
        <is>
          <t>Early Childhood Educators</t>
        </is>
      </c>
      <c r="D997" s="17" t="inlineStr">
        <is>
          <t>1345</t>
        </is>
      </c>
      <c r="E997" s="18" t="inlineStr">
        <is>
          <t>Education Managers</t>
        </is>
      </c>
      <c r="F997" s="18" t="inlineStr">
        <is>
          <t>경영전략 / 인사 / 사업개발</t>
        </is>
      </c>
      <c r="G997" s="17" t="inlineStr">
        <is>
          <t>vertical_promotion</t>
        </is>
      </c>
      <c r="H997" s="18" t="inlineStr">
        <is>
          <t>조직 관리 및 리더십, 예산/손익(P&amp;L) 관리, 전사 전략 수립</t>
        </is>
      </c>
      <c r="I997" s="18" t="inlineStr">
        <is>
          <t>MBA 또는 경영학 석사, 글로벌 비즈니스 협상력</t>
        </is>
      </c>
      <c r="J997" s="18" t="inlineStr">
        <is>
          <t>팀장/관리직 경력 3년 이상 (총 경력 7~10년+)</t>
        </is>
      </c>
      <c r="K997" s="17" t="inlineStr">
        <is>
          <t>★★★★☆</t>
        </is>
      </c>
      <c r="L997" s="21" t="inlineStr">
        <is>
          <t>+35.0%</t>
        </is>
      </c>
    </row>
    <row r="998">
      <c r="A998" s="15" t="inlineStr">
        <is>
          <t>TR-0997</t>
        </is>
      </c>
      <c r="B998" s="15" t="inlineStr">
        <is>
          <t>2351</t>
        </is>
      </c>
      <c r="C998" s="16" t="inlineStr">
        <is>
          <t>Education Methods Specialists</t>
        </is>
      </c>
      <c r="D998" s="15" t="inlineStr">
        <is>
          <t>1345</t>
        </is>
      </c>
      <c r="E998" s="16" t="inlineStr">
        <is>
          <t>Education Managers</t>
        </is>
      </c>
      <c r="F998" s="16" t="inlineStr">
        <is>
          <t>경영전략 / 인사 / 사업개발</t>
        </is>
      </c>
      <c r="G998" s="15" t="inlineStr">
        <is>
          <t>vertical_promotion</t>
        </is>
      </c>
      <c r="H998" s="16" t="inlineStr">
        <is>
          <t>조직 관리 및 리더십, 예산/손익(P&amp;L) 관리, 전사 전략 수립</t>
        </is>
      </c>
      <c r="I998" s="16" t="inlineStr">
        <is>
          <t>MBA 또는 경영학 석사, 글로벌 비즈니스 협상력</t>
        </is>
      </c>
      <c r="J998" s="16" t="inlineStr">
        <is>
          <t>팀장/관리직 경력 3년 이상 (총 경력 7~10년+)</t>
        </is>
      </c>
      <c r="K998" s="15" t="inlineStr">
        <is>
          <t>★★★★☆</t>
        </is>
      </c>
      <c r="L998" s="20" t="inlineStr">
        <is>
          <t>+35.0%</t>
        </is>
      </c>
    </row>
    <row r="999">
      <c r="A999" s="17" t="inlineStr">
        <is>
          <t>TR-0998</t>
        </is>
      </c>
      <c r="B999" s="17" t="inlineStr">
        <is>
          <t>2352</t>
        </is>
      </c>
      <c r="C999" s="18" t="inlineStr">
        <is>
          <t>Special Needs Teachers</t>
        </is>
      </c>
      <c r="D999" s="17" t="inlineStr">
        <is>
          <t>1345</t>
        </is>
      </c>
      <c r="E999" s="18" t="inlineStr">
        <is>
          <t>Education Managers</t>
        </is>
      </c>
      <c r="F999" s="18" t="inlineStr">
        <is>
          <t>경영전략 / 인사 / 사업개발</t>
        </is>
      </c>
      <c r="G999" s="17" t="inlineStr">
        <is>
          <t>vertical_promotion</t>
        </is>
      </c>
      <c r="H999" s="18" t="inlineStr">
        <is>
          <t>조직 관리 및 리더십, 예산/손익(P&amp;L) 관리, 전사 전략 수립</t>
        </is>
      </c>
      <c r="I999" s="18" t="inlineStr">
        <is>
          <t>MBA 또는 경영학 석사, 글로벌 비즈니스 협상력</t>
        </is>
      </c>
      <c r="J999" s="18" t="inlineStr">
        <is>
          <t>팀장/관리직 경력 3년 이상 (총 경력 7~10년+)</t>
        </is>
      </c>
      <c r="K999" s="17" t="inlineStr">
        <is>
          <t>★★★★☆</t>
        </is>
      </c>
      <c r="L999" s="21" t="inlineStr">
        <is>
          <t>+35.0%</t>
        </is>
      </c>
    </row>
    <row r="1000">
      <c r="A1000" s="15" t="inlineStr">
        <is>
          <t>TR-0999</t>
        </is>
      </c>
      <c r="B1000" s="15" t="inlineStr">
        <is>
          <t>2353</t>
        </is>
      </c>
      <c r="C1000" s="16" t="inlineStr">
        <is>
          <t>Other Language Teachers</t>
        </is>
      </c>
      <c r="D1000" s="15" t="inlineStr">
        <is>
          <t>1345</t>
        </is>
      </c>
      <c r="E1000" s="16" t="inlineStr">
        <is>
          <t>Education Managers</t>
        </is>
      </c>
      <c r="F1000" s="16" t="inlineStr">
        <is>
          <t>경영전략 / 인사 / 사업개발</t>
        </is>
      </c>
      <c r="G1000" s="15" t="inlineStr">
        <is>
          <t>vertical_promotion</t>
        </is>
      </c>
      <c r="H1000" s="16" t="inlineStr">
        <is>
          <t>조직 관리 및 리더십, 예산/손익(P&amp;L) 관리, 전사 전략 수립</t>
        </is>
      </c>
      <c r="I1000" s="16" t="inlineStr">
        <is>
          <t>MBA 또는 경영학 석사, 글로벌 비즈니스 협상력</t>
        </is>
      </c>
      <c r="J1000" s="16" t="inlineStr">
        <is>
          <t>팀장/관리직 경력 3년 이상 (총 경력 7~10년+)</t>
        </is>
      </c>
      <c r="K1000" s="15" t="inlineStr">
        <is>
          <t>★★★★☆</t>
        </is>
      </c>
      <c r="L1000" s="20" t="inlineStr">
        <is>
          <t>+35.0%</t>
        </is>
      </c>
    </row>
    <row r="1001">
      <c r="A1001" s="17" t="inlineStr">
        <is>
          <t>TR-1000</t>
        </is>
      </c>
      <c r="B1001" s="17" t="inlineStr">
        <is>
          <t>2354</t>
        </is>
      </c>
      <c r="C1001" s="18" t="inlineStr">
        <is>
          <t>Other Music Teachers</t>
        </is>
      </c>
      <c r="D1001" s="17" t="inlineStr">
        <is>
          <t>1345</t>
        </is>
      </c>
      <c r="E1001" s="18" t="inlineStr">
        <is>
          <t>Education Managers</t>
        </is>
      </c>
      <c r="F1001" s="18" t="inlineStr">
        <is>
          <t>경영전략 / 인사 / 사업개발</t>
        </is>
      </c>
      <c r="G1001" s="17" t="inlineStr">
        <is>
          <t>vertical_promotion</t>
        </is>
      </c>
      <c r="H1001" s="18" t="inlineStr">
        <is>
          <t>조직 관리 및 리더십, 예산/손익(P&amp;L) 관리, 전사 전략 수립</t>
        </is>
      </c>
      <c r="I1001" s="18" t="inlineStr">
        <is>
          <t>MBA 또는 경영학 석사, 글로벌 비즈니스 협상력</t>
        </is>
      </c>
      <c r="J1001" s="18" t="inlineStr">
        <is>
          <t>팀장/관리직 경력 3년 이상 (총 경력 7~10년+)</t>
        </is>
      </c>
      <c r="K1001" s="17" t="inlineStr">
        <is>
          <t>★★★★☆</t>
        </is>
      </c>
      <c r="L1001" s="21" t="inlineStr">
        <is>
          <t>+35.0%</t>
        </is>
      </c>
    </row>
    <row r="1002">
      <c r="A1002" s="15" t="inlineStr">
        <is>
          <t>TR-1001</t>
        </is>
      </c>
      <c r="B1002" s="15" t="inlineStr">
        <is>
          <t>2355</t>
        </is>
      </c>
      <c r="C1002" s="16" t="inlineStr">
        <is>
          <t>Other Arts Teachers</t>
        </is>
      </c>
      <c r="D1002" s="15" t="inlineStr">
        <is>
          <t>1345</t>
        </is>
      </c>
      <c r="E1002" s="16" t="inlineStr">
        <is>
          <t>Education Managers</t>
        </is>
      </c>
      <c r="F1002" s="16" t="inlineStr">
        <is>
          <t>경영전략 / 인사 / 사업개발</t>
        </is>
      </c>
      <c r="G1002" s="15" t="inlineStr">
        <is>
          <t>vertical_promotion</t>
        </is>
      </c>
      <c r="H1002" s="16" t="inlineStr">
        <is>
          <t>조직 관리 및 리더십, 예산/손익(P&amp;L) 관리, 전사 전략 수립</t>
        </is>
      </c>
      <c r="I1002" s="16" t="inlineStr">
        <is>
          <t>MBA 또는 경영학 석사, 글로벌 비즈니스 협상력</t>
        </is>
      </c>
      <c r="J1002" s="16" t="inlineStr">
        <is>
          <t>팀장/관리직 경력 3년 이상 (총 경력 7~10년+)</t>
        </is>
      </c>
      <c r="K1002" s="15" t="inlineStr">
        <is>
          <t>★★★★☆</t>
        </is>
      </c>
      <c r="L1002" s="20" t="inlineStr">
        <is>
          <t>+35.0%</t>
        </is>
      </c>
    </row>
    <row r="1003">
      <c r="A1003" s="17" t="inlineStr">
        <is>
          <t>TR-1002</t>
        </is>
      </c>
      <c r="B1003" s="17" t="inlineStr">
        <is>
          <t>2356</t>
        </is>
      </c>
      <c r="C1003" s="18" t="inlineStr">
        <is>
          <t>Information Technology Trainers</t>
        </is>
      </c>
      <c r="D1003" s="17" t="inlineStr">
        <is>
          <t>1345</t>
        </is>
      </c>
      <c r="E1003" s="18" t="inlineStr">
        <is>
          <t>Education Managers</t>
        </is>
      </c>
      <c r="F1003" s="18" t="inlineStr">
        <is>
          <t>경영전략 / 인사 / 사업개발</t>
        </is>
      </c>
      <c r="G1003" s="17" t="inlineStr">
        <is>
          <t>vertical_promotion</t>
        </is>
      </c>
      <c r="H1003" s="18" t="inlineStr">
        <is>
          <t>조직 관리 및 리더십, 예산/손익(P&amp;L) 관리, 전사 전략 수립</t>
        </is>
      </c>
      <c r="I1003" s="18" t="inlineStr">
        <is>
          <t>MBA 또는 경영학 석사, 글로벌 비즈니스 협상력</t>
        </is>
      </c>
      <c r="J1003" s="18" t="inlineStr">
        <is>
          <t>팀장/관리직 경력 3년 이상 (총 경력 7~10년+)</t>
        </is>
      </c>
      <c r="K1003" s="17" t="inlineStr">
        <is>
          <t>★★★★☆</t>
        </is>
      </c>
      <c r="L1003" s="21" t="inlineStr">
        <is>
          <t>+35.0%</t>
        </is>
      </c>
    </row>
    <row r="1004">
      <c r="A1004" s="15" t="inlineStr">
        <is>
          <t>TR-1003</t>
        </is>
      </c>
      <c r="B1004" s="15" t="inlineStr">
        <is>
          <t>2359</t>
        </is>
      </c>
      <c r="C1004" s="16" t="inlineStr">
        <is>
          <t>Teaching Professionals Not Elsewhere Classified</t>
        </is>
      </c>
      <c r="D1004" s="15" t="inlineStr">
        <is>
          <t>1345</t>
        </is>
      </c>
      <c r="E1004" s="16" t="inlineStr">
        <is>
          <t>Education Managers</t>
        </is>
      </c>
      <c r="F1004" s="16" t="inlineStr">
        <is>
          <t>경영전략 / 인사 / 사업개발</t>
        </is>
      </c>
      <c r="G1004" s="15" t="inlineStr">
        <is>
          <t>vertical_promotion</t>
        </is>
      </c>
      <c r="H1004" s="16" t="inlineStr">
        <is>
          <t>조직 관리 및 리더십, 예산/손익(P&amp;L) 관리, 전사 전략 수립</t>
        </is>
      </c>
      <c r="I1004" s="16" t="inlineStr">
        <is>
          <t>MBA 또는 경영학 석사, 글로벌 비즈니스 협상력</t>
        </is>
      </c>
      <c r="J1004" s="16" t="inlineStr">
        <is>
          <t>팀장/관리직 경력 3년 이상 (총 경력 7~10년+)</t>
        </is>
      </c>
      <c r="K1004" s="15" t="inlineStr">
        <is>
          <t>★★★★☆</t>
        </is>
      </c>
      <c r="L1004" s="20" t="inlineStr">
        <is>
          <t>+35.0%</t>
        </is>
      </c>
    </row>
    <row r="1005">
      <c r="A1005" s="17" t="inlineStr">
        <is>
          <t>TR-1004</t>
        </is>
      </c>
      <c r="B1005" s="17" t="inlineStr">
        <is>
          <t>2412</t>
        </is>
      </c>
      <c r="C1005" s="18" t="inlineStr">
        <is>
          <t>Financial and Investment Advisers</t>
        </is>
      </c>
      <c r="D1005" s="17" t="inlineStr">
        <is>
          <t>1211</t>
        </is>
      </c>
      <c r="E1005" s="18" t="inlineStr">
        <is>
          <t>Finance Managers</t>
        </is>
      </c>
      <c r="F1005" s="18" t="inlineStr">
        <is>
          <t>금융투자 / 핀테크 / 리스크</t>
        </is>
      </c>
      <c r="G1005" s="17" t="inlineStr">
        <is>
          <t>vertical_promotion</t>
        </is>
      </c>
      <c r="H1005" s="18" t="inlineStr">
        <is>
          <t>조직 관리 및 리더십, 예산/손익(P&amp;L) 관리, 전사 전략 수립</t>
        </is>
      </c>
      <c r="I1005" s="18" t="inlineStr">
        <is>
          <t>MBA 또는 경영학 석사, 글로벌 비즈니스 협상력</t>
        </is>
      </c>
      <c r="J1005" s="18" t="inlineStr">
        <is>
          <t>팀장/관리직 경력 3년 이상 (총 경력 7~10년+)</t>
        </is>
      </c>
      <c r="K1005" s="17" t="inlineStr">
        <is>
          <t>★★★★☆</t>
        </is>
      </c>
      <c r="L1005" s="21" t="inlineStr">
        <is>
          <t>+35.0%</t>
        </is>
      </c>
    </row>
    <row r="1006">
      <c r="A1006" s="15" t="inlineStr">
        <is>
          <t>TR-1005</t>
        </is>
      </c>
      <c r="B1006" s="15" t="inlineStr">
        <is>
          <t>2413</t>
        </is>
      </c>
      <c r="C1006" s="16" t="inlineStr">
        <is>
          <t>Financial Analysts</t>
        </is>
      </c>
      <c r="D1006" s="15" t="inlineStr">
        <is>
          <t>1211</t>
        </is>
      </c>
      <c r="E1006" s="16" t="inlineStr">
        <is>
          <t>Finance Managers</t>
        </is>
      </c>
      <c r="F1006" s="16" t="inlineStr">
        <is>
          <t>금융투자 / 핀테크 / 리스크</t>
        </is>
      </c>
      <c r="G1006" s="15" t="inlineStr">
        <is>
          <t>vertical_promotion</t>
        </is>
      </c>
      <c r="H1006" s="16" t="inlineStr">
        <is>
          <t>조직 관리 및 리더십, 예산/손익(P&amp;L) 관리, 전사 전략 수립</t>
        </is>
      </c>
      <c r="I1006" s="16" t="inlineStr">
        <is>
          <t>MBA 또는 경영학 석사, 글로벌 비즈니스 협상력</t>
        </is>
      </c>
      <c r="J1006" s="16" t="inlineStr">
        <is>
          <t>팀장/관리직 경력 3년 이상 (총 경력 7~10년+)</t>
        </is>
      </c>
      <c r="K1006" s="15" t="inlineStr">
        <is>
          <t>★★★★☆</t>
        </is>
      </c>
      <c r="L1006" s="20" t="inlineStr">
        <is>
          <t>+35.0%</t>
        </is>
      </c>
    </row>
    <row r="1007">
      <c r="A1007" s="17" t="inlineStr">
        <is>
          <t>TR-1006</t>
        </is>
      </c>
      <c r="B1007" s="17" t="inlineStr">
        <is>
          <t>2421</t>
        </is>
      </c>
      <c r="C1007" s="18" t="inlineStr">
        <is>
          <t>Management and Organization Analysts</t>
        </is>
      </c>
      <c r="D1007" s="17" t="inlineStr">
        <is>
          <t>1211</t>
        </is>
      </c>
      <c r="E1007" s="18" t="inlineStr">
        <is>
          <t>Finance Managers</t>
        </is>
      </c>
      <c r="F1007" s="18" t="inlineStr">
        <is>
          <t>금융투자 / 핀테크 / 리스크</t>
        </is>
      </c>
      <c r="G1007" s="17" t="inlineStr">
        <is>
          <t>vertical_promotion</t>
        </is>
      </c>
      <c r="H1007" s="18" t="inlineStr">
        <is>
          <t>조직 관리 및 리더십, 예산/손익(P&amp;L) 관리, 전사 전략 수립</t>
        </is>
      </c>
      <c r="I1007" s="18" t="inlineStr">
        <is>
          <t>MBA 또는 경영학 석사, 글로벌 비즈니스 협상력</t>
        </is>
      </c>
      <c r="J1007" s="18" t="inlineStr">
        <is>
          <t>팀장/관리직 경력 3년 이상 (총 경력 7~10년+)</t>
        </is>
      </c>
      <c r="K1007" s="17" t="inlineStr">
        <is>
          <t>★★★★☆</t>
        </is>
      </c>
      <c r="L1007" s="21" t="inlineStr">
        <is>
          <t>+35.0%</t>
        </is>
      </c>
    </row>
    <row r="1008">
      <c r="A1008" s="15" t="inlineStr">
        <is>
          <t>TR-1007</t>
        </is>
      </c>
      <c r="B1008" s="15" t="inlineStr">
        <is>
          <t>2422</t>
        </is>
      </c>
      <c r="C1008" s="16" t="inlineStr">
        <is>
          <t>Policy Administration Professionals</t>
        </is>
      </c>
      <c r="D1008" s="15" t="inlineStr">
        <is>
          <t>1211</t>
        </is>
      </c>
      <c r="E1008" s="16" t="inlineStr">
        <is>
          <t>Finance Managers</t>
        </is>
      </c>
      <c r="F1008" s="16" t="inlineStr">
        <is>
          <t>금융투자 / 핀테크 / 리스크</t>
        </is>
      </c>
      <c r="G1008" s="15" t="inlineStr">
        <is>
          <t>vertical_promotion</t>
        </is>
      </c>
      <c r="H1008" s="16" t="inlineStr">
        <is>
          <t>조직 관리 및 리더십, 예산/손익(P&amp;L) 관리, 전사 전략 수립</t>
        </is>
      </c>
      <c r="I1008" s="16" t="inlineStr">
        <is>
          <t>MBA 또는 경영학 석사, 글로벌 비즈니스 협상력</t>
        </is>
      </c>
      <c r="J1008" s="16" t="inlineStr">
        <is>
          <t>팀장/관리직 경력 3년 이상 (총 경력 7~10년+)</t>
        </is>
      </c>
      <c r="K1008" s="15" t="inlineStr">
        <is>
          <t>★★★★☆</t>
        </is>
      </c>
      <c r="L1008" s="20" t="inlineStr">
        <is>
          <t>+35.0%</t>
        </is>
      </c>
    </row>
    <row r="1009">
      <c r="A1009" s="17" t="inlineStr">
        <is>
          <t>TR-1008</t>
        </is>
      </c>
      <c r="B1009" s="17" t="inlineStr">
        <is>
          <t>2423</t>
        </is>
      </c>
      <c r="C1009" s="18" t="inlineStr">
        <is>
          <t>Personnel and Careers Professionals</t>
        </is>
      </c>
      <c r="D1009" s="17" t="inlineStr">
        <is>
          <t>1211</t>
        </is>
      </c>
      <c r="E1009" s="18" t="inlineStr">
        <is>
          <t>Finance Managers</t>
        </is>
      </c>
      <c r="F1009" s="18" t="inlineStr">
        <is>
          <t>금융투자 / 핀테크 / 리스크</t>
        </is>
      </c>
      <c r="G1009" s="17" t="inlineStr">
        <is>
          <t>vertical_promotion</t>
        </is>
      </c>
      <c r="H1009" s="18" t="inlineStr">
        <is>
          <t>조직 관리 및 리더십, 예산/손익(P&amp;L) 관리, 전사 전략 수립</t>
        </is>
      </c>
      <c r="I1009" s="18" t="inlineStr">
        <is>
          <t>MBA 또는 경영학 석사, 글로벌 비즈니스 협상력</t>
        </is>
      </c>
      <c r="J1009" s="18" t="inlineStr">
        <is>
          <t>팀장/관리직 경력 3년 이상 (총 경력 7~10년+)</t>
        </is>
      </c>
      <c r="K1009" s="17" t="inlineStr">
        <is>
          <t>★★★★☆</t>
        </is>
      </c>
      <c r="L1009" s="21" t="inlineStr">
        <is>
          <t>+35.0%</t>
        </is>
      </c>
    </row>
    <row r="1010">
      <c r="A1010" s="15" t="inlineStr">
        <is>
          <t>TR-1009</t>
        </is>
      </c>
      <c r="B1010" s="15" t="inlineStr">
        <is>
          <t>2424</t>
        </is>
      </c>
      <c r="C1010" s="16" t="inlineStr">
        <is>
          <t>Training and Staff Development Professionals</t>
        </is>
      </c>
      <c r="D1010" s="15" t="inlineStr">
        <is>
          <t>1211</t>
        </is>
      </c>
      <c r="E1010" s="16" t="inlineStr">
        <is>
          <t>Finance Managers</t>
        </is>
      </c>
      <c r="F1010" s="16" t="inlineStr">
        <is>
          <t>금융투자 / 핀테크 / 리스크</t>
        </is>
      </c>
      <c r="G1010" s="15" t="inlineStr">
        <is>
          <t>vertical_promotion</t>
        </is>
      </c>
      <c r="H1010" s="16" t="inlineStr">
        <is>
          <t>조직 관리 및 리더십, 예산/손익(P&amp;L) 관리, 전사 전략 수립</t>
        </is>
      </c>
      <c r="I1010" s="16" t="inlineStr">
        <is>
          <t>MBA 또는 경영학 석사, 글로벌 비즈니스 협상력</t>
        </is>
      </c>
      <c r="J1010" s="16" t="inlineStr">
        <is>
          <t>팀장/관리직 경력 3년 이상 (총 경력 7~10년+)</t>
        </is>
      </c>
      <c r="K1010" s="15" t="inlineStr">
        <is>
          <t>★★★★☆</t>
        </is>
      </c>
      <c r="L1010" s="20" t="inlineStr">
        <is>
          <t>+35.0%</t>
        </is>
      </c>
    </row>
    <row r="1011">
      <c r="A1011" s="17" t="inlineStr">
        <is>
          <t>TR-1010</t>
        </is>
      </c>
      <c r="B1011" s="17" t="inlineStr">
        <is>
          <t>2431</t>
        </is>
      </c>
      <c r="C1011" s="18" t="inlineStr">
        <is>
          <t>Advertising and Marketing Professionals</t>
        </is>
      </c>
      <c r="D1011" s="17" t="inlineStr">
        <is>
          <t>1211</t>
        </is>
      </c>
      <c r="E1011" s="18" t="inlineStr">
        <is>
          <t>Finance Managers</t>
        </is>
      </c>
      <c r="F1011" s="18" t="inlineStr">
        <is>
          <t>금융투자 / 핀테크 / 리스크</t>
        </is>
      </c>
      <c r="G1011" s="17" t="inlineStr">
        <is>
          <t>vertical_promotion</t>
        </is>
      </c>
      <c r="H1011" s="18" t="inlineStr">
        <is>
          <t>조직 관리 및 리더십, 예산/손익(P&amp;L) 관리, 전사 전략 수립</t>
        </is>
      </c>
      <c r="I1011" s="18" t="inlineStr">
        <is>
          <t>MBA 또는 경영학 석사, 글로벌 비즈니스 협상력</t>
        </is>
      </c>
      <c r="J1011" s="18" t="inlineStr">
        <is>
          <t>팀장/관리직 경력 3년 이상 (총 경력 7~10년+)</t>
        </is>
      </c>
      <c r="K1011" s="17" t="inlineStr">
        <is>
          <t>★★★★☆</t>
        </is>
      </c>
      <c r="L1011" s="21" t="inlineStr">
        <is>
          <t>+35.0%</t>
        </is>
      </c>
    </row>
    <row r="1012">
      <c r="A1012" s="15" t="inlineStr">
        <is>
          <t>TR-1011</t>
        </is>
      </c>
      <c r="B1012" s="15" t="inlineStr">
        <is>
          <t>2432</t>
        </is>
      </c>
      <c r="C1012" s="16" t="inlineStr">
        <is>
          <t>Public Relations Professionals</t>
        </is>
      </c>
      <c r="D1012" s="15" t="inlineStr">
        <is>
          <t>1211</t>
        </is>
      </c>
      <c r="E1012" s="16" t="inlineStr">
        <is>
          <t>Finance Managers</t>
        </is>
      </c>
      <c r="F1012" s="16" t="inlineStr">
        <is>
          <t>금융투자 / 핀테크 / 리스크</t>
        </is>
      </c>
      <c r="G1012" s="15" t="inlineStr">
        <is>
          <t>vertical_promotion</t>
        </is>
      </c>
      <c r="H1012" s="16" t="inlineStr">
        <is>
          <t>조직 관리 및 리더십, 예산/손익(P&amp;L) 관리, 전사 전략 수립</t>
        </is>
      </c>
      <c r="I1012" s="16" t="inlineStr">
        <is>
          <t>MBA 또는 경영학 석사, 글로벌 비즈니스 협상력</t>
        </is>
      </c>
      <c r="J1012" s="16" t="inlineStr">
        <is>
          <t>팀장/관리직 경력 3년 이상 (총 경력 7~10년+)</t>
        </is>
      </c>
      <c r="K1012" s="15" t="inlineStr">
        <is>
          <t>★★★★☆</t>
        </is>
      </c>
      <c r="L1012" s="20" t="inlineStr">
        <is>
          <t>+35.0%</t>
        </is>
      </c>
    </row>
    <row r="1013">
      <c r="A1013" s="17" t="inlineStr">
        <is>
          <t>TR-1012</t>
        </is>
      </c>
      <c r="B1013" s="17" t="inlineStr">
        <is>
          <t>2433</t>
        </is>
      </c>
      <c r="C1013" s="18" t="inlineStr">
        <is>
          <t>Technical and Medical Sales Professionals (excluding ICT)</t>
        </is>
      </c>
      <c r="D1013" s="17" t="inlineStr">
        <is>
          <t>1211</t>
        </is>
      </c>
      <c r="E1013" s="18" t="inlineStr">
        <is>
          <t>Finance Managers</t>
        </is>
      </c>
      <c r="F1013" s="18" t="inlineStr">
        <is>
          <t>금융투자 / 핀테크 / 리스크</t>
        </is>
      </c>
      <c r="G1013" s="17" t="inlineStr">
        <is>
          <t>vertical_promotion</t>
        </is>
      </c>
      <c r="H1013" s="18" t="inlineStr">
        <is>
          <t>조직 관리 및 리더십, 예산/손익(P&amp;L) 관리, 전사 전략 수립</t>
        </is>
      </c>
      <c r="I1013" s="18" t="inlineStr">
        <is>
          <t>MBA 또는 경영학 석사, 글로벌 비즈니스 협상력</t>
        </is>
      </c>
      <c r="J1013" s="18" t="inlineStr">
        <is>
          <t>팀장/관리직 경력 3년 이상 (총 경력 7~10년+)</t>
        </is>
      </c>
      <c r="K1013" s="17" t="inlineStr">
        <is>
          <t>★★★★☆</t>
        </is>
      </c>
      <c r="L1013" s="21" t="inlineStr">
        <is>
          <t>+35.0%</t>
        </is>
      </c>
    </row>
    <row r="1014">
      <c r="A1014" s="15" t="inlineStr">
        <is>
          <t>TR-1013</t>
        </is>
      </c>
      <c r="B1014" s="15" t="inlineStr">
        <is>
          <t>2434</t>
        </is>
      </c>
      <c r="C1014" s="16" t="inlineStr">
        <is>
          <t>Information and Communications Technology Sales Professionals</t>
        </is>
      </c>
      <c r="D1014" s="15" t="inlineStr">
        <is>
          <t>1211</t>
        </is>
      </c>
      <c r="E1014" s="16" t="inlineStr">
        <is>
          <t>Finance Managers</t>
        </is>
      </c>
      <c r="F1014" s="16" t="inlineStr">
        <is>
          <t>금융투자 / 핀테크 / 리스크</t>
        </is>
      </c>
      <c r="G1014" s="15" t="inlineStr">
        <is>
          <t>vertical_promotion</t>
        </is>
      </c>
      <c r="H1014" s="16" t="inlineStr">
        <is>
          <t>조직 관리 및 리더십, 예산/손익(P&amp;L) 관리, 전사 전략 수립</t>
        </is>
      </c>
      <c r="I1014" s="16" t="inlineStr">
        <is>
          <t>MBA 또는 경영학 석사, 글로벌 비즈니스 협상력</t>
        </is>
      </c>
      <c r="J1014" s="16" t="inlineStr">
        <is>
          <t>팀장/관리직 경력 3년 이상 (총 경력 7~10년+)</t>
        </is>
      </c>
      <c r="K1014" s="15" t="inlineStr">
        <is>
          <t>★★★★☆</t>
        </is>
      </c>
      <c r="L1014" s="20" t="inlineStr">
        <is>
          <t>+35.0%</t>
        </is>
      </c>
    </row>
    <row r="1015">
      <c r="A1015" s="17" t="inlineStr">
        <is>
          <t>TR-1014</t>
        </is>
      </c>
      <c r="B1015" s="17" t="inlineStr">
        <is>
          <t>2511</t>
        </is>
      </c>
      <c r="C1015" s="18" t="inlineStr">
        <is>
          <t>Systems Analysts</t>
        </is>
      </c>
      <c r="D1015" s="17" t="inlineStr">
        <is>
          <t>1330</t>
        </is>
      </c>
      <c r="E1015" s="18" t="inlineStr">
        <is>
          <t>Information and Communications Technology Service Managers</t>
        </is>
      </c>
      <c r="F1015" s="18" t="inlineStr">
        <is>
          <t>ICT / Software &amp; Data / AI</t>
        </is>
      </c>
      <c r="G1015" s="17" t="inlineStr">
        <is>
          <t>vertical_promotion</t>
        </is>
      </c>
      <c r="H1015" s="18" t="inlineStr">
        <is>
          <t>조직 관리 및 리더십, 예산/손익(P&amp;L) 관리, 전사 전략 수립</t>
        </is>
      </c>
      <c r="I1015" s="18" t="inlineStr">
        <is>
          <t>MBA 또는 경영학 석사, 글로벌 비즈니스 협상력</t>
        </is>
      </c>
      <c r="J1015" s="18" t="inlineStr">
        <is>
          <t>팀장/관리직 경력 3년 이상 (총 경력 7~10년+)</t>
        </is>
      </c>
      <c r="K1015" s="17" t="inlineStr">
        <is>
          <t>★★★★☆</t>
        </is>
      </c>
      <c r="L1015" s="21" t="inlineStr">
        <is>
          <t>+35.0%</t>
        </is>
      </c>
    </row>
    <row r="1016">
      <c r="A1016" s="15" t="inlineStr">
        <is>
          <t>TR-1015</t>
        </is>
      </c>
      <c r="B1016" s="15" t="inlineStr">
        <is>
          <t>2512</t>
        </is>
      </c>
      <c r="C1016" s="16" t="inlineStr">
        <is>
          <t>Software Developers</t>
        </is>
      </c>
      <c r="D1016" s="15" t="inlineStr">
        <is>
          <t>1330</t>
        </is>
      </c>
      <c r="E1016" s="16" t="inlineStr">
        <is>
          <t>Information and Communications Technology Service Managers</t>
        </is>
      </c>
      <c r="F1016" s="16" t="inlineStr">
        <is>
          <t>ICT / Software &amp; Data / AI</t>
        </is>
      </c>
      <c r="G1016" s="15" t="inlineStr">
        <is>
          <t>vertical_promotion</t>
        </is>
      </c>
      <c r="H1016" s="16" t="inlineStr">
        <is>
          <t>조직 관리 및 리더십, 예산/손익(P&amp;L) 관리, 전사 전략 수립</t>
        </is>
      </c>
      <c r="I1016" s="16" t="inlineStr">
        <is>
          <t>MBA 또는 경영학 석사, 글로벌 비즈니스 협상력</t>
        </is>
      </c>
      <c r="J1016" s="16" t="inlineStr">
        <is>
          <t>팀장/관리직 경력 3년 이상 (총 경력 7~10년+)</t>
        </is>
      </c>
      <c r="K1016" s="15" t="inlineStr">
        <is>
          <t>★★★★☆</t>
        </is>
      </c>
      <c r="L1016" s="20" t="inlineStr">
        <is>
          <t>+35.0%</t>
        </is>
      </c>
    </row>
    <row r="1017">
      <c r="A1017" s="17" t="inlineStr">
        <is>
          <t>TR-1016</t>
        </is>
      </c>
      <c r="B1017" s="17" t="inlineStr">
        <is>
          <t>2513</t>
        </is>
      </c>
      <c r="C1017" s="18" t="inlineStr">
        <is>
          <t>Web and Multimedia Developers</t>
        </is>
      </c>
      <c r="D1017" s="17" t="inlineStr">
        <is>
          <t>1330</t>
        </is>
      </c>
      <c r="E1017" s="18" t="inlineStr">
        <is>
          <t>Information and Communications Technology Service Managers</t>
        </is>
      </c>
      <c r="F1017" s="18" t="inlineStr">
        <is>
          <t>ICT / Software &amp; Data / AI</t>
        </is>
      </c>
      <c r="G1017" s="17" t="inlineStr">
        <is>
          <t>vertical_promotion</t>
        </is>
      </c>
      <c r="H1017" s="18" t="inlineStr">
        <is>
          <t>조직 관리 및 리더십, 예산/손익(P&amp;L) 관리, 전사 전략 수립</t>
        </is>
      </c>
      <c r="I1017" s="18" t="inlineStr">
        <is>
          <t>MBA 또는 경영학 석사, 글로벌 비즈니스 협상력</t>
        </is>
      </c>
      <c r="J1017" s="18" t="inlineStr">
        <is>
          <t>팀장/관리직 경력 3년 이상 (총 경력 7~10년+)</t>
        </is>
      </c>
      <c r="K1017" s="17" t="inlineStr">
        <is>
          <t>★★★★☆</t>
        </is>
      </c>
      <c r="L1017" s="21" t="inlineStr">
        <is>
          <t>+35.0%</t>
        </is>
      </c>
    </row>
    <row r="1018">
      <c r="A1018" s="15" t="inlineStr">
        <is>
          <t>TR-1017</t>
        </is>
      </c>
      <c r="B1018" s="15" t="inlineStr">
        <is>
          <t>2514</t>
        </is>
      </c>
      <c r="C1018" s="16" t="inlineStr">
        <is>
          <t>Applications Programmers</t>
        </is>
      </c>
      <c r="D1018" s="15" t="inlineStr">
        <is>
          <t>1330</t>
        </is>
      </c>
      <c r="E1018" s="16" t="inlineStr">
        <is>
          <t>Information and Communications Technology Service Managers</t>
        </is>
      </c>
      <c r="F1018" s="16" t="inlineStr">
        <is>
          <t>ICT / Software &amp; Data / AI</t>
        </is>
      </c>
      <c r="G1018" s="15" t="inlineStr">
        <is>
          <t>vertical_promotion</t>
        </is>
      </c>
      <c r="H1018" s="16" t="inlineStr">
        <is>
          <t>조직 관리 및 리더십, 예산/손익(P&amp;L) 관리, 전사 전략 수립</t>
        </is>
      </c>
      <c r="I1018" s="16" t="inlineStr">
        <is>
          <t>MBA 또는 경영학 석사, 글로벌 비즈니스 협상력</t>
        </is>
      </c>
      <c r="J1018" s="16" t="inlineStr">
        <is>
          <t>팀장/관리직 경력 3년 이상 (총 경력 7~10년+)</t>
        </is>
      </c>
      <c r="K1018" s="15" t="inlineStr">
        <is>
          <t>★★★★☆</t>
        </is>
      </c>
      <c r="L1018" s="20" t="inlineStr">
        <is>
          <t>+35.0%</t>
        </is>
      </c>
    </row>
    <row r="1019">
      <c r="A1019" s="17" t="inlineStr">
        <is>
          <t>TR-1018</t>
        </is>
      </c>
      <c r="B1019" s="17" t="inlineStr">
        <is>
          <t>2519</t>
        </is>
      </c>
      <c r="C1019" s="18" t="inlineStr">
        <is>
          <t>Software and Applications Developers and Analysts Not Elsewhere Classified</t>
        </is>
      </c>
      <c r="D1019" s="17" t="inlineStr">
        <is>
          <t>1330</t>
        </is>
      </c>
      <c r="E1019" s="18" t="inlineStr">
        <is>
          <t>Information and Communications Technology Service Managers</t>
        </is>
      </c>
      <c r="F1019" s="18" t="inlineStr">
        <is>
          <t>ICT / Software &amp; Data / AI</t>
        </is>
      </c>
      <c r="G1019" s="17" t="inlineStr">
        <is>
          <t>vertical_promotion</t>
        </is>
      </c>
      <c r="H1019" s="18" t="inlineStr">
        <is>
          <t>조직 관리 및 리더십, 예산/손익(P&amp;L) 관리, 전사 전략 수립</t>
        </is>
      </c>
      <c r="I1019" s="18" t="inlineStr">
        <is>
          <t>MBA 또는 경영학 석사, 글로벌 비즈니스 협상력</t>
        </is>
      </c>
      <c r="J1019" s="18" t="inlineStr">
        <is>
          <t>팀장/관리직 경력 3년 이상 (총 경력 7~10년+)</t>
        </is>
      </c>
      <c r="K1019" s="17" t="inlineStr">
        <is>
          <t>★★★★☆</t>
        </is>
      </c>
      <c r="L1019" s="21" t="inlineStr">
        <is>
          <t>+35.0%</t>
        </is>
      </c>
    </row>
    <row r="1020">
      <c r="A1020" s="15" t="inlineStr">
        <is>
          <t>TR-1019</t>
        </is>
      </c>
      <c r="B1020" s="15" t="inlineStr">
        <is>
          <t>2521</t>
        </is>
      </c>
      <c r="C1020" s="16" t="inlineStr">
        <is>
          <t>Database Designers and Administrators</t>
        </is>
      </c>
      <c r="D1020" s="15" t="inlineStr">
        <is>
          <t>1330</t>
        </is>
      </c>
      <c r="E1020" s="16" t="inlineStr">
        <is>
          <t>Information and Communications Technology Service Managers</t>
        </is>
      </c>
      <c r="F1020" s="16" t="inlineStr">
        <is>
          <t>ICT / Software &amp; Data / AI</t>
        </is>
      </c>
      <c r="G1020" s="15" t="inlineStr">
        <is>
          <t>vertical_promotion</t>
        </is>
      </c>
      <c r="H1020" s="16" t="inlineStr">
        <is>
          <t>조직 관리 및 리더십, 예산/손익(P&amp;L) 관리, 전사 전략 수립</t>
        </is>
      </c>
      <c r="I1020" s="16" t="inlineStr">
        <is>
          <t>MBA 또는 경영학 석사, 글로벌 비즈니스 협상력</t>
        </is>
      </c>
      <c r="J1020" s="16" t="inlineStr">
        <is>
          <t>팀장/관리직 경력 3년 이상 (총 경력 7~10년+)</t>
        </is>
      </c>
      <c r="K1020" s="15" t="inlineStr">
        <is>
          <t>★★★★☆</t>
        </is>
      </c>
      <c r="L1020" s="20" t="inlineStr">
        <is>
          <t>+35.0%</t>
        </is>
      </c>
    </row>
    <row r="1021">
      <c r="A1021" s="17" t="inlineStr">
        <is>
          <t>TR-1020</t>
        </is>
      </c>
      <c r="B1021" s="17" t="inlineStr">
        <is>
          <t>2522</t>
        </is>
      </c>
      <c r="C1021" s="18" t="inlineStr">
        <is>
          <t>Systems Aministrators</t>
        </is>
      </c>
      <c r="D1021" s="17" t="inlineStr">
        <is>
          <t>1330</t>
        </is>
      </c>
      <c r="E1021" s="18" t="inlineStr">
        <is>
          <t>Information and Communications Technology Service Managers</t>
        </is>
      </c>
      <c r="F1021" s="18" t="inlineStr">
        <is>
          <t>ICT / Software &amp; Data / AI</t>
        </is>
      </c>
      <c r="G1021" s="17" t="inlineStr">
        <is>
          <t>vertical_promotion</t>
        </is>
      </c>
      <c r="H1021" s="18" t="inlineStr">
        <is>
          <t>조직 관리 및 리더십, 예산/손익(P&amp;L) 관리, 전사 전략 수립</t>
        </is>
      </c>
      <c r="I1021" s="18" t="inlineStr">
        <is>
          <t>MBA 또는 경영학 석사, 글로벌 비즈니스 협상력</t>
        </is>
      </c>
      <c r="J1021" s="18" t="inlineStr">
        <is>
          <t>팀장/관리직 경력 3년 이상 (총 경력 7~10년+)</t>
        </is>
      </c>
      <c r="K1021" s="17" t="inlineStr">
        <is>
          <t>★★★★☆</t>
        </is>
      </c>
      <c r="L1021" s="21" t="inlineStr">
        <is>
          <t>+35.0%</t>
        </is>
      </c>
    </row>
    <row r="1022">
      <c r="A1022" s="15" t="inlineStr">
        <is>
          <t>TR-1021</t>
        </is>
      </c>
      <c r="B1022" s="15" t="inlineStr">
        <is>
          <t>2523</t>
        </is>
      </c>
      <c r="C1022" s="16" t="inlineStr">
        <is>
          <t>Computer Network Professionals</t>
        </is>
      </c>
      <c r="D1022" s="15" t="inlineStr">
        <is>
          <t>1330</t>
        </is>
      </c>
      <c r="E1022" s="16" t="inlineStr">
        <is>
          <t>Information and Communications Technology Service Managers</t>
        </is>
      </c>
      <c r="F1022" s="16" t="inlineStr">
        <is>
          <t>ICT / Software &amp; Data / AI</t>
        </is>
      </c>
      <c r="G1022" s="15" t="inlineStr">
        <is>
          <t>vertical_promotion</t>
        </is>
      </c>
      <c r="H1022" s="16" t="inlineStr">
        <is>
          <t>조직 관리 및 리더십, 예산/손익(P&amp;L) 관리, 전사 전략 수립</t>
        </is>
      </c>
      <c r="I1022" s="16" t="inlineStr">
        <is>
          <t>MBA 또는 경영학 석사, 글로벌 비즈니스 협상력</t>
        </is>
      </c>
      <c r="J1022" s="16" t="inlineStr">
        <is>
          <t>팀장/관리직 경력 3년 이상 (총 경력 7~10년+)</t>
        </is>
      </c>
      <c r="K1022" s="15" t="inlineStr">
        <is>
          <t>★★★★☆</t>
        </is>
      </c>
      <c r="L1022" s="20" t="inlineStr">
        <is>
          <t>+35.0%</t>
        </is>
      </c>
    </row>
    <row r="1023">
      <c r="A1023" s="17" t="inlineStr">
        <is>
          <t>TR-1022</t>
        </is>
      </c>
      <c r="B1023" s="17" t="inlineStr">
        <is>
          <t>2529</t>
        </is>
      </c>
      <c r="C1023" s="18" t="inlineStr">
        <is>
          <t>Database and Network Professionals Not Elsewhere Classified</t>
        </is>
      </c>
      <c r="D1023" s="17" t="inlineStr">
        <is>
          <t>1330</t>
        </is>
      </c>
      <c r="E1023" s="18" t="inlineStr">
        <is>
          <t>Information and Communications Technology Service Managers</t>
        </is>
      </c>
      <c r="F1023" s="18" t="inlineStr">
        <is>
          <t>ICT / Software &amp; Data / AI</t>
        </is>
      </c>
      <c r="G1023" s="17" t="inlineStr">
        <is>
          <t>vertical_promotion</t>
        </is>
      </c>
      <c r="H1023" s="18" t="inlineStr">
        <is>
          <t>조직 관리 및 리더십, 예산/손익(P&amp;L) 관리, 전사 전략 수립</t>
        </is>
      </c>
      <c r="I1023" s="18" t="inlineStr">
        <is>
          <t>MBA 또는 경영학 석사, 글로벌 비즈니스 협상력</t>
        </is>
      </c>
      <c r="J1023" s="18" t="inlineStr">
        <is>
          <t>팀장/관리직 경력 3년 이상 (총 경력 7~10년+)</t>
        </is>
      </c>
      <c r="K1023" s="17" t="inlineStr">
        <is>
          <t>★★★★☆</t>
        </is>
      </c>
      <c r="L1023" s="21" t="inlineStr">
        <is>
          <t>+35.0%</t>
        </is>
      </c>
    </row>
    <row r="1024">
      <c r="A1024" s="15" t="inlineStr">
        <is>
          <t>TR-1023</t>
        </is>
      </c>
      <c r="B1024" s="15" t="inlineStr">
        <is>
          <t>2611</t>
        </is>
      </c>
      <c r="C1024" s="16" t="inlineStr">
        <is>
          <t>Lawyers</t>
        </is>
      </c>
      <c r="D1024" s="15" t="inlineStr">
        <is>
          <t>1219</t>
        </is>
      </c>
      <c r="E1024" s="16" t="inlineStr">
        <is>
          <t>Business Services and Administration Managers Not Elsewhere Classified</t>
        </is>
      </c>
      <c r="F1024" s="16" t="inlineStr">
        <is>
          <t>법률 / 지식재산권 / 변리</t>
        </is>
      </c>
      <c r="G1024" s="15" t="inlineStr">
        <is>
          <t>vertical_promotion</t>
        </is>
      </c>
      <c r="H1024" s="16" t="inlineStr">
        <is>
          <t>조직 관리 및 리더십, 예산/손익(P&amp;L) 관리, 전사 전략 수립</t>
        </is>
      </c>
      <c r="I1024" s="16" t="inlineStr">
        <is>
          <t>MBA 또는 경영학 석사, 글로벌 비즈니스 협상력</t>
        </is>
      </c>
      <c r="J1024" s="16" t="inlineStr">
        <is>
          <t>팀장/관리직 경력 3년 이상 (총 경력 7~10년+)</t>
        </is>
      </c>
      <c r="K1024" s="15" t="inlineStr">
        <is>
          <t>★★★★☆</t>
        </is>
      </c>
      <c r="L1024" s="20" t="inlineStr">
        <is>
          <t>+35.0%</t>
        </is>
      </c>
    </row>
    <row r="1025">
      <c r="A1025" s="17" t="inlineStr">
        <is>
          <t>TR-1024</t>
        </is>
      </c>
      <c r="B1025" s="17" t="inlineStr">
        <is>
          <t>2612</t>
        </is>
      </c>
      <c r="C1025" s="18" t="inlineStr">
        <is>
          <t>Judges</t>
        </is>
      </c>
      <c r="D1025" s="17" t="inlineStr">
        <is>
          <t>1219</t>
        </is>
      </c>
      <c r="E1025" s="18" t="inlineStr">
        <is>
          <t>Business Services and Administration Managers Not Elsewhere Classified</t>
        </is>
      </c>
      <c r="F1025" s="18" t="inlineStr">
        <is>
          <t>법률 / 지식재산권 / 변리</t>
        </is>
      </c>
      <c r="G1025" s="17" t="inlineStr">
        <is>
          <t>vertical_promotion</t>
        </is>
      </c>
      <c r="H1025" s="18" t="inlineStr">
        <is>
          <t>조직 관리 및 리더십, 예산/손익(P&amp;L) 관리, 전사 전략 수립</t>
        </is>
      </c>
      <c r="I1025" s="18" t="inlineStr">
        <is>
          <t>MBA 또는 경영학 석사, 글로벌 비즈니스 협상력</t>
        </is>
      </c>
      <c r="J1025" s="18" t="inlineStr">
        <is>
          <t>팀장/관리직 경력 3년 이상 (총 경력 7~10년+)</t>
        </is>
      </c>
      <c r="K1025" s="17" t="inlineStr">
        <is>
          <t>★★★★☆</t>
        </is>
      </c>
      <c r="L1025" s="21" t="inlineStr">
        <is>
          <t>+35.0%</t>
        </is>
      </c>
    </row>
    <row r="1026">
      <c r="A1026" s="15" t="inlineStr">
        <is>
          <t>TR-1025</t>
        </is>
      </c>
      <c r="B1026" s="15" t="inlineStr">
        <is>
          <t>2619</t>
        </is>
      </c>
      <c r="C1026" s="16" t="inlineStr">
        <is>
          <t>Legal Professionals Not Elsewhere Classified</t>
        </is>
      </c>
      <c r="D1026" s="15" t="inlineStr">
        <is>
          <t>1219</t>
        </is>
      </c>
      <c r="E1026" s="16" t="inlineStr">
        <is>
          <t>Business Services and Administration Managers Not Elsewhere Classified</t>
        </is>
      </c>
      <c r="F1026" s="16" t="inlineStr">
        <is>
          <t>법률 / 지식재산권 / 변리</t>
        </is>
      </c>
      <c r="G1026" s="15" t="inlineStr">
        <is>
          <t>vertical_promotion</t>
        </is>
      </c>
      <c r="H1026" s="16" t="inlineStr">
        <is>
          <t>조직 관리 및 리더십, 예산/손익(P&amp;L) 관리, 전사 전략 수립</t>
        </is>
      </c>
      <c r="I1026" s="16" t="inlineStr">
        <is>
          <t>MBA 또는 경영학 석사, 글로벌 비즈니스 협상력</t>
        </is>
      </c>
      <c r="J1026" s="16" t="inlineStr">
        <is>
          <t>팀장/관리직 경력 3년 이상 (총 경력 7~10년+)</t>
        </is>
      </c>
      <c r="K1026" s="15" t="inlineStr">
        <is>
          <t>★★★★☆</t>
        </is>
      </c>
      <c r="L1026" s="20" t="inlineStr">
        <is>
          <t>+35.0%</t>
        </is>
      </c>
    </row>
    <row r="1027">
      <c r="A1027" s="17" t="inlineStr">
        <is>
          <t>TR-1026</t>
        </is>
      </c>
      <c r="B1027" s="17" t="inlineStr">
        <is>
          <t>2621</t>
        </is>
      </c>
      <c r="C1027" s="18" t="inlineStr">
        <is>
          <t>Archivists and Curators</t>
        </is>
      </c>
      <c r="D1027" s="17" t="inlineStr">
        <is>
          <t>1219</t>
        </is>
      </c>
      <c r="E1027" s="18" t="inlineStr">
        <is>
          <t>Business Services and Administration Managers Not Elsewhere Classified</t>
        </is>
      </c>
      <c r="F1027" s="18" t="inlineStr">
        <is>
          <t>법률 / 지식재산권 / 변리</t>
        </is>
      </c>
      <c r="G1027" s="17" t="inlineStr">
        <is>
          <t>vertical_promotion</t>
        </is>
      </c>
      <c r="H1027" s="18" t="inlineStr">
        <is>
          <t>조직 관리 및 리더십, 예산/손익(P&amp;L) 관리, 전사 전략 수립</t>
        </is>
      </c>
      <c r="I1027" s="18" t="inlineStr">
        <is>
          <t>MBA 또는 경영학 석사, 글로벌 비즈니스 협상력</t>
        </is>
      </c>
      <c r="J1027" s="18" t="inlineStr">
        <is>
          <t>팀장/관리직 경력 3년 이상 (총 경력 7~10년+)</t>
        </is>
      </c>
      <c r="K1027" s="17" t="inlineStr">
        <is>
          <t>★★★★☆</t>
        </is>
      </c>
      <c r="L1027" s="21" t="inlineStr">
        <is>
          <t>+35.0%</t>
        </is>
      </c>
    </row>
    <row r="1028">
      <c r="A1028" s="15" t="inlineStr">
        <is>
          <t>TR-1027</t>
        </is>
      </c>
      <c r="B1028" s="15" t="inlineStr">
        <is>
          <t>2622</t>
        </is>
      </c>
      <c r="C1028" s="16" t="inlineStr">
        <is>
          <t>Librarians and Related Information Professionals</t>
        </is>
      </c>
      <c r="D1028" s="15" t="inlineStr">
        <is>
          <t>1219</t>
        </is>
      </c>
      <c r="E1028" s="16" t="inlineStr">
        <is>
          <t>Business Services and Administration Managers Not Elsewhere Classified</t>
        </is>
      </c>
      <c r="F1028" s="16" t="inlineStr">
        <is>
          <t>법률 / 지식재산권 / 변리</t>
        </is>
      </c>
      <c r="G1028" s="15" t="inlineStr">
        <is>
          <t>vertical_promotion</t>
        </is>
      </c>
      <c r="H1028" s="16" t="inlineStr">
        <is>
          <t>조직 관리 및 리더십, 예산/손익(P&amp;L) 관리, 전사 전략 수립</t>
        </is>
      </c>
      <c r="I1028" s="16" t="inlineStr">
        <is>
          <t>MBA 또는 경영학 석사, 글로벌 비즈니스 협상력</t>
        </is>
      </c>
      <c r="J1028" s="16" t="inlineStr">
        <is>
          <t>팀장/관리직 경력 3년 이상 (총 경력 7~10년+)</t>
        </is>
      </c>
      <c r="K1028" s="15" t="inlineStr">
        <is>
          <t>★★★★☆</t>
        </is>
      </c>
      <c r="L1028" s="20" t="inlineStr">
        <is>
          <t>+35.0%</t>
        </is>
      </c>
    </row>
    <row r="1029">
      <c r="A1029" s="17" t="inlineStr">
        <is>
          <t>TR-1028</t>
        </is>
      </c>
      <c r="B1029" s="17" t="inlineStr">
        <is>
          <t>2631</t>
        </is>
      </c>
      <c r="C1029" s="18" t="inlineStr">
        <is>
          <t>Economists</t>
        </is>
      </c>
      <c r="D1029" s="17" t="inlineStr">
        <is>
          <t>1219</t>
        </is>
      </c>
      <c r="E1029" s="18" t="inlineStr">
        <is>
          <t>Business Services and Administration Managers Not Elsewhere Classified</t>
        </is>
      </c>
      <c r="F1029" s="18" t="inlineStr">
        <is>
          <t>법률 / 지식재산권 / 변리</t>
        </is>
      </c>
      <c r="G1029" s="17" t="inlineStr">
        <is>
          <t>vertical_promotion</t>
        </is>
      </c>
      <c r="H1029" s="18" t="inlineStr">
        <is>
          <t>조직 관리 및 리더십, 예산/손익(P&amp;L) 관리, 전사 전략 수립</t>
        </is>
      </c>
      <c r="I1029" s="18" t="inlineStr">
        <is>
          <t>MBA 또는 경영학 석사, 글로벌 비즈니스 협상력</t>
        </is>
      </c>
      <c r="J1029" s="18" t="inlineStr">
        <is>
          <t>팀장/관리직 경력 3년 이상 (총 경력 7~10년+)</t>
        </is>
      </c>
      <c r="K1029" s="17" t="inlineStr">
        <is>
          <t>★★★★☆</t>
        </is>
      </c>
      <c r="L1029" s="21" t="inlineStr">
        <is>
          <t>+35.0%</t>
        </is>
      </c>
    </row>
    <row r="1030">
      <c r="A1030" s="15" t="inlineStr">
        <is>
          <t>TR-1029</t>
        </is>
      </c>
      <c r="B1030" s="15" t="inlineStr">
        <is>
          <t>2632</t>
        </is>
      </c>
      <c r="C1030" s="16" t="inlineStr">
        <is>
          <t>Sociologists, Anthropologists and Related Professionals</t>
        </is>
      </c>
      <c r="D1030" s="15" t="inlineStr">
        <is>
          <t>1219</t>
        </is>
      </c>
      <c r="E1030" s="16" t="inlineStr">
        <is>
          <t>Business Services and Administration Managers Not Elsewhere Classified</t>
        </is>
      </c>
      <c r="F1030" s="16" t="inlineStr">
        <is>
          <t>법률 / 지식재산권 / 변리</t>
        </is>
      </c>
      <c r="G1030" s="15" t="inlineStr">
        <is>
          <t>vertical_promotion</t>
        </is>
      </c>
      <c r="H1030" s="16" t="inlineStr">
        <is>
          <t>조직 관리 및 리더십, 예산/손익(P&amp;L) 관리, 전사 전략 수립</t>
        </is>
      </c>
      <c r="I1030" s="16" t="inlineStr">
        <is>
          <t>MBA 또는 경영학 석사, 글로벌 비즈니스 협상력</t>
        </is>
      </c>
      <c r="J1030" s="16" t="inlineStr">
        <is>
          <t>팀장/관리직 경력 3년 이상 (총 경력 7~10년+)</t>
        </is>
      </c>
      <c r="K1030" s="15" t="inlineStr">
        <is>
          <t>★★★★☆</t>
        </is>
      </c>
      <c r="L1030" s="20" t="inlineStr">
        <is>
          <t>+35.0%</t>
        </is>
      </c>
    </row>
    <row r="1031">
      <c r="A1031" s="17" t="inlineStr">
        <is>
          <t>TR-1030</t>
        </is>
      </c>
      <c r="B1031" s="17" t="inlineStr">
        <is>
          <t>2633</t>
        </is>
      </c>
      <c r="C1031" s="18" t="inlineStr">
        <is>
          <t>Philosophers, Historians and Political Scientists</t>
        </is>
      </c>
      <c r="D1031" s="17" t="inlineStr">
        <is>
          <t>1219</t>
        </is>
      </c>
      <c r="E1031" s="18" t="inlineStr">
        <is>
          <t>Business Services and Administration Managers Not Elsewhere Classified</t>
        </is>
      </c>
      <c r="F1031" s="18" t="inlineStr">
        <is>
          <t>법률 / 지식재산권 / 변리</t>
        </is>
      </c>
      <c r="G1031" s="17" t="inlineStr">
        <is>
          <t>vertical_promotion</t>
        </is>
      </c>
      <c r="H1031" s="18" t="inlineStr">
        <is>
          <t>조직 관리 및 리더십, 예산/손익(P&amp;L) 관리, 전사 전략 수립</t>
        </is>
      </c>
      <c r="I1031" s="18" t="inlineStr">
        <is>
          <t>MBA 또는 경영학 석사, 글로벌 비즈니스 협상력</t>
        </is>
      </c>
      <c r="J1031" s="18" t="inlineStr">
        <is>
          <t>팀장/관리직 경력 3년 이상 (총 경력 7~10년+)</t>
        </is>
      </c>
      <c r="K1031" s="17" t="inlineStr">
        <is>
          <t>★★★★☆</t>
        </is>
      </c>
      <c r="L1031" s="21" t="inlineStr">
        <is>
          <t>+35.0%</t>
        </is>
      </c>
    </row>
    <row r="1032">
      <c r="A1032" s="15" t="inlineStr">
        <is>
          <t>TR-1031</t>
        </is>
      </c>
      <c r="B1032" s="15" t="inlineStr">
        <is>
          <t>2634</t>
        </is>
      </c>
      <c r="C1032" s="16" t="inlineStr">
        <is>
          <t>Psychologists</t>
        </is>
      </c>
      <c r="D1032" s="15" t="inlineStr">
        <is>
          <t>1219</t>
        </is>
      </c>
      <c r="E1032" s="16" t="inlineStr">
        <is>
          <t>Business Services and Administration Managers Not Elsewhere Classified</t>
        </is>
      </c>
      <c r="F1032" s="16" t="inlineStr">
        <is>
          <t>법률 / 지식재산권 / 변리</t>
        </is>
      </c>
      <c r="G1032" s="15" t="inlineStr">
        <is>
          <t>vertical_promotion</t>
        </is>
      </c>
      <c r="H1032" s="16" t="inlineStr">
        <is>
          <t>조직 관리 및 리더십, 예산/손익(P&amp;L) 관리, 전사 전략 수립</t>
        </is>
      </c>
      <c r="I1032" s="16" t="inlineStr">
        <is>
          <t>MBA 또는 경영학 석사, 글로벌 비즈니스 협상력</t>
        </is>
      </c>
      <c r="J1032" s="16" t="inlineStr">
        <is>
          <t>팀장/관리직 경력 3년 이상 (총 경력 7~10년+)</t>
        </is>
      </c>
      <c r="K1032" s="15" t="inlineStr">
        <is>
          <t>★★★★☆</t>
        </is>
      </c>
      <c r="L1032" s="20" t="inlineStr">
        <is>
          <t>+35.0%</t>
        </is>
      </c>
    </row>
    <row r="1033">
      <c r="A1033" s="17" t="inlineStr">
        <is>
          <t>TR-1032</t>
        </is>
      </c>
      <c r="B1033" s="17" t="inlineStr">
        <is>
          <t>2635</t>
        </is>
      </c>
      <c r="C1033" s="18" t="inlineStr">
        <is>
          <t>Social Work and Counselling Professionals</t>
        </is>
      </c>
      <c r="D1033" s="17" t="inlineStr">
        <is>
          <t>1219</t>
        </is>
      </c>
      <c r="E1033" s="18" t="inlineStr">
        <is>
          <t>Business Services and Administration Managers Not Elsewhere Classified</t>
        </is>
      </c>
      <c r="F1033" s="18" t="inlineStr">
        <is>
          <t>법률 / 지식재산권 / 변리</t>
        </is>
      </c>
      <c r="G1033" s="17" t="inlineStr">
        <is>
          <t>vertical_promotion</t>
        </is>
      </c>
      <c r="H1033" s="18" t="inlineStr">
        <is>
          <t>조직 관리 및 리더십, 예산/손익(P&amp;L) 관리, 전사 전략 수립</t>
        </is>
      </c>
      <c r="I1033" s="18" t="inlineStr">
        <is>
          <t>MBA 또는 경영학 석사, 글로벌 비즈니스 협상력</t>
        </is>
      </c>
      <c r="J1033" s="18" t="inlineStr">
        <is>
          <t>팀장/관리직 경력 3년 이상 (총 경력 7~10년+)</t>
        </is>
      </c>
      <c r="K1033" s="17" t="inlineStr">
        <is>
          <t>★★★★☆</t>
        </is>
      </c>
      <c r="L1033" s="21" t="inlineStr">
        <is>
          <t>+35.0%</t>
        </is>
      </c>
    </row>
    <row r="1034">
      <c r="A1034" s="15" t="inlineStr">
        <is>
          <t>TR-1033</t>
        </is>
      </c>
      <c r="B1034" s="15" t="inlineStr">
        <is>
          <t>2636</t>
        </is>
      </c>
      <c r="C1034" s="16" t="inlineStr">
        <is>
          <t>Religious Professionals</t>
        </is>
      </c>
      <c r="D1034" s="15" t="inlineStr">
        <is>
          <t>1219</t>
        </is>
      </c>
      <c r="E1034" s="16" t="inlineStr">
        <is>
          <t>Business Services and Administration Managers Not Elsewhere Classified</t>
        </is>
      </c>
      <c r="F1034" s="16" t="inlineStr">
        <is>
          <t>법률 / 지식재산권 / 변리</t>
        </is>
      </c>
      <c r="G1034" s="15" t="inlineStr">
        <is>
          <t>vertical_promotion</t>
        </is>
      </c>
      <c r="H1034" s="16" t="inlineStr">
        <is>
          <t>조직 관리 및 리더십, 예산/손익(P&amp;L) 관리, 전사 전략 수립</t>
        </is>
      </c>
      <c r="I1034" s="16" t="inlineStr">
        <is>
          <t>MBA 또는 경영학 석사, 글로벌 비즈니스 협상력</t>
        </is>
      </c>
      <c r="J1034" s="16" t="inlineStr">
        <is>
          <t>팀장/관리직 경력 3년 이상 (총 경력 7~10년+)</t>
        </is>
      </c>
      <c r="K1034" s="15" t="inlineStr">
        <is>
          <t>★★★★☆</t>
        </is>
      </c>
      <c r="L1034" s="20" t="inlineStr">
        <is>
          <t>+35.0%</t>
        </is>
      </c>
    </row>
    <row r="1035">
      <c r="A1035" s="17" t="inlineStr">
        <is>
          <t>TR-1034</t>
        </is>
      </c>
      <c r="B1035" s="17" t="inlineStr">
        <is>
          <t>2641</t>
        </is>
      </c>
      <c r="C1035" s="18" t="inlineStr">
        <is>
          <t>Authors and Related Writers</t>
        </is>
      </c>
      <c r="D1035" s="17" t="inlineStr">
        <is>
          <t>1219</t>
        </is>
      </c>
      <c r="E1035" s="18" t="inlineStr">
        <is>
          <t>Business Services and Administration Managers Not Elsewhere Classified</t>
        </is>
      </c>
      <c r="F1035" s="18" t="inlineStr">
        <is>
          <t>법률 / 지식재산권 / 변리</t>
        </is>
      </c>
      <c r="G1035" s="17" t="inlineStr">
        <is>
          <t>vertical_promotion</t>
        </is>
      </c>
      <c r="H1035" s="18" t="inlineStr">
        <is>
          <t>조직 관리 및 리더십, 예산/손익(P&amp;L) 관리, 전사 전략 수립</t>
        </is>
      </c>
      <c r="I1035" s="18" t="inlineStr">
        <is>
          <t>MBA 또는 경영학 석사, 글로벌 비즈니스 협상력</t>
        </is>
      </c>
      <c r="J1035" s="18" t="inlineStr">
        <is>
          <t>팀장/관리직 경력 3년 이상 (총 경력 7~10년+)</t>
        </is>
      </c>
      <c r="K1035" s="17" t="inlineStr">
        <is>
          <t>★★★★☆</t>
        </is>
      </c>
      <c r="L1035" s="21" t="inlineStr">
        <is>
          <t>+35.0%</t>
        </is>
      </c>
    </row>
    <row r="1036">
      <c r="A1036" s="15" t="inlineStr">
        <is>
          <t>TR-1035</t>
        </is>
      </c>
      <c r="B1036" s="15" t="inlineStr">
        <is>
          <t>2642</t>
        </is>
      </c>
      <c r="C1036" s="16" t="inlineStr">
        <is>
          <t>Journalists</t>
        </is>
      </c>
      <c r="D1036" s="15" t="inlineStr">
        <is>
          <t>1219</t>
        </is>
      </c>
      <c r="E1036" s="16" t="inlineStr">
        <is>
          <t>Business Services and Administration Managers Not Elsewhere Classified</t>
        </is>
      </c>
      <c r="F1036" s="16" t="inlineStr">
        <is>
          <t>법률 / 지식재산권 / 변리</t>
        </is>
      </c>
      <c r="G1036" s="15" t="inlineStr">
        <is>
          <t>vertical_promotion</t>
        </is>
      </c>
      <c r="H1036" s="16" t="inlineStr">
        <is>
          <t>조직 관리 및 리더십, 예산/손익(P&amp;L) 관리, 전사 전략 수립</t>
        </is>
      </c>
      <c r="I1036" s="16" t="inlineStr">
        <is>
          <t>MBA 또는 경영학 석사, 글로벌 비즈니스 협상력</t>
        </is>
      </c>
      <c r="J1036" s="16" t="inlineStr">
        <is>
          <t>팀장/관리직 경력 3년 이상 (총 경력 7~10년+)</t>
        </is>
      </c>
      <c r="K1036" s="15" t="inlineStr">
        <is>
          <t>★★★★☆</t>
        </is>
      </c>
      <c r="L1036" s="20" t="inlineStr">
        <is>
          <t>+35.0%</t>
        </is>
      </c>
    </row>
    <row r="1037">
      <c r="A1037" s="17" t="inlineStr">
        <is>
          <t>TR-1036</t>
        </is>
      </c>
      <c r="B1037" s="17" t="inlineStr">
        <is>
          <t>2643</t>
        </is>
      </c>
      <c r="C1037" s="18" t="inlineStr">
        <is>
          <t>Translators, Interpreters and Other Linguists</t>
        </is>
      </c>
      <c r="D1037" s="17" t="inlineStr">
        <is>
          <t>1219</t>
        </is>
      </c>
      <c r="E1037" s="18" t="inlineStr">
        <is>
          <t>Business Services and Administration Managers Not Elsewhere Classified</t>
        </is>
      </c>
      <c r="F1037" s="18" t="inlineStr">
        <is>
          <t>법률 / 지식재산권 / 변리</t>
        </is>
      </c>
      <c r="G1037" s="17" t="inlineStr">
        <is>
          <t>vertical_promotion</t>
        </is>
      </c>
      <c r="H1037" s="18" t="inlineStr">
        <is>
          <t>조직 관리 및 리더십, 예산/손익(P&amp;L) 관리, 전사 전략 수립</t>
        </is>
      </c>
      <c r="I1037" s="18" t="inlineStr">
        <is>
          <t>MBA 또는 경영학 석사, 글로벌 비즈니스 협상력</t>
        </is>
      </c>
      <c r="J1037" s="18" t="inlineStr">
        <is>
          <t>팀장/관리직 경력 3년 이상 (총 경력 7~10년+)</t>
        </is>
      </c>
      <c r="K1037" s="17" t="inlineStr">
        <is>
          <t>★★★★☆</t>
        </is>
      </c>
      <c r="L1037" s="21" t="inlineStr">
        <is>
          <t>+35.0%</t>
        </is>
      </c>
    </row>
    <row r="1038">
      <c r="A1038" s="15" t="inlineStr">
        <is>
          <t>TR-1037</t>
        </is>
      </c>
      <c r="B1038" s="15" t="inlineStr">
        <is>
          <t>2651</t>
        </is>
      </c>
      <c r="C1038" s="16" t="inlineStr">
        <is>
          <t>Visual Artists</t>
        </is>
      </c>
      <c r="D1038" s="15" t="inlineStr">
        <is>
          <t>1219</t>
        </is>
      </c>
      <c r="E1038" s="16" t="inlineStr">
        <is>
          <t>Business Services and Administration Managers Not Elsewhere Classified</t>
        </is>
      </c>
      <c r="F1038" s="16" t="inlineStr">
        <is>
          <t>법률 / 지식재산권 / 변리</t>
        </is>
      </c>
      <c r="G1038" s="15" t="inlineStr">
        <is>
          <t>vertical_promotion</t>
        </is>
      </c>
      <c r="H1038" s="16" t="inlineStr">
        <is>
          <t>조직 관리 및 리더십, 예산/손익(P&amp;L) 관리, 전사 전략 수립</t>
        </is>
      </c>
      <c r="I1038" s="16" t="inlineStr">
        <is>
          <t>MBA 또는 경영학 석사, 글로벌 비즈니스 협상력</t>
        </is>
      </c>
      <c r="J1038" s="16" t="inlineStr">
        <is>
          <t>팀장/관리직 경력 3년 이상 (총 경력 7~10년+)</t>
        </is>
      </c>
      <c r="K1038" s="15" t="inlineStr">
        <is>
          <t>★★★★☆</t>
        </is>
      </c>
      <c r="L1038" s="20" t="inlineStr">
        <is>
          <t>+35.0%</t>
        </is>
      </c>
    </row>
    <row r="1039">
      <c r="A1039" s="17" t="inlineStr">
        <is>
          <t>TR-1038</t>
        </is>
      </c>
      <c r="B1039" s="17" t="inlineStr">
        <is>
          <t>2652</t>
        </is>
      </c>
      <c r="C1039" s="18" t="inlineStr">
        <is>
          <t>Musicians, Singers and Composers</t>
        </is>
      </c>
      <c r="D1039" s="17" t="inlineStr">
        <is>
          <t>1219</t>
        </is>
      </c>
      <c r="E1039" s="18" t="inlineStr">
        <is>
          <t>Business Services and Administration Managers Not Elsewhere Classified</t>
        </is>
      </c>
      <c r="F1039" s="18" t="inlineStr">
        <is>
          <t>법률 / 지식재산권 / 변리</t>
        </is>
      </c>
      <c r="G1039" s="17" t="inlineStr">
        <is>
          <t>vertical_promotion</t>
        </is>
      </c>
      <c r="H1039" s="18" t="inlineStr">
        <is>
          <t>조직 관리 및 리더십, 예산/손익(P&amp;L) 관리, 전사 전략 수립</t>
        </is>
      </c>
      <c r="I1039" s="18" t="inlineStr">
        <is>
          <t>MBA 또는 경영학 석사, 글로벌 비즈니스 협상력</t>
        </is>
      </c>
      <c r="J1039" s="18" t="inlineStr">
        <is>
          <t>팀장/관리직 경력 3년 이상 (총 경력 7~10년+)</t>
        </is>
      </c>
      <c r="K1039" s="17" t="inlineStr">
        <is>
          <t>★★★★☆</t>
        </is>
      </c>
      <c r="L1039" s="21" t="inlineStr">
        <is>
          <t>+35.0%</t>
        </is>
      </c>
    </row>
    <row r="1040">
      <c r="A1040" s="15" t="inlineStr">
        <is>
          <t>TR-1039</t>
        </is>
      </c>
      <c r="B1040" s="15" t="inlineStr">
        <is>
          <t>2653</t>
        </is>
      </c>
      <c r="C1040" s="16" t="inlineStr">
        <is>
          <t>Dancers and Choreographers</t>
        </is>
      </c>
      <c r="D1040" s="15" t="inlineStr">
        <is>
          <t>1219</t>
        </is>
      </c>
      <c r="E1040" s="16" t="inlineStr">
        <is>
          <t>Business Services and Administration Managers Not Elsewhere Classified</t>
        </is>
      </c>
      <c r="F1040" s="16" t="inlineStr">
        <is>
          <t>법률 / 지식재산권 / 변리</t>
        </is>
      </c>
      <c r="G1040" s="15" t="inlineStr">
        <is>
          <t>vertical_promotion</t>
        </is>
      </c>
      <c r="H1040" s="16" t="inlineStr">
        <is>
          <t>조직 관리 및 리더십, 예산/손익(P&amp;L) 관리, 전사 전략 수립</t>
        </is>
      </c>
      <c r="I1040" s="16" t="inlineStr">
        <is>
          <t>MBA 또는 경영학 석사, 글로벌 비즈니스 협상력</t>
        </is>
      </c>
      <c r="J1040" s="16" t="inlineStr">
        <is>
          <t>팀장/관리직 경력 3년 이상 (총 경력 7~10년+)</t>
        </is>
      </c>
      <c r="K1040" s="15" t="inlineStr">
        <is>
          <t>★★★★☆</t>
        </is>
      </c>
      <c r="L1040" s="20" t="inlineStr">
        <is>
          <t>+35.0%</t>
        </is>
      </c>
    </row>
    <row r="1041">
      <c r="A1041" s="17" t="inlineStr">
        <is>
          <t>TR-1040</t>
        </is>
      </c>
      <c r="B1041" s="17" t="inlineStr">
        <is>
          <t>2654</t>
        </is>
      </c>
      <c r="C1041" s="18" t="inlineStr">
        <is>
          <t>Film, Stage and Related Directors and Producers</t>
        </is>
      </c>
      <c r="D1041" s="17" t="inlineStr">
        <is>
          <t>1219</t>
        </is>
      </c>
      <c r="E1041" s="18" t="inlineStr">
        <is>
          <t>Business Services and Administration Managers Not Elsewhere Classified</t>
        </is>
      </c>
      <c r="F1041" s="18" t="inlineStr">
        <is>
          <t>법률 / 지식재산권 / 변리</t>
        </is>
      </c>
      <c r="G1041" s="17" t="inlineStr">
        <is>
          <t>vertical_promotion</t>
        </is>
      </c>
      <c r="H1041" s="18" t="inlineStr">
        <is>
          <t>조직 관리 및 리더십, 예산/손익(P&amp;L) 관리, 전사 전략 수립</t>
        </is>
      </c>
      <c r="I1041" s="18" t="inlineStr">
        <is>
          <t>MBA 또는 경영학 석사, 글로벌 비즈니스 협상력</t>
        </is>
      </c>
      <c r="J1041" s="18" t="inlineStr">
        <is>
          <t>팀장/관리직 경력 3년 이상 (총 경력 7~10년+)</t>
        </is>
      </c>
      <c r="K1041" s="17" t="inlineStr">
        <is>
          <t>★★★★☆</t>
        </is>
      </c>
      <c r="L1041" s="21" t="inlineStr">
        <is>
          <t>+35.0%</t>
        </is>
      </c>
    </row>
    <row r="1042">
      <c r="A1042" s="15" t="inlineStr">
        <is>
          <t>TR-1041</t>
        </is>
      </c>
      <c r="B1042" s="15" t="inlineStr">
        <is>
          <t>2655</t>
        </is>
      </c>
      <c r="C1042" s="16" t="inlineStr">
        <is>
          <t>Actors</t>
        </is>
      </c>
      <c r="D1042" s="15" t="inlineStr">
        <is>
          <t>1219</t>
        </is>
      </c>
      <c r="E1042" s="16" t="inlineStr">
        <is>
          <t>Business Services and Administration Managers Not Elsewhere Classified</t>
        </is>
      </c>
      <c r="F1042" s="16" t="inlineStr">
        <is>
          <t>법률 / 지식재산권 / 변리</t>
        </is>
      </c>
      <c r="G1042" s="15" t="inlineStr">
        <is>
          <t>vertical_promotion</t>
        </is>
      </c>
      <c r="H1042" s="16" t="inlineStr">
        <is>
          <t>조직 관리 및 리더십, 예산/손익(P&amp;L) 관리, 전사 전략 수립</t>
        </is>
      </c>
      <c r="I1042" s="16" t="inlineStr">
        <is>
          <t>MBA 또는 경영학 석사, 글로벌 비즈니스 협상력</t>
        </is>
      </c>
      <c r="J1042" s="16" t="inlineStr">
        <is>
          <t>팀장/관리직 경력 3년 이상 (총 경력 7~10년+)</t>
        </is>
      </c>
      <c r="K1042" s="15" t="inlineStr">
        <is>
          <t>★★★★☆</t>
        </is>
      </c>
      <c r="L1042" s="20" t="inlineStr">
        <is>
          <t>+35.0%</t>
        </is>
      </c>
    </row>
    <row r="1043">
      <c r="A1043" s="17" t="inlineStr">
        <is>
          <t>TR-1042</t>
        </is>
      </c>
      <c r="B1043" s="17" t="inlineStr">
        <is>
          <t>2656</t>
        </is>
      </c>
      <c r="C1043" s="18" t="inlineStr">
        <is>
          <t>Announcers on Radio, Television and Other Media</t>
        </is>
      </c>
      <c r="D1043" s="17" t="inlineStr">
        <is>
          <t>1219</t>
        </is>
      </c>
      <c r="E1043" s="18" t="inlineStr">
        <is>
          <t>Business Services and Administration Managers Not Elsewhere Classified</t>
        </is>
      </c>
      <c r="F1043" s="18" t="inlineStr">
        <is>
          <t>법률 / 지식재산권 / 변리</t>
        </is>
      </c>
      <c r="G1043" s="17" t="inlineStr">
        <is>
          <t>vertical_promotion</t>
        </is>
      </c>
      <c r="H1043" s="18" t="inlineStr">
        <is>
          <t>조직 관리 및 리더십, 예산/손익(P&amp;L) 관리, 전사 전략 수립</t>
        </is>
      </c>
      <c r="I1043" s="18" t="inlineStr">
        <is>
          <t>MBA 또는 경영학 석사, 글로벌 비즈니스 협상력</t>
        </is>
      </c>
      <c r="J1043" s="18" t="inlineStr">
        <is>
          <t>팀장/관리직 경력 3년 이상 (총 경력 7~10년+)</t>
        </is>
      </c>
      <c r="K1043" s="17" t="inlineStr">
        <is>
          <t>★★★★☆</t>
        </is>
      </c>
      <c r="L1043" s="21" t="inlineStr">
        <is>
          <t>+35.0%</t>
        </is>
      </c>
    </row>
    <row r="1044">
      <c r="A1044" s="15" t="inlineStr">
        <is>
          <t>TR-1043</t>
        </is>
      </c>
      <c r="B1044" s="15" t="inlineStr">
        <is>
          <t>2659</t>
        </is>
      </c>
      <c r="C1044" s="16" t="inlineStr">
        <is>
          <t>Creative and Performing Artists Not Elsewhere Classified</t>
        </is>
      </c>
      <c r="D1044" s="15" t="inlineStr">
        <is>
          <t>1219</t>
        </is>
      </c>
      <c r="E1044" s="16" t="inlineStr">
        <is>
          <t>Business Services and Administration Managers Not Elsewhere Classified</t>
        </is>
      </c>
      <c r="F1044" s="16" t="inlineStr">
        <is>
          <t>법률 / 지식재산권 / 변리</t>
        </is>
      </c>
      <c r="G1044" s="15" t="inlineStr">
        <is>
          <t>vertical_promotion</t>
        </is>
      </c>
      <c r="H1044" s="16" t="inlineStr">
        <is>
          <t>조직 관리 및 리더십, 예산/손익(P&amp;L) 관리, 전사 전략 수립</t>
        </is>
      </c>
      <c r="I1044" s="16" t="inlineStr">
        <is>
          <t>MBA 또는 경영학 석사, 글로벌 비즈니스 협상력</t>
        </is>
      </c>
      <c r="J1044" s="16" t="inlineStr">
        <is>
          <t>팀장/관리직 경력 3년 이상 (총 경력 7~10년+)</t>
        </is>
      </c>
      <c r="K1044" s="15" t="inlineStr">
        <is>
          <t>★★★★☆</t>
        </is>
      </c>
      <c r="L1044" s="20" t="inlineStr">
        <is>
          <t>+35.0%</t>
        </is>
      </c>
    </row>
    <row r="1045">
      <c r="A1045" s="17" t="inlineStr">
        <is>
          <t>TR-1044</t>
        </is>
      </c>
      <c r="B1045" s="17" t="inlineStr">
        <is>
          <t>3111</t>
        </is>
      </c>
      <c r="C1045" s="18" t="inlineStr">
        <is>
          <t>Chemical and Physical Science Technicians</t>
        </is>
      </c>
      <c r="D1045" s="17" t="inlineStr">
        <is>
          <t>1321</t>
        </is>
      </c>
      <c r="E1045" s="18" t="inlineStr">
        <is>
          <t>Manufacturing Managers</t>
        </is>
      </c>
      <c r="F1045" s="18" t="inlineStr">
        <is>
          <t>반도체 / 전자회로 / 하드웨어</t>
        </is>
      </c>
      <c r="G1045" s="17" t="inlineStr">
        <is>
          <t>vertical_promotion</t>
        </is>
      </c>
      <c r="H1045" s="18" t="inlineStr">
        <is>
          <t>조직 관리 및 리더십, 예산/손익(P&amp;L) 관리, 전사 전략 수립</t>
        </is>
      </c>
      <c r="I1045" s="18" t="inlineStr">
        <is>
          <t>MBA 또는 경영학 석사, 글로벌 비즈니스 협상력</t>
        </is>
      </c>
      <c r="J1045" s="18" t="inlineStr">
        <is>
          <t>팀장/관리직 경력 3년 이상 (총 경력 7~10년+)</t>
        </is>
      </c>
      <c r="K1045" s="17" t="inlineStr">
        <is>
          <t>★★★★☆</t>
        </is>
      </c>
      <c r="L1045" s="21" t="inlineStr">
        <is>
          <t>+35.0%</t>
        </is>
      </c>
    </row>
    <row r="1046">
      <c r="A1046" s="15" t="inlineStr">
        <is>
          <t>TR-1045</t>
        </is>
      </c>
      <c r="B1046" s="15" t="inlineStr">
        <is>
          <t>3112</t>
        </is>
      </c>
      <c r="C1046" s="16" t="inlineStr">
        <is>
          <t>Civil Engineering Technicians</t>
        </is>
      </c>
      <c r="D1046" s="15" t="inlineStr">
        <is>
          <t>1321</t>
        </is>
      </c>
      <c r="E1046" s="16" t="inlineStr">
        <is>
          <t>Manufacturing Managers</t>
        </is>
      </c>
      <c r="F1046" s="16" t="inlineStr">
        <is>
          <t>반도체 / 전자회로 / 하드웨어</t>
        </is>
      </c>
      <c r="G1046" s="15" t="inlineStr">
        <is>
          <t>vertical_promotion</t>
        </is>
      </c>
      <c r="H1046" s="16" t="inlineStr">
        <is>
          <t>조직 관리 및 리더십, 예산/손익(P&amp;L) 관리, 전사 전략 수립</t>
        </is>
      </c>
      <c r="I1046" s="16" t="inlineStr">
        <is>
          <t>MBA 또는 경영학 석사, 글로벌 비즈니스 협상력</t>
        </is>
      </c>
      <c r="J1046" s="16" t="inlineStr">
        <is>
          <t>팀장/관리직 경력 3년 이상 (총 경력 7~10년+)</t>
        </is>
      </c>
      <c r="K1046" s="15" t="inlineStr">
        <is>
          <t>★★★★☆</t>
        </is>
      </c>
      <c r="L1046" s="20" t="inlineStr">
        <is>
          <t>+35.0%</t>
        </is>
      </c>
    </row>
    <row r="1047">
      <c r="A1047" s="17" t="inlineStr">
        <is>
          <t>TR-1046</t>
        </is>
      </c>
      <c r="B1047" s="17" t="inlineStr">
        <is>
          <t>3113</t>
        </is>
      </c>
      <c r="C1047" s="18" t="inlineStr">
        <is>
          <t>Electrical Engineering Technicians</t>
        </is>
      </c>
      <c r="D1047" s="17" t="inlineStr">
        <is>
          <t>1321</t>
        </is>
      </c>
      <c r="E1047" s="18" t="inlineStr">
        <is>
          <t>Manufacturing Managers</t>
        </is>
      </c>
      <c r="F1047" s="18" t="inlineStr">
        <is>
          <t>반도체 / 전자회로 / 하드웨어</t>
        </is>
      </c>
      <c r="G1047" s="17" t="inlineStr">
        <is>
          <t>vertical_promotion</t>
        </is>
      </c>
      <c r="H1047" s="18" t="inlineStr">
        <is>
          <t>조직 관리 및 리더십, 예산/손익(P&amp;L) 관리, 전사 전략 수립</t>
        </is>
      </c>
      <c r="I1047" s="18" t="inlineStr">
        <is>
          <t>MBA 또는 경영학 석사, 글로벌 비즈니스 협상력</t>
        </is>
      </c>
      <c r="J1047" s="18" t="inlineStr">
        <is>
          <t>팀장/관리직 경력 3년 이상 (총 경력 7~10년+)</t>
        </is>
      </c>
      <c r="K1047" s="17" t="inlineStr">
        <is>
          <t>★★★★☆</t>
        </is>
      </c>
      <c r="L1047" s="21" t="inlineStr">
        <is>
          <t>+35.0%</t>
        </is>
      </c>
    </row>
    <row r="1048">
      <c r="A1048" s="15" t="inlineStr">
        <is>
          <t>TR-1047</t>
        </is>
      </c>
      <c r="B1048" s="15" t="inlineStr">
        <is>
          <t>3114</t>
        </is>
      </c>
      <c r="C1048" s="16" t="inlineStr">
        <is>
          <t>Electronics Engineering Technicians</t>
        </is>
      </c>
      <c r="D1048" s="15" t="inlineStr">
        <is>
          <t>1321</t>
        </is>
      </c>
      <c r="E1048" s="16" t="inlineStr">
        <is>
          <t>Manufacturing Managers</t>
        </is>
      </c>
      <c r="F1048" s="16" t="inlineStr">
        <is>
          <t>반도체 / 전자회로 / 하드웨어</t>
        </is>
      </c>
      <c r="G1048" s="15" t="inlineStr">
        <is>
          <t>vertical_promotion</t>
        </is>
      </c>
      <c r="H1048" s="16" t="inlineStr">
        <is>
          <t>조직 관리 및 리더십, 예산/손익(P&amp;L) 관리, 전사 전략 수립</t>
        </is>
      </c>
      <c r="I1048" s="16" t="inlineStr">
        <is>
          <t>MBA 또는 경영학 석사, 글로벌 비즈니스 협상력</t>
        </is>
      </c>
      <c r="J1048" s="16" t="inlineStr">
        <is>
          <t>팀장/관리직 경력 3년 이상 (총 경력 7~10년+)</t>
        </is>
      </c>
      <c r="K1048" s="15" t="inlineStr">
        <is>
          <t>★★★★☆</t>
        </is>
      </c>
      <c r="L1048" s="20" t="inlineStr">
        <is>
          <t>+35.0%</t>
        </is>
      </c>
    </row>
    <row r="1049">
      <c r="A1049" s="17" t="inlineStr">
        <is>
          <t>TR-1048</t>
        </is>
      </c>
      <c r="B1049" s="17" t="inlineStr">
        <is>
          <t>3115</t>
        </is>
      </c>
      <c r="C1049" s="18" t="inlineStr">
        <is>
          <t>Mechanical Engineering Technicians</t>
        </is>
      </c>
      <c r="D1049" s="17" t="inlineStr">
        <is>
          <t>1321</t>
        </is>
      </c>
      <c r="E1049" s="18" t="inlineStr">
        <is>
          <t>Manufacturing Managers</t>
        </is>
      </c>
      <c r="F1049" s="18" t="inlineStr">
        <is>
          <t>반도체 / 전자회로 / 하드웨어</t>
        </is>
      </c>
      <c r="G1049" s="17" t="inlineStr">
        <is>
          <t>vertical_promotion</t>
        </is>
      </c>
      <c r="H1049" s="18" t="inlineStr">
        <is>
          <t>조직 관리 및 리더십, 예산/손익(P&amp;L) 관리, 전사 전략 수립</t>
        </is>
      </c>
      <c r="I1049" s="18" t="inlineStr">
        <is>
          <t>MBA 또는 경영학 석사, 글로벌 비즈니스 협상력</t>
        </is>
      </c>
      <c r="J1049" s="18" t="inlineStr">
        <is>
          <t>팀장/관리직 경력 3년 이상 (총 경력 7~10년+)</t>
        </is>
      </c>
      <c r="K1049" s="17" t="inlineStr">
        <is>
          <t>★★★★☆</t>
        </is>
      </c>
      <c r="L1049" s="21" t="inlineStr">
        <is>
          <t>+35.0%</t>
        </is>
      </c>
    </row>
    <row r="1050">
      <c r="A1050" s="15" t="inlineStr">
        <is>
          <t>TR-1049</t>
        </is>
      </c>
      <c r="B1050" s="15" t="inlineStr">
        <is>
          <t>3116</t>
        </is>
      </c>
      <c r="C1050" s="16" t="inlineStr">
        <is>
          <t>Chemical Engineering Technicians</t>
        </is>
      </c>
      <c r="D1050" s="15" t="inlineStr">
        <is>
          <t>1321</t>
        </is>
      </c>
      <c r="E1050" s="16" t="inlineStr">
        <is>
          <t>Manufacturing Managers</t>
        </is>
      </c>
      <c r="F1050" s="16" t="inlineStr">
        <is>
          <t>반도체 / 전자회로 / 하드웨어</t>
        </is>
      </c>
      <c r="G1050" s="15" t="inlineStr">
        <is>
          <t>vertical_promotion</t>
        </is>
      </c>
      <c r="H1050" s="16" t="inlineStr">
        <is>
          <t>조직 관리 및 리더십, 예산/손익(P&amp;L) 관리, 전사 전략 수립</t>
        </is>
      </c>
      <c r="I1050" s="16" t="inlineStr">
        <is>
          <t>MBA 또는 경영학 석사, 글로벌 비즈니스 협상력</t>
        </is>
      </c>
      <c r="J1050" s="16" t="inlineStr">
        <is>
          <t>팀장/관리직 경력 3년 이상 (총 경력 7~10년+)</t>
        </is>
      </c>
      <c r="K1050" s="15" t="inlineStr">
        <is>
          <t>★★★★☆</t>
        </is>
      </c>
      <c r="L1050" s="20" t="inlineStr">
        <is>
          <t>+35.0%</t>
        </is>
      </c>
    </row>
    <row r="1051">
      <c r="A1051" s="17" t="inlineStr">
        <is>
          <t>TR-1050</t>
        </is>
      </c>
      <c r="B1051" s="17" t="inlineStr">
        <is>
          <t>3117</t>
        </is>
      </c>
      <c r="C1051" s="18" t="inlineStr">
        <is>
          <t>Mining and metallurgical technicians</t>
        </is>
      </c>
      <c r="D1051" s="17" t="inlineStr">
        <is>
          <t>1321</t>
        </is>
      </c>
      <c r="E1051" s="18" t="inlineStr">
        <is>
          <t>Manufacturing Managers</t>
        </is>
      </c>
      <c r="F1051" s="18" t="inlineStr">
        <is>
          <t>반도체 / 전자회로 / 하드웨어</t>
        </is>
      </c>
      <c r="G1051" s="17" t="inlineStr">
        <is>
          <t>vertical_promotion</t>
        </is>
      </c>
      <c r="H1051" s="18" t="inlineStr">
        <is>
          <t>조직 관리 및 리더십, 예산/손익(P&amp;L) 관리, 전사 전략 수립</t>
        </is>
      </c>
      <c r="I1051" s="18" t="inlineStr">
        <is>
          <t>MBA 또는 경영학 석사, 글로벌 비즈니스 협상력</t>
        </is>
      </c>
      <c r="J1051" s="18" t="inlineStr">
        <is>
          <t>팀장/관리직 경력 3년 이상 (총 경력 7~10년+)</t>
        </is>
      </c>
      <c r="K1051" s="17" t="inlineStr">
        <is>
          <t>★★★★☆</t>
        </is>
      </c>
      <c r="L1051" s="21" t="inlineStr">
        <is>
          <t>+35.0%</t>
        </is>
      </c>
    </row>
    <row r="1052">
      <c r="A1052" s="15" t="inlineStr">
        <is>
          <t>TR-1051</t>
        </is>
      </c>
      <c r="B1052" s="15" t="inlineStr">
        <is>
          <t>3118</t>
        </is>
      </c>
      <c r="C1052" s="16" t="inlineStr">
        <is>
          <t>Draughtspersons</t>
        </is>
      </c>
      <c r="D1052" s="15" t="inlineStr">
        <is>
          <t>1321</t>
        </is>
      </c>
      <c r="E1052" s="16" t="inlineStr">
        <is>
          <t>Manufacturing Managers</t>
        </is>
      </c>
      <c r="F1052" s="16" t="inlineStr">
        <is>
          <t>반도체 / 전자회로 / 하드웨어</t>
        </is>
      </c>
      <c r="G1052" s="15" t="inlineStr">
        <is>
          <t>vertical_promotion</t>
        </is>
      </c>
      <c r="H1052" s="16" t="inlineStr">
        <is>
          <t>조직 관리 및 리더십, 예산/손익(P&amp;L) 관리, 전사 전략 수립</t>
        </is>
      </c>
      <c r="I1052" s="16" t="inlineStr">
        <is>
          <t>MBA 또는 경영학 석사, 글로벌 비즈니스 협상력</t>
        </is>
      </c>
      <c r="J1052" s="16" t="inlineStr">
        <is>
          <t>팀장/관리직 경력 3년 이상 (총 경력 7~10년+)</t>
        </is>
      </c>
      <c r="K1052" s="15" t="inlineStr">
        <is>
          <t>★★★★☆</t>
        </is>
      </c>
      <c r="L1052" s="20" t="inlineStr">
        <is>
          <t>+35.0%</t>
        </is>
      </c>
    </row>
    <row r="1053">
      <c r="A1053" s="17" t="inlineStr">
        <is>
          <t>TR-1052</t>
        </is>
      </c>
      <c r="B1053" s="17" t="inlineStr">
        <is>
          <t>3119</t>
        </is>
      </c>
      <c r="C1053" s="18" t="inlineStr">
        <is>
          <t>Physical and Engineering Science Technicians Not Elsewhere Classified</t>
        </is>
      </c>
      <c r="D1053" s="17" t="inlineStr">
        <is>
          <t>1321</t>
        </is>
      </c>
      <c r="E1053" s="18" t="inlineStr">
        <is>
          <t>Manufacturing Managers</t>
        </is>
      </c>
      <c r="F1053" s="18" t="inlineStr">
        <is>
          <t>반도체 / 전자회로 / 하드웨어</t>
        </is>
      </c>
      <c r="G1053" s="17" t="inlineStr">
        <is>
          <t>vertical_promotion</t>
        </is>
      </c>
      <c r="H1053" s="18" t="inlineStr">
        <is>
          <t>조직 관리 및 리더십, 예산/손익(P&amp;L) 관리, 전사 전략 수립</t>
        </is>
      </c>
      <c r="I1053" s="18" t="inlineStr">
        <is>
          <t>MBA 또는 경영학 석사, 글로벌 비즈니스 협상력</t>
        </is>
      </c>
      <c r="J1053" s="18" t="inlineStr">
        <is>
          <t>팀장/관리직 경력 3년 이상 (총 경력 7~10년+)</t>
        </is>
      </c>
      <c r="K1053" s="17" t="inlineStr">
        <is>
          <t>★★★★☆</t>
        </is>
      </c>
      <c r="L1053" s="21" t="inlineStr">
        <is>
          <t>+35.0%</t>
        </is>
      </c>
    </row>
    <row r="1054">
      <c r="A1054" s="15" t="inlineStr">
        <is>
          <t>TR-1053</t>
        </is>
      </c>
      <c r="B1054" s="15" t="inlineStr">
        <is>
          <t>3121</t>
        </is>
      </c>
      <c r="C1054" s="16" t="inlineStr">
        <is>
          <t>Mining Supervisors</t>
        </is>
      </c>
      <c r="D1054" s="15" t="inlineStr">
        <is>
          <t>1321</t>
        </is>
      </c>
      <c r="E1054" s="16" t="inlineStr">
        <is>
          <t>Manufacturing Managers</t>
        </is>
      </c>
      <c r="F1054" s="16" t="inlineStr">
        <is>
          <t>반도체 / 전자회로 / 하드웨어</t>
        </is>
      </c>
      <c r="G1054" s="15" t="inlineStr">
        <is>
          <t>vertical_promotion</t>
        </is>
      </c>
      <c r="H1054" s="16" t="inlineStr">
        <is>
          <t>조직 관리 및 리더십, 예산/손익(P&amp;L) 관리, 전사 전략 수립</t>
        </is>
      </c>
      <c r="I1054" s="16" t="inlineStr">
        <is>
          <t>MBA 또는 경영학 석사, 글로벌 비즈니스 협상력</t>
        </is>
      </c>
      <c r="J1054" s="16" t="inlineStr">
        <is>
          <t>팀장/관리직 경력 3년 이상 (총 경력 7~10년+)</t>
        </is>
      </c>
      <c r="K1054" s="15" t="inlineStr">
        <is>
          <t>★★★★☆</t>
        </is>
      </c>
      <c r="L1054" s="20" t="inlineStr">
        <is>
          <t>+35.0%</t>
        </is>
      </c>
    </row>
    <row r="1055">
      <c r="A1055" s="17" t="inlineStr">
        <is>
          <t>TR-1054</t>
        </is>
      </c>
      <c r="B1055" s="17" t="inlineStr">
        <is>
          <t>3123</t>
        </is>
      </c>
      <c r="C1055" s="18" t="inlineStr">
        <is>
          <t>Construction Supervisors</t>
        </is>
      </c>
      <c r="D1055" s="17" t="inlineStr">
        <is>
          <t>1321</t>
        </is>
      </c>
      <c r="E1055" s="18" t="inlineStr">
        <is>
          <t>Manufacturing Managers</t>
        </is>
      </c>
      <c r="F1055" s="18" t="inlineStr">
        <is>
          <t>반도체 / 전자회로 / 하드웨어</t>
        </is>
      </c>
      <c r="G1055" s="17" t="inlineStr">
        <is>
          <t>vertical_promotion</t>
        </is>
      </c>
      <c r="H1055" s="18" t="inlineStr">
        <is>
          <t>조직 관리 및 리더십, 예산/손익(P&amp;L) 관리, 전사 전략 수립</t>
        </is>
      </c>
      <c r="I1055" s="18" t="inlineStr">
        <is>
          <t>MBA 또는 경영학 석사, 글로벌 비즈니스 협상력</t>
        </is>
      </c>
      <c r="J1055" s="18" t="inlineStr">
        <is>
          <t>팀장/관리직 경력 3년 이상 (총 경력 7~10년+)</t>
        </is>
      </c>
      <c r="K1055" s="17" t="inlineStr">
        <is>
          <t>★★★★☆</t>
        </is>
      </c>
      <c r="L1055" s="21" t="inlineStr">
        <is>
          <t>+35.0%</t>
        </is>
      </c>
    </row>
    <row r="1056">
      <c r="A1056" s="15" t="inlineStr">
        <is>
          <t>TR-1055</t>
        </is>
      </c>
      <c r="B1056" s="15" t="inlineStr">
        <is>
          <t>3131</t>
        </is>
      </c>
      <c r="C1056" s="16" t="inlineStr">
        <is>
          <t>Power Production Plant Operators</t>
        </is>
      </c>
      <c r="D1056" s="15" t="inlineStr">
        <is>
          <t>1321</t>
        </is>
      </c>
      <c r="E1056" s="16" t="inlineStr">
        <is>
          <t>Manufacturing Managers</t>
        </is>
      </c>
      <c r="F1056" s="16" t="inlineStr">
        <is>
          <t>반도체 / 전자회로 / 하드웨어</t>
        </is>
      </c>
      <c r="G1056" s="15" t="inlineStr">
        <is>
          <t>vertical_promotion</t>
        </is>
      </c>
      <c r="H1056" s="16" t="inlineStr">
        <is>
          <t>조직 관리 및 리더십, 예산/손익(P&amp;L) 관리, 전사 전략 수립</t>
        </is>
      </c>
      <c r="I1056" s="16" t="inlineStr">
        <is>
          <t>MBA 또는 경영학 석사, 글로벌 비즈니스 협상력</t>
        </is>
      </c>
      <c r="J1056" s="16" t="inlineStr">
        <is>
          <t>팀장/관리직 경력 3년 이상 (총 경력 7~10년+)</t>
        </is>
      </c>
      <c r="K1056" s="15" t="inlineStr">
        <is>
          <t>★★★★☆</t>
        </is>
      </c>
      <c r="L1056" s="20" t="inlineStr">
        <is>
          <t>+35.0%</t>
        </is>
      </c>
    </row>
    <row r="1057">
      <c r="A1057" s="17" t="inlineStr">
        <is>
          <t>TR-1056</t>
        </is>
      </c>
      <c r="B1057" s="17" t="inlineStr">
        <is>
          <t>3132</t>
        </is>
      </c>
      <c r="C1057" s="18" t="inlineStr">
        <is>
          <t>Incinerator and Water Treatment Plant Operators</t>
        </is>
      </c>
      <c r="D1057" s="17" t="inlineStr">
        <is>
          <t>1321</t>
        </is>
      </c>
      <c r="E1057" s="18" t="inlineStr">
        <is>
          <t>Manufacturing Managers</t>
        </is>
      </c>
      <c r="F1057" s="18" t="inlineStr">
        <is>
          <t>반도체 / 전자회로 / 하드웨어</t>
        </is>
      </c>
      <c r="G1057" s="17" t="inlineStr">
        <is>
          <t>vertical_promotion</t>
        </is>
      </c>
      <c r="H1057" s="18" t="inlineStr">
        <is>
          <t>조직 관리 및 리더십, 예산/손익(P&amp;L) 관리, 전사 전략 수립</t>
        </is>
      </c>
      <c r="I1057" s="18" t="inlineStr">
        <is>
          <t>MBA 또는 경영학 석사, 글로벌 비즈니스 협상력</t>
        </is>
      </c>
      <c r="J1057" s="18" t="inlineStr">
        <is>
          <t>팀장/관리직 경력 3년 이상 (총 경력 7~10년+)</t>
        </is>
      </c>
      <c r="K1057" s="17" t="inlineStr">
        <is>
          <t>★★★★☆</t>
        </is>
      </c>
      <c r="L1057" s="21" t="inlineStr">
        <is>
          <t>+35.0%</t>
        </is>
      </c>
    </row>
    <row r="1058">
      <c r="A1058" s="15" t="inlineStr">
        <is>
          <t>TR-1057</t>
        </is>
      </c>
      <c r="B1058" s="15" t="inlineStr">
        <is>
          <t>3133</t>
        </is>
      </c>
      <c r="C1058" s="16" t="inlineStr">
        <is>
          <t>Chemical Processing Plant Controllers</t>
        </is>
      </c>
      <c r="D1058" s="15" t="inlineStr">
        <is>
          <t>1321</t>
        </is>
      </c>
      <c r="E1058" s="16" t="inlineStr">
        <is>
          <t>Manufacturing Managers</t>
        </is>
      </c>
      <c r="F1058" s="16" t="inlineStr">
        <is>
          <t>반도체 / 전자회로 / 하드웨어</t>
        </is>
      </c>
      <c r="G1058" s="15" t="inlineStr">
        <is>
          <t>vertical_promotion</t>
        </is>
      </c>
      <c r="H1058" s="16" t="inlineStr">
        <is>
          <t>조직 관리 및 리더십, 예산/손익(P&amp;L) 관리, 전사 전략 수립</t>
        </is>
      </c>
      <c r="I1058" s="16" t="inlineStr">
        <is>
          <t>MBA 또는 경영학 석사, 글로벌 비즈니스 협상력</t>
        </is>
      </c>
      <c r="J1058" s="16" t="inlineStr">
        <is>
          <t>팀장/관리직 경력 3년 이상 (총 경력 7~10년+)</t>
        </is>
      </c>
      <c r="K1058" s="15" t="inlineStr">
        <is>
          <t>★★★★☆</t>
        </is>
      </c>
      <c r="L1058" s="20" t="inlineStr">
        <is>
          <t>+35.0%</t>
        </is>
      </c>
    </row>
    <row r="1059">
      <c r="A1059" s="17" t="inlineStr">
        <is>
          <t>TR-1058</t>
        </is>
      </c>
      <c r="B1059" s="17" t="inlineStr">
        <is>
          <t>3134</t>
        </is>
      </c>
      <c r="C1059" s="18" t="inlineStr">
        <is>
          <t>Petroleum and Natural Gas Refining Plant Operators</t>
        </is>
      </c>
      <c r="D1059" s="17" t="inlineStr">
        <is>
          <t>1321</t>
        </is>
      </c>
      <c r="E1059" s="18" t="inlineStr">
        <is>
          <t>Manufacturing Managers</t>
        </is>
      </c>
      <c r="F1059" s="18" t="inlineStr">
        <is>
          <t>반도체 / 전자회로 / 하드웨어</t>
        </is>
      </c>
      <c r="G1059" s="17" t="inlineStr">
        <is>
          <t>vertical_promotion</t>
        </is>
      </c>
      <c r="H1059" s="18" t="inlineStr">
        <is>
          <t>조직 관리 및 리더십, 예산/손익(P&amp;L) 관리, 전사 전략 수립</t>
        </is>
      </c>
      <c r="I1059" s="18" t="inlineStr">
        <is>
          <t>MBA 또는 경영학 석사, 글로벌 비즈니스 협상력</t>
        </is>
      </c>
      <c r="J1059" s="18" t="inlineStr">
        <is>
          <t>팀장/관리직 경력 3년 이상 (총 경력 7~10년+)</t>
        </is>
      </c>
      <c r="K1059" s="17" t="inlineStr">
        <is>
          <t>★★★★☆</t>
        </is>
      </c>
      <c r="L1059" s="21" t="inlineStr">
        <is>
          <t>+35.0%</t>
        </is>
      </c>
    </row>
    <row r="1060">
      <c r="A1060" s="15" t="inlineStr">
        <is>
          <t>TR-1059</t>
        </is>
      </c>
      <c r="B1060" s="15" t="inlineStr">
        <is>
          <t>3135</t>
        </is>
      </c>
      <c r="C1060" s="16" t="inlineStr">
        <is>
          <t>Metal Production Process Controllers</t>
        </is>
      </c>
      <c r="D1060" s="15" t="inlineStr">
        <is>
          <t>1321</t>
        </is>
      </c>
      <c r="E1060" s="16" t="inlineStr">
        <is>
          <t>Manufacturing Managers</t>
        </is>
      </c>
      <c r="F1060" s="16" t="inlineStr">
        <is>
          <t>반도체 / 전자회로 / 하드웨어</t>
        </is>
      </c>
      <c r="G1060" s="15" t="inlineStr">
        <is>
          <t>vertical_promotion</t>
        </is>
      </c>
      <c r="H1060" s="16" t="inlineStr">
        <is>
          <t>조직 관리 및 리더십, 예산/손익(P&amp;L) 관리, 전사 전략 수립</t>
        </is>
      </c>
      <c r="I1060" s="16" t="inlineStr">
        <is>
          <t>MBA 또는 경영학 석사, 글로벌 비즈니스 협상력</t>
        </is>
      </c>
      <c r="J1060" s="16" t="inlineStr">
        <is>
          <t>팀장/관리직 경력 3년 이상 (총 경력 7~10년+)</t>
        </is>
      </c>
      <c r="K1060" s="15" t="inlineStr">
        <is>
          <t>★★★★☆</t>
        </is>
      </c>
      <c r="L1060" s="20" t="inlineStr">
        <is>
          <t>+35.0%</t>
        </is>
      </c>
    </row>
    <row r="1061">
      <c r="A1061" s="17" t="inlineStr">
        <is>
          <t>TR-1060</t>
        </is>
      </c>
      <c r="B1061" s="17" t="inlineStr">
        <is>
          <t>3139</t>
        </is>
      </c>
      <c r="C1061" s="18" t="inlineStr">
        <is>
          <t>Process Control Technicians Not Elsewhere Classified</t>
        </is>
      </c>
      <c r="D1061" s="17" t="inlineStr">
        <is>
          <t>1321</t>
        </is>
      </c>
      <c r="E1061" s="18" t="inlineStr">
        <is>
          <t>Manufacturing Managers</t>
        </is>
      </c>
      <c r="F1061" s="18" t="inlineStr">
        <is>
          <t>반도체 / 전자회로 / 하드웨어</t>
        </is>
      </c>
      <c r="G1061" s="17" t="inlineStr">
        <is>
          <t>vertical_promotion</t>
        </is>
      </c>
      <c r="H1061" s="18" t="inlineStr">
        <is>
          <t>조직 관리 및 리더십, 예산/손익(P&amp;L) 관리, 전사 전략 수립</t>
        </is>
      </c>
      <c r="I1061" s="18" t="inlineStr">
        <is>
          <t>MBA 또는 경영학 석사, 글로벌 비즈니스 협상력</t>
        </is>
      </c>
      <c r="J1061" s="18" t="inlineStr">
        <is>
          <t>팀장/관리직 경력 3년 이상 (총 경력 7~10년+)</t>
        </is>
      </c>
      <c r="K1061" s="17" t="inlineStr">
        <is>
          <t>★★★★☆</t>
        </is>
      </c>
      <c r="L1061" s="21" t="inlineStr">
        <is>
          <t>+35.0%</t>
        </is>
      </c>
    </row>
    <row r="1062">
      <c r="A1062" s="15" t="inlineStr">
        <is>
          <t>TR-1061</t>
        </is>
      </c>
      <c r="B1062" s="15" t="inlineStr">
        <is>
          <t>3141</t>
        </is>
      </c>
      <c r="C1062" s="16" t="inlineStr">
        <is>
          <t>Life Science Technicians (excluding Medical)</t>
        </is>
      </c>
      <c r="D1062" s="15" t="inlineStr">
        <is>
          <t>1321</t>
        </is>
      </c>
      <c r="E1062" s="16" t="inlineStr">
        <is>
          <t>Manufacturing Managers</t>
        </is>
      </c>
      <c r="F1062" s="16" t="inlineStr">
        <is>
          <t>반도체 / 전자회로 / 하드웨어</t>
        </is>
      </c>
      <c r="G1062" s="15" t="inlineStr">
        <is>
          <t>vertical_promotion</t>
        </is>
      </c>
      <c r="H1062" s="16" t="inlineStr">
        <is>
          <t>조직 관리 및 리더십, 예산/손익(P&amp;L) 관리, 전사 전략 수립</t>
        </is>
      </c>
      <c r="I1062" s="16" t="inlineStr">
        <is>
          <t>MBA 또는 경영학 석사, 글로벌 비즈니스 협상력</t>
        </is>
      </c>
      <c r="J1062" s="16" t="inlineStr">
        <is>
          <t>팀장/관리직 경력 3년 이상 (총 경력 7~10년+)</t>
        </is>
      </c>
      <c r="K1062" s="15" t="inlineStr">
        <is>
          <t>★★★★☆</t>
        </is>
      </c>
      <c r="L1062" s="20" t="inlineStr">
        <is>
          <t>+35.0%</t>
        </is>
      </c>
    </row>
    <row r="1063">
      <c r="A1063" s="17" t="inlineStr">
        <is>
          <t>TR-1062</t>
        </is>
      </c>
      <c r="B1063" s="17" t="inlineStr">
        <is>
          <t>3142</t>
        </is>
      </c>
      <c r="C1063" s="18" t="inlineStr">
        <is>
          <t>Agricultural Technicians</t>
        </is>
      </c>
      <c r="D1063" s="17" t="inlineStr">
        <is>
          <t>1321</t>
        </is>
      </c>
      <c r="E1063" s="18" t="inlineStr">
        <is>
          <t>Manufacturing Managers</t>
        </is>
      </c>
      <c r="F1063" s="18" t="inlineStr">
        <is>
          <t>반도체 / 전자회로 / 하드웨어</t>
        </is>
      </c>
      <c r="G1063" s="17" t="inlineStr">
        <is>
          <t>vertical_promotion</t>
        </is>
      </c>
      <c r="H1063" s="18" t="inlineStr">
        <is>
          <t>조직 관리 및 리더십, 예산/손익(P&amp;L) 관리, 전사 전략 수립</t>
        </is>
      </c>
      <c r="I1063" s="18" t="inlineStr">
        <is>
          <t>MBA 또는 경영학 석사, 글로벌 비즈니스 협상력</t>
        </is>
      </c>
      <c r="J1063" s="18" t="inlineStr">
        <is>
          <t>팀장/관리직 경력 3년 이상 (총 경력 7~10년+)</t>
        </is>
      </c>
      <c r="K1063" s="17" t="inlineStr">
        <is>
          <t>★★★★☆</t>
        </is>
      </c>
      <c r="L1063" s="21" t="inlineStr">
        <is>
          <t>+35.0%</t>
        </is>
      </c>
    </row>
    <row r="1064">
      <c r="A1064" s="15" t="inlineStr">
        <is>
          <t>TR-1063</t>
        </is>
      </c>
      <c r="B1064" s="15" t="inlineStr">
        <is>
          <t>3143</t>
        </is>
      </c>
      <c r="C1064" s="16" t="inlineStr">
        <is>
          <t>Forestry Technicians</t>
        </is>
      </c>
      <c r="D1064" s="15" t="inlineStr">
        <is>
          <t>1321</t>
        </is>
      </c>
      <c r="E1064" s="16" t="inlineStr">
        <is>
          <t>Manufacturing Managers</t>
        </is>
      </c>
      <c r="F1064" s="16" t="inlineStr">
        <is>
          <t>반도체 / 전자회로 / 하드웨어</t>
        </is>
      </c>
      <c r="G1064" s="15" t="inlineStr">
        <is>
          <t>vertical_promotion</t>
        </is>
      </c>
      <c r="H1064" s="16" t="inlineStr">
        <is>
          <t>조직 관리 및 리더십, 예산/손익(P&amp;L) 관리, 전사 전략 수립</t>
        </is>
      </c>
      <c r="I1064" s="16" t="inlineStr">
        <is>
          <t>MBA 또는 경영학 석사, 글로벌 비즈니스 협상력</t>
        </is>
      </c>
      <c r="J1064" s="16" t="inlineStr">
        <is>
          <t>팀장/관리직 경력 3년 이상 (총 경력 7~10년+)</t>
        </is>
      </c>
      <c r="K1064" s="15" t="inlineStr">
        <is>
          <t>★★★★☆</t>
        </is>
      </c>
      <c r="L1064" s="20" t="inlineStr">
        <is>
          <t>+35.0%</t>
        </is>
      </c>
    </row>
    <row r="1065">
      <c r="A1065" s="17" t="inlineStr">
        <is>
          <t>TR-1064</t>
        </is>
      </c>
      <c r="B1065" s="17" t="inlineStr">
        <is>
          <t>3151</t>
        </is>
      </c>
      <c r="C1065" s="18" t="inlineStr">
        <is>
          <t>Ships' Engineers</t>
        </is>
      </c>
      <c r="D1065" s="17" t="inlineStr">
        <is>
          <t>1321</t>
        </is>
      </c>
      <c r="E1065" s="18" t="inlineStr">
        <is>
          <t>Manufacturing Managers</t>
        </is>
      </c>
      <c r="F1065" s="18" t="inlineStr">
        <is>
          <t>반도체 / 전자회로 / 하드웨어</t>
        </is>
      </c>
      <c r="G1065" s="17" t="inlineStr">
        <is>
          <t>vertical_promotion</t>
        </is>
      </c>
      <c r="H1065" s="18" t="inlineStr">
        <is>
          <t>조직 관리 및 리더십, 예산/손익(P&amp;L) 관리, 전사 전략 수립</t>
        </is>
      </c>
      <c r="I1065" s="18" t="inlineStr">
        <is>
          <t>MBA 또는 경영학 석사, 글로벌 비즈니스 협상력</t>
        </is>
      </c>
      <c r="J1065" s="18" t="inlineStr">
        <is>
          <t>팀장/관리직 경력 3년 이상 (총 경력 7~10년+)</t>
        </is>
      </c>
      <c r="K1065" s="17" t="inlineStr">
        <is>
          <t>★★★★☆</t>
        </is>
      </c>
      <c r="L1065" s="21" t="inlineStr">
        <is>
          <t>+35.0%</t>
        </is>
      </c>
    </row>
    <row r="1066">
      <c r="A1066" s="15" t="inlineStr">
        <is>
          <t>TR-1065</t>
        </is>
      </c>
      <c r="B1066" s="15" t="inlineStr">
        <is>
          <t>3152</t>
        </is>
      </c>
      <c r="C1066" s="16" t="inlineStr">
        <is>
          <t>Ships' Deck Officers and Pilots</t>
        </is>
      </c>
      <c r="D1066" s="15" t="inlineStr">
        <is>
          <t>1321</t>
        </is>
      </c>
      <c r="E1066" s="16" t="inlineStr">
        <is>
          <t>Manufacturing Managers</t>
        </is>
      </c>
      <c r="F1066" s="16" t="inlineStr">
        <is>
          <t>반도체 / 전자회로 / 하드웨어</t>
        </is>
      </c>
      <c r="G1066" s="15" t="inlineStr">
        <is>
          <t>vertical_promotion</t>
        </is>
      </c>
      <c r="H1066" s="16" t="inlineStr">
        <is>
          <t>조직 관리 및 리더십, 예산/손익(P&amp;L) 관리, 전사 전략 수립</t>
        </is>
      </c>
      <c r="I1066" s="16" t="inlineStr">
        <is>
          <t>MBA 또는 경영학 석사, 글로벌 비즈니스 협상력</t>
        </is>
      </c>
      <c r="J1066" s="16" t="inlineStr">
        <is>
          <t>팀장/관리직 경력 3년 이상 (총 경력 7~10년+)</t>
        </is>
      </c>
      <c r="K1066" s="15" t="inlineStr">
        <is>
          <t>★★★★☆</t>
        </is>
      </c>
      <c r="L1066" s="20" t="inlineStr">
        <is>
          <t>+35.0%</t>
        </is>
      </c>
    </row>
    <row r="1067">
      <c r="A1067" s="17" t="inlineStr">
        <is>
          <t>TR-1066</t>
        </is>
      </c>
      <c r="B1067" s="17" t="inlineStr">
        <is>
          <t>3153</t>
        </is>
      </c>
      <c r="C1067" s="18" t="inlineStr">
        <is>
          <t>Aircraft Pilots and Related Associate Professionals</t>
        </is>
      </c>
      <c r="D1067" s="17" t="inlineStr">
        <is>
          <t>1321</t>
        </is>
      </c>
      <c r="E1067" s="18" t="inlineStr">
        <is>
          <t>Manufacturing Managers</t>
        </is>
      </c>
      <c r="F1067" s="18" t="inlineStr">
        <is>
          <t>반도체 / 전자회로 / 하드웨어</t>
        </is>
      </c>
      <c r="G1067" s="17" t="inlineStr">
        <is>
          <t>vertical_promotion</t>
        </is>
      </c>
      <c r="H1067" s="18" t="inlineStr">
        <is>
          <t>조직 관리 및 리더십, 예산/손익(P&amp;L) 관리, 전사 전략 수립</t>
        </is>
      </c>
      <c r="I1067" s="18" t="inlineStr">
        <is>
          <t>MBA 또는 경영학 석사, 글로벌 비즈니스 협상력</t>
        </is>
      </c>
      <c r="J1067" s="18" t="inlineStr">
        <is>
          <t>팀장/관리직 경력 3년 이상 (총 경력 7~10년+)</t>
        </is>
      </c>
      <c r="K1067" s="17" t="inlineStr">
        <is>
          <t>★★★★☆</t>
        </is>
      </c>
      <c r="L1067" s="21" t="inlineStr">
        <is>
          <t>+35.0%</t>
        </is>
      </c>
    </row>
    <row r="1068">
      <c r="A1068" s="15" t="inlineStr">
        <is>
          <t>TR-1067</t>
        </is>
      </c>
      <c r="B1068" s="15" t="inlineStr">
        <is>
          <t>3154</t>
        </is>
      </c>
      <c r="C1068" s="16" t="inlineStr">
        <is>
          <t>Air Traffic Controllers</t>
        </is>
      </c>
      <c r="D1068" s="15" t="inlineStr">
        <is>
          <t>1321</t>
        </is>
      </c>
      <c r="E1068" s="16" t="inlineStr">
        <is>
          <t>Manufacturing Managers</t>
        </is>
      </c>
      <c r="F1068" s="16" t="inlineStr">
        <is>
          <t>반도체 / 전자회로 / 하드웨어</t>
        </is>
      </c>
      <c r="G1068" s="15" t="inlineStr">
        <is>
          <t>vertical_promotion</t>
        </is>
      </c>
      <c r="H1068" s="16" t="inlineStr">
        <is>
          <t>조직 관리 및 리더십, 예산/손익(P&amp;L) 관리, 전사 전략 수립</t>
        </is>
      </c>
      <c r="I1068" s="16" t="inlineStr">
        <is>
          <t>MBA 또는 경영학 석사, 글로벌 비즈니스 협상력</t>
        </is>
      </c>
      <c r="J1068" s="16" t="inlineStr">
        <is>
          <t>팀장/관리직 경력 3년 이상 (총 경력 7~10년+)</t>
        </is>
      </c>
      <c r="K1068" s="15" t="inlineStr">
        <is>
          <t>★★★★☆</t>
        </is>
      </c>
      <c r="L1068" s="20" t="inlineStr">
        <is>
          <t>+35.0%</t>
        </is>
      </c>
    </row>
    <row r="1069">
      <c r="A1069" s="17" t="inlineStr">
        <is>
          <t>TR-1068</t>
        </is>
      </c>
      <c r="B1069" s="17" t="inlineStr">
        <is>
          <t>3155</t>
        </is>
      </c>
      <c r="C1069" s="18" t="inlineStr">
        <is>
          <t>Air Traffic Safety Electronics Technicians</t>
        </is>
      </c>
      <c r="D1069" s="17" t="inlineStr">
        <is>
          <t>1321</t>
        </is>
      </c>
      <c r="E1069" s="18" t="inlineStr">
        <is>
          <t>Manufacturing Managers</t>
        </is>
      </c>
      <c r="F1069" s="18" t="inlineStr">
        <is>
          <t>반도체 / 전자회로 / 하드웨어</t>
        </is>
      </c>
      <c r="G1069" s="17" t="inlineStr">
        <is>
          <t>vertical_promotion</t>
        </is>
      </c>
      <c r="H1069" s="18" t="inlineStr">
        <is>
          <t>조직 관리 및 리더십, 예산/손익(P&amp;L) 관리, 전사 전략 수립</t>
        </is>
      </c>
      <c r="I1069" s="18" t="inlineStr">
        <is>
          <t>MBA 또는 경영학 석사, 글로벌 비즈니스 협상력</t>
        </is>
      </c>
      <c r="J1069" s="18" t="inlineStr">
        <is>
          <t>팀장/관리직 경력 3년 이상 (총 경력 7~10년+)</t>
        </is>
      </c>
      <c r="K1069" s="17" t="inlineStr">
        <is>
          <t>★★★★☆</t>
        </is>
      </c>
      <c r="L1069" s="21" t="inlineStr">
        <is>
          <t>+35.0%</t>
        </is>
      </c>
    </row>
    <row r="1070">
      <c r="A1070" s="15" t="inlineStr">
        <is>
          <t>TR-1069</t>
        </is>
      </c>
      <c r="B1070" s="15" t="inlineStr">
        <is>
          <t>3211</t>
        </is>
      </c>
      <c r="C1070" s="16" t="inlineStr">
        <is>
          <t>Medical Imaging and Therapeutic Equipment Technicians</t>
        </is>
      </c>
      <c r="D1070" s="15" t="inlineStr">
        <is>
          <t>1342</t>
        </is>
      </c>
      <c r="E1070" s="16" t="inlineStr">
        <is>
          <t>Health Service Managers</t>
        </is>
      </c>
      <c r="F1070" s="16" t="inlineStr">
        <is>
          <t>바이오 / 제약 / 임상헬스케어</t>
        </is>
      </c>
      <c r="G1070" s="15" t="inlineStr">
        <is>
          <t>vertical_promotion</t>
        </is>
      </c>
      <c r="H1070" s="16" t="inlineStr">
        <is>
          <t>조직 관리 및 리더십, 예산/손익(P&amp;L) 관리, 전사 전략 수립</t>
        </is>
      </c>
      <c r="I1070" s="16" t="inlineStr">
        <is>
          <t>MBA 또는 경영학 석사, 글로벌 비즈니스 협상력</t>
        </is>
      </c>
      <c r="J1070" s="16" t="inlineStr">
        <is>
          <t>팀장/관리직 경력 3년 이상 (총 경력 7~10년+)</t>
        </is>
      </c>
      <c r="K1070" s="15" t="inlineStr">
        <is>
          <t>★★★★☆</t>
        </is>
      </c>
      <c r="L1070" s="20" t="inlineStr">
        <is>
          <t>+35.0%</t>
        </is>
      </c>
    </row>
    <row r="1071">
      <c r="A1071" s="17" t="inlineStr">
        <is>
          <t>TR-1070</t>
        </is>
      </c>
      <c r="B1071" s="17" t="inlineStr">
        <is>
          <t>3212</t>
        </is>
      </c>
      <c r="C1071" s="18" t="inlineStr">
        <is>
          <t>Medical and Pathology Laboratory Technicians</t>
        </is>
      </c>
      <c r="D1071" s="17" t="inlineStr">
        <is>
          <t>1342</t>
        </is>
      </c>
      <c r="E1071" s="18" t="inlineStr">
        <is>
          <t>Health Service Managers</t>
        </is>
      </c>
      <c r="F1071" s="18" t="inlineStr">
        <is>
          <t>바이오 / 제약 / 임상헬스케어</t>
        </is>
      </c>
      <c r="G1071" s="17" t="inlineStr">
        <is>
          <t>vertical_promotion</t>
        </is>
      </c>
      <c r="H1071" s="18" t="inlineStr">
        <is>
          <t>조직 관리 및 리더십, 예산/손익(P&amp;L) 관리, 전사 전략 수립</t>
        </is>
      </c>
      <c r="I1071" s="18" t="inlineStr">
        <is>
          <t>MBA 또는 경영학 석사, 글로벌 비즈니스 협상력</t>
        </is>
      </c>
      <c r="J1071" s="18" t="inlineStr">
        <is>
          <t>팀장/관리직 경력 3년 이상 (총 경력 7~10년+)</t>
        </is>
      </c>
      <c r="K1071" s="17" t="inlineStr">
        <is>
          <t>★★★★☆</t>
        </is>
      </c>
      <c r="L1071" s="21" t="inlineStr">
        <is>
          <t>+35.0%</t>
        </is>
      </c>
    </row>
    <row r="1072">
      <c r="A1072" s="15" t="inlineStr">
        <is>
          <t>TR-1071</t>
        </is>
      </c>
      <c r="B1072" s="15" t="inlineStr">
        <is>
          <t>3213</t>
        </is>
      </c>
      <c r="C1072" s="16" t="inlineStr">
        <is>
          <t>Pharmaceutical Technicians and Assistants</t>
        </is>
      </c>
      <c r="D1072" s="15" t="inlineStr">
        <is>
          <t>1342</t>
        </is>
      </c>
      <c r="E1072" s="16" t="inlineStr">
        <is>
          <t>Health Service Managers</t>
        </is>
      </c>
      <c r="F1072" s="16" t="inlineStr">
        <is>
          <t>바이오 / 제약 / 임상헬스케어</t>
        </is>
      </c>
      <c r="G1072" s="15" t="inlineStr">
        <is>
          <t>vertical_promotion</t>
        </is>
      </c>
      <c r="H1072" s="16" t="inlineStr">
        <is>
          <t>조직 관리 및 리더십, 예산/손익(P&amp;L) 관리, 전사 전략 수립</t>
        </is>
      </c>
      <c r="I1072" s="16" t="inlineStr">
        <is>
          <t>MBA 또는 경영학 석사, 글로벌 비즈니스 협상력</t>
        </is>
      </c>
      <c r="J1072" s="16" t="inlineStr">
        <is>
          <t>팀장/관리직 경력 3년 이상 (총 경력 7~10년+)</t>
        </is>
      </c>
      <c r="K1072" s="15" t="inlineStr">
        <is>
          <t>★★★★☆</t>
        </is>
      </c>
      <c r="L1072" s="20" t="inlineStr">
        <is>
          <t>+35.0%</t>
        </is>
      </c>
    </row>
    <row r="1073">
      <c r="A1073" s="17" t="inlineStr">
        <is>
          <t>TR-1072</t>
        </is>
      </c>
      <c r="B1073" s="17" t="inlineStr">
        <is>
          <t>3214</t>
        </is>
      </c>
      <c r="C1073" s="18" t="inlineStr">
        <is>
          <t>Medical and Dental Prosthetic Technicians</t>
        </is>
      </c>
      <c r="D1073" s="17" t="inlineStr">
        <is>
          <t>1342</t>
        </is>
      </c>
      <c r="E1073" s="18" t="inlineStr">
        <is>
          <t>Health Service Managers</t>
        </is>
      </c>
      <c r="F1073" s="18" t="inlineStr">
        <is>
          <t>바이오 / 제약 / 임상헬스케어</t>
        </is>
      </c>
      <c r="G1073" s="17" t="inlineStr">
        <is>
          <t>vertical_promotion</t>
        </is>
      </c>
      <c r="H1073" s="18" t="inlineStr">
        <is>
          <t>조직 관리 및 리더십, 예산/손익(P&amp;L) 관리, 전사 전략 수립</t>
        </is>
      </c>
      <c r="I1073" s="18" t="inlineStr">
        <is>
          <t>MBA 또는 경영학 석사, 글로벌 비즈니스 협상력</t>
        </is>
      </c>
      <c r="J1073" s="18" t="inlineStr">
        <is>
          <t>팀장/관리직 경력 3년 이상 (총 경력 7~10년+)</t>
        </is>
      </c>
      <c r="K1073" s="17" t="inlineStr">
        <is>
          <t>★★★★☆</t>
        </is>
      </c>
      <c r="L1073" s="21" t="inlineStr">
        <is>
          <t>+35.0%</t>
        </is>
      </c>
    </row>
    <row r="1074">
      <c r="A1074" s="15" t="inlineStr">
        <is>
          <t>TR-1073</t>
        </is>
      </c>
      <c r="B1074" s="15" t="inlineStr">
        <is>
          <t>3221</t>
        </is>
      </c>
      <c r="C1074" s="16" t="inlineStr">
        <is>
          <t>Nursing Associate Professionals</t>
        </is>
      </c>
      <c r="D1074" s="15" t="inlineStr">
        <is>
          <t>1342</t>
        </is>
      </c>
      <c r="E1074" s="16" t="inlineStr">
        <is>
          <t>Health Service Managers</t>
        </is>
      </c>
      <c r="F1074" s="16" t="inlineStr">
        <is>
          <t>바이오 / 제약 / 임상헬스케어</t>
        </is>
      </c>
      <c r="G1074" s="15" t="inlineStr">
        <is>
          <t>vertical_promotion</t>
        </is>
      </c>
      <c r="H1074" s="16" t="inlineStr">
        <is>
          <t>조직 관리 및 리더십, 예산/손익(P&amp;L) 관리, 전사 전략 수립</t>
        </is>
      </c>
      <c r="I1074" s="16" t="inlineStr">
        <is>
          <t>MBA 또는 경영학 석사, 글로벌 비즈니스 협상력</t>
        </is>
      </c>
      <c r="J1074" s="16" t="inlineStr">
        <is>
          <t>팀장/관리직 경력 3년 이상 (총 경력 7~10년+)</t>
        </is>
      </c>
      <c r="K1074" s="15" t="inlineStr">
        <is>
          <t>★★★★☆</t>
        </is>
      </c>
      <c r="L1074" s="20" t="inlineStr">
        <is>
          <t>+35.0%</t>
        </is>
      </c>
    </row>
    <row r="1075">
      <c r="A1075" s="17" t="inlineStr">
        <is>
          <t>TR-1074</t>
        </is>
      </c>
      <c r="B1075" s="17" t="inlineStr">
        <is>
          <t>3222</t>
        </is>
      </c>
      <c r="C1075" s="18" t="inlineStr">
        <is>
          <t>Midwifery Associate Professionals</t>
        </is>
      </c>
      <c r="D1075" s="17" t="inlineStr">
        <is>
          <t>1342</t>
        </is>
      </c>
      <c r="E1075" s="18" t="inlineStr">
        <is>
          <t>Health Service Managers</t>
        </is>
      </c>
      <c r="F1075" s="18" t="inlineStr">
        <is>
          <t>바이오 / 제약 / 임상헬스케어</t>
        </is>
      </c>
      <c r="G1075" s="17" t="inlineStr">
        <is>
          <t>vertical_promotion</t>
        </is>
      </c>
      <c r="H1075" s="18" t="inlineStr">
        <is>
          <t>조직 관리 및 리더십, 예산/손익(P&amp;L) 관리, 전사 전략 수립</t>
        </is>
      </c>
      <c r="I1075" s="18" t="inlineStr">
        <is>
          <t>MBA 또는 경영학 석사, 글로벌 비즈니스 협상력</t>
        </is>
      </c>
      <c r="J1075" s="18" t="inlineStr">
        <is>
          <t>팀장/관리직 경력 3년 이상 (총 경력 7~10년+)</t>
        </is>
      </c>
      <c r="K1075" s="17" t="inlineStr">
        <is>
          <t>★★★★☆</t>
        </is>
      </c>
      <c r="L1075" s="21" t="inlineStr">
        <is>
          <t>+35.0%</t>
        </is>
      </c>
    </row>
    <row r="1076">
      <c r="A1076" s="15" t="inlineStr">
        <is>
          <t>TR-1075</t>
        </is>
      </c>
      <c r="B1076" s="15" t="inlineStr">
        <is>
          <t>3230</t>
        </is>
      </c>
      <c r="C1076" s="16" t="inlineStr">
        <is>
          <t>Traditional and Complementary Medicine Associate Professionals</t>
        </is>
      </c>
      <c r="D1076" s="15" t="inlineStr">
        <is>
          <t>1342</t>
        </is>
      </c>
      <c r="E1076" s="16" t="inlineStr">
        <is>
          <t>Health Service Managers</t>
        </is>
      </c>
      <c r="F1076" s="16" t="inlineStr">
        <is>
          <t>바이오 / 제약 / 임상헬스케어</t>
        </is>
      </c>
      <c r="G1076" s="15" t="inlineStr">
        <is>
          <t>vertical_promotion</t>
        </is>
      </c>
      <c r="H1076" s="16" t="inlineStr">
        <is>
          <t>조직 관리 및 리더십, 예산/손익(P&amp;L) 관리, 전사 전략 수립</t>
        </is>
      </c>
      <c r="I1076" s="16" t="inlineStr">
        <is>
          <t>MBA 또는 경영학 석사, 글로벌 비즈니스 협상력</t>
        </is>
      </c>
      <c r="J1076" s="16" t="inlineStr">
        <is>
          <t>팀장/관리직 경력 3년 이상 (총 경력 7~10년+)</t>
        </is>
      </c>
      <c r="K1076" s="15" t="inlineStr">
        <is>
          <t>★★★★☆</t>
        </is>
      </c>
      <c r="L1076" s="20" t="inlineStr">
        <is>
          <t>+35.0%</t>
        </is>
      </c>
    </row>
    <row r="1077">
      <c r="A1077" s="17" t="inlineStr">
        <is>
          <t>TR-1076</t>
        </is>
      </c>
      <c r="B1077" s="17" t="inlineStr">
        <is>
          <t>3240</t>
        </is>
      </c>
      <c r="C1077" s="18" t="inlineStr">
        <is>
          <t>Veterinary Technicians and Assistants</t>
        </is>
      </c>
      <c r="D1077" s="17" t="inlineStr">
        <is>
          <t>1342</t>
        </is>
      </c>
      <c r="E1077" s="18" t="inlineStr">
        <is>
          <t>Health Service Managers</t>
        </is>
      </c>
      <c r="F1077" s="18" t="inlineStr">
        <is>
          <t>바이오 / 제약 / 임상헬스케어</t>
        </is>
      </c>
      <c r="G1077" s="17" t="inlineStr">
        <is>
          <t>vertical_promotion</t>
        </is>
      </c>
      <c r="H1077" s="18" t="inlineStr">
        <is>
          <t>조직 관리 및 리더십, 예산/손익(P&amp;L) 관리, 전사 전략 수립</t>
        </is>
      </c>
      <c r="I1077" s="18" t="inlineStr">
        <is>
          <t>MBA 또는 경영학 석사, 글로벌 비즈니스 협상력</t>
        </is>
      </c>
      <c r="J1077" s="18" t="inlineStr">
        <is>
          <t>팀장/관리직 경력 3년 이상 (총 경력 7~10년+)</t>
        </is>
      </c>
      <c r="K1077" s="17" t="inlineStr">
        <is>
          <t>★★★★☆</t>
        </is>
      </c>
      <c r="L1077" s="21" t="inlineStr">
        <is>
          <t>+35.0%</t>
        </is>
      </c>
    </row>
    <row r="1078">
      <c r="A1078" s="15" t="inlineStr">
        <is>
          <t>TR-1077</t>
        </is>
      </c>
      <c r="B1078" s="15" t="inlineStr">
        <is>
          <t>3251</t>
        </is>
      </c>
      <c r="C1078" s="16" t="inlineStr">
        <is>
          <t>Dental Assistants and Therapists</t>
        </is>
      </c>
      <c r="D1078" s="15" t="inlineStr">
        <is>
          <t>1342</t>
        </is>
      </c>
      <c r="E1078" s="16" t="inlineStr">
        <is>
          <t>Health Service Managers</t>
        </is>
      </c>
      <c r="F1078" s="16" t="inlineStr">
        <is>
          <t>바이오 / 제약 / 임상헬스케어</t>
        </is>
      </c>
      <c r="G1078" s="15" t="inlineStr">
        <is>
          <t>vertical_promotion</t>
        </is>
      </c>
      <c r="H1078" s="16" t="inlineStr">
        <is>
          <t>조직 관리 및 리더십, 예산/손익(P&amp;L) 관리, 전사 전략 수립</t>
        </is>
      </c>
      <c r="I1078" s="16" t="inlineStr">
        <is>
          <t>MBA 또는 경영학 석사, 글로벌 비즈니스 협상력</t>
        </is>
      </c>
      <c r="J1078" s="16" t="inlineStr">
        <is>
          <t>팀장/관리직 경력 3년 이상 (총 경력 7~10년+)</t>
        </is>
      </c>
      <c r="K1078" s="15" t="inlineStr">
        <is>
          <t>★★★★☆</t>
        </is>
      </c>
      <c r="L1078" s="20" t="inlineStr">
        <is>
          <t>+35.0%</t>
        </is>
      </c>
    </row>
    <row r="1079">
      <c r="A1079" s="17" t="inlineStr">
        <is>
          <t>TR-1078</t>
        </is>
      </c>
      <c r="B1079" s="17" t="inlineStr">
        <is>
          <t>3252</t>
        </is>
      </c>
      <c r="C1079" s="18" t="inlineStr">
        <is>
          <t>Medical Records and Health Information Technicians</t>
        </is>
      </c>
      <c r="D1079" s="17" t="inlineStr">
        <is>
          <t>1342</t>
        </is>
      </c>
      <c r="E1079" s="18" t="inlineStr">
        <is>
          <t>Health Service Managers</t>
        </is>
      </c>
      <c r="F1079" s="18" t="inlineStr">
        <is>
          <t>바이오 / 제약 / 임상헬스케어</t>
        </is>
      </c>
      <c r="G1079" s="17" t="inlineStr">
        <is>
          <t>vertical_promotion</t>
        </is>
      </c>
      <c r="H1079" s="18" t="inlineStr">
        <is>
          <t>조직 관리 및 리더십, 예산/손익(P&amp;L) 관리, 전사 전략 수립</t>
        </is>
      </c>
      <c r="I1079" s="18" t="inlineStr">
        <is>
          <t>MBA 또는 경영학 석사, 글로벌 비즈니스 협상력</t>
        </is>
      </c>
      <c r="J1079" s="18" t="inlineStr">
        <is>
          <t>팀장/관리직 경력 3년 이상 (총 경력 7~10년+)</t>
        </is>
      </c>
      <c r="K1079" s="17" t="inlineStr">
        <is>
          <t>★★★★☆</t>
        </is>
      </c>
      <c r="L1079" s="21" t="inlineStr">
        <is>
          <t>+35.0%</t>
        </is>
      </c>
    </row>
    <row r="1080">
      <c r="A1080" s="15" t="inlineStr">
        <is>
          <t>TR-1079</t>
        </is>
      </c>
      <c r="B1080" s="15" t="inlineStr">
        <is>
          <t>3253</t>
        </is>
      </c>
      <c r="C1080" s="16" t="inlineStr">
        <is>
          <t>Community Health Workers</t>
        </is>
      </c>
      <c r="D1080" s="15" t="inlineStr">
        <is>
          <t>1342</t>
        </is>
      </c>
      <c r="E1080" s="16" t="inlineStr">
        <is>
          <t>Health Service Managers</t>
        </is>
      </c>
      <c r="F1080" s="16" t="inlineStr">
        <is>
          <t>바이오 / 제약 / 임상헬스케어</t>
        </is>
      </c>
      <c r="G1080" s="15" t="inlineStr">
        <is>
          <t>vertical_promotion</t>
        </is>
      </c>
      <c r="H1080" s="16" t="inlineStr">
        <is>
          <t>조직 관리 및 리더십, 예산/손익(P&amp;L) 관리, 전사 전략 수립</t>
        </is>
      </c>
      <c r="I1080" s="16" t="inlineStr">
        <is>
          <t>MBA 또는 경영학 석사, 글로벌 비즈니스 협상력</t>
        </is>
      </c>
      <c r="J1080" s="16" t="inlineStr">
        <is>
          <t>팀장/관리직 경력 3년 이상 (총 경력 7~10년+)</t>
        </is>
      </c>
      <c r="K1080" s="15" t="inlineStr">
        <is>
          <t>★★★★☆</t>
        </is>
      </c>
      <c r="L1080" s="20" t="inlineStr">
        <is>
          <t>+35.0%</t>
        </is>
      </c>
    </row>
    <row r="1081">
      <c r="A1081" s="17" t="inlineStr">
        <is>
          <t>TR-1080</t>
        </is>
      </c>
      <c r="B1081" s="17" t="inlineStr">
        <is>
          <t>3254</t>
        </is>
      </c>
      <c r="C1081" s="18" t="inlineStr">
        <is>
          <t>Dispensing Opticians</t>
        </is>
      </c>
      <c r="D1081" s="17" t="inlineStr">
        <is>
          <t>1342</t>
        </is>
      </c>
      <c r="E1081" s="18" t="inlineStr">
        <is>
          <t>Health Service Managers</t>
        </is>
      </c>
      <c r="F1081" s="18" t="inlineStr">
        <is>
          <t>바이오 / 제약 / 임상헬스케어</t>
        </is>
      </c>
      <c r="G1081" s="17" t="inlineStr">
        <is>
          <t>vertical_promotion</t>
        </is>
      </c>
      <c r="H1081" s="18" t="inlineStr">
        <is>
          <t>조직 관리 및 리더십, 예산/손익(P&amp;L) 관리, 전사 전략 수립</t>
        </is>
      </c>
      <c r="I1081" s="18" t="inlineStr">
        <is>
          <t>MBA 또는 경영학 석사, 글로벌 비즈니스 협상력</t>
        </is>
      </c>
      <c r="J1081" s="18" t="inlineStr">
        <is>
          <t>팀장/관리직 경력 3년 이상 (총 경력 7~10년+)</t>
        </is>
      </c>
      <c r="K1081" s="17" t="inlineStr">
        <is>
          <t>★★★★☆</t>
        </is>
      </c>
      <c r="L1081" s="21" t="inlineStr">
        <is>
          <t>+35.0%</t>
        </is>
      </c>
    </row>
    <row r="1082">
      <c r="A1082" s="15" t="inlineStr">
        <is>
          <t>TR-1081</t>
        </is>
      </c>
      <c r="B1082" s="15" t="inlineStr">
        <is>
          <t>3255</t>
        </is>
      </c>
      <c r="C1082" s="16" t="inlineStr">
        <is>
          <t>Physiotherapy Technicians and Assistants</t>
        </is>
      </c>
      <c r="D1082" s="15" t="inlineStr">
        <is>
          <t>1342</t>
        </is>
      </c>
      <c r="E1082" s="16" t="inlineStr">
        <is>
          <t>Health Service Managers</t>
        </is>
      </c>
      <c r="F1082" s="16" t="inlineStr">
        <is>
          <t>바이오 / 제약 / 임상헬스케어</t>
        </is>
      </c>
      <c r="G1082" s="15" t="inlineStr">
        <is>
          <t>vertical_promotion</t>
        </is>
      </c>
      <c r="H1082" s="16" t="inlineStr">
        <is>
          <t>조직 관리 및 리더십, 예산/손익(P&amp;L) 관리, 전사 전략 수립</t>
        </is>
      </c>
      <c r="I1082" s="16" t="inlineStr">
        <is>
          <t>MBA 또는 경영학 석사, 글로벌 비즈니스 협상력</t>
        </is>
      </c>
      <c r="J1082" s="16" t="inlineStr">
        <is>
          <t>팀장/관리직 경력 3년 이상 (총 경력 7~10년+)</t>
        </is>
      </c>
      <c r="K1082" s="15" t="inlineStr">
        <is>
          <t>★★★★☆</t>
        </is>
      </c>
      <c r="L1082" s="20" t="inlineStr">
        <is>
          <t>+35.0%</t>
        </is>
      </c>
    </row>
    <row r="1083">
      <c r="A1083" s="17" t="inlineStr">
        <is>
          <t>TR-1082</t>
        </is>
      </c>
      <c r="B1083" s="17" t="inlineStr">
        <is>
          <t>3256</t>
        </is>
      </c>
      <c r="C1083" s="18" t="inlineStr">
        <is>
          <t>Medical Assistants</t>
        </is>
      </c>
      <c r="D1083" s="17" t="inlineStr">
        <is>
          <t>1342</t>
        </is>
      </c>
      <c r="E1083" s="18" t="inlineStr">
        <is>
          <t>Health Service Managers</t>
        </is>
      </c>
      <c r="F1083" s="18" t="inlineStr">
        <is>
          <t>바이오 / 제약 / 임상헬스케어</t>
        </is>
      </c>
      <c r="G1083" s="17" t="inlineStr">
        <is>
          <t>vertical_promotion</t>
        </is>
      </c>
      <c r="H1083" s="18" t="inlineStr">
        <is>
          <t>조직 관리 및 리더십, 예산/손익(P&amp;L) 관리, 전사 전략 수립</t>
        </is>
      </c>
      <c r="I1083" s="18" t="inlineStr">
        <is>
          <t>MBA 또는 경영학 석사, 글로벌 비즈니스 협상력</t>
        </is>
      </c>
      <c r="J1083" s="18" t="inlineStr">
        <is>
          <t>팀장/관리직 경력 3년 이상 (총 경력 7~10년+)</t>
        </is>
      </c>
      <c r="K1083" s="17" t="inlineStr">
        <is>
          <t>★★★★☆</t>
        </is>
      </c>
      <c r="L1083" s="21" t="inlineStr">
        <is>
          <t>+35.0%</t>
        </is>
      </c>
    </row>
    <row r="1084">
      <c r="A1084" s="15" t="inlineStr">
        <is>
          <t>TR-1083</t>
        </is>
      </c>
      <c r="B1084" s="15" t="inlineStr">
        <is>
          <t>3257</t>
        </is>
      </c>
      <c r="C1084" s="16" t="inlineStr">
        <is>
          <t>Environmental and Occupational Health Inspectors and Associates</t>
        </is>
      </c>
      <c r="D1084" s="15" t="inlineStr">
        <is>
          <t>1342</t>
        </is>
      </c>
      <c r="E1084" s="16" t="inlineStr">
        <is>
          <t>Health Service Managers</t>
        </is>
      </c>
      <c r="F1084" s="16" t="inlineStr">
        <is>
          <t>바이오 / 제약 / 임상헬스케어</t>
        </is>
      </c>
      <c r="G1084" s="15" t="inlineStr">
        <is>
          <t>vertical_promotion</t>
        </is>
      </c>
      <c r="H1084" s="16" t="inlineStr">
        <is>
          <t>조직 관리 및 리더십, 예산/손익(P&amp;L) 관리, 전사 전략 수립</t>
        </is>
      </c>
      <c r="I1084" s="16" t="inlineStr">
        <is>
          <t>MBA 또는 경영학 석사, 글로벌 비즈니스 협상력</t>
        </is>
      </c>
      <c r="J1084" s="16" t="inlineStr">
        <is>
          <t>팀장/관리직 경력 3년 이상 (총 경력 7~10년+)</t>
        </is>
      </c>
      <c r="K1084" s="15" t="inlineStr">
        <is>
          <t>★★★★☆</t>
        </is>
      </c>
      <c r="L1084" s="20" t="inlineStr">
        <is>
          <t>+35.0%</t>
        </is>
      </c>
    </row>
    <row r="1085">
      <c r="A1085" s="17" t="inlineStr">
        <is>
          <t>TR-1084</t>
        </is>
      </c>
      <c r="B1085" s="17" t="inlineStr">
        <is>
          <t>3258</t>
        </is>
      </c>
      <c r="C1085" s="18" t="inlineStr">
        <is>
          <t>Ambulance Workers</t>
        </is>
      </c>
      <c r="D1085" s="17" t="inlineStr">
        <is>
          <t>1342</t>
        </is>
      </c>
      <c r="E1085" s="18" t="inlineStr">
        <is>
          <t>Health Service Managers</t>
        </is>
      </c>
      <c r="F1085" s="18" t="inlineStr">
        <is>
          <t>바이오 / 제약 / 임상헬스케어</t>
        </is>
      </c>
      <c r="G1085" s="17" t="inlineStr">
        <is>
          <t>vertical_promotion</t>
        </is>
      </c>
      <c r="H1085" s="18" t="inlineStr">
        <is>
          <t>조직 관리 및 리더십, 예산/손익(P&amp;L) 관리, 전사 전략 수립</t>
        </is>
      </c>
      <c r="I1085" s="18" t="inlineStr">
        <is>
          <t>MBA 또는 경영학 석사, 글로벌 비즈니스 협상력</t>
        </is>
      </c>
      <c r="J1085" s="18" t="inlineStr">
        <is>
          <t>팀장/관리직 경력 3년 이상 (총 경력 7~10년+)</t>
        </is>
      </c>
      <c r="K1085" s="17" t="inlineStr">
        <is>
          <t>★★★★☆</t>
        </is>
      </c>
      <c r="L1085" s="21" t="inlineStr">
        <is>
          <t>+35.0%</t>
        </is>
      </c>
    </row>
    <row r="1086">
      <c r="A1086" s="15" t="inlineStr">
        <is>
          <t>TR-1085</t>
        </is>
      </c>
      <c r="B1086" s="15" t="inlineStr">
        <is>
          <t>3259</t>
        </is>
      </c>
      <c r="C1086" s="16" t="inlineStr">
        <is>
          <t>Health Associate Professionals Not Elsewhere Classified</t>
        </is>
      </c>
      <c r="D1086" s="15" t="inlineStr">
        <is>
          <t>1342</t>
        </is>
      </c>
      <c r="E1086" s="16" t="inlineStr">
        <is>
          <t>Health Service Managers</t>
        </is>
      </c>
      <c r="F1086" s="16" t="inlineStr">
        <is>
          <t>바이오 / 제약 / 임상헬스케어</t>
        </is>
      </c>
      <c r="G1086" s="15" t="inlineStr">
        <is>
          <t>vertical_promotion</t>
        </is>
      </c>
      <c r="H1086" s="16" t="inlineStr">
        <is>
          <t>조직 관리 및 리더십, 예산/손익(P&amp;L) 관리, 전사 전략 수립</t>
        </is>
      </c>
      <c r="I1086" s="16" t="inlineStr">
        <is>
          <t>MBA 또는 경영학 석사, 글로벌 비즈니스 협상력</t>
        </is>
      </c>
      <c r="J1086" s="16" t="inlineStr">
        <is>
          <t>팀장/관리직 경력 3년 이상 (총 경력 7~10년+)</t>
        </is>
      </c>
      <c r="K1086" s="15" t="inlineStr">
        <is>
          <t>★★★★☆</t>
        </is>
      </c>
      <c r="L1086" s="20" t="inlineStr">
        <is>
          <t>+35.0%</t>
        </is>
      </c>
    </row>
    <row r="1087">
      <c r="A1087" s="17" t="inlineStr">
        <is>
          <t>TR-1086</t>
        </is>
      </c>
      <c r="B1087" s="17" t="inlineStr">
        <is>
          <t>3311</t>
        </is>
      </c>
      <c r="C1087" s="18" t="inlineStr">
        <is>
          <t>Securities and Finance Dealers and Brokers</t>
        </is>
      </c>
      <c r="D1087" s="17" t="inlineStr">
        <is>
          <t>1219</t>
        </is>
      </c>
      <c r="E1087" s="18" t="inlineStr">
        <is>
          <t>Business Services and Administration Managers Not Elsewhere Classified</t>
        </is>
      </c>
      <c r="F1087" s="18" t="inlineStr">
        <is>
          <t>금융투자 / 핀테크 / 리스크</t>
        </is>
      </c>
      <c r="G1087" s="17" t="inlineStr">
        <is>
          <t>vertical_promotion</t>
        </is>
      </c>
      <c r="H1087" s="18" t="inlineStr">
        <is>
          <t>조직 관리 및 리더십, 예산/손익(P&amp;L) 관리, 전사 전략 수립</t>
        </is>
      </c>
      <c r="I1087" s="18" t="inlineStr">
        <is>
          <t>MBA 또는 경영학 석사, 글로벌 비즈니스 협상력</t>
        </is>
      </c>
      <c r="J1087" s="18" t="inlineStr">
        <is>
          <t>팀장/관리직 경력 3년 이상 (총 경력 7~10년+)</t>
        </is>
      </c>
      <c r="K1087" s="17" t="inlineStr">
        <is>
          <t>★★★★☆</t>
        </is>
      </c>
      <c r="L1087" s="21" t="inlineStr">
        <is>
          <t>+35.0%</t>
        </is>
      </c>
    </row>
    <row r="1088">
      <c r="A1088" s="15" t="inlineStr">
        <is>
          <t>TR-1087</t>
        </is>
      </c>
      <c r="B1088" s="15" t="inlineStr">
        <is>
          <t>3312</t>
        </is>
      </c>
      <c r="C1088" s="16" t="inlineStr">
        <is>
          <t>Credit and Loans Officers</t>
        </is>
      </c>
      <c r="D1088" s="15" t="inlineStr">
        <is>
          <t>1219</t>
        </is>
      </c>
      <c r="E1088" s="16" t="inlineStr">
        <is>
          <t>Business Services and Administration Managers Not Elsewhere Classified</t>
        </is>
      </c>
      <c r="F1088" s="16" t="inlineStr">
        <is>
          <t>금융투자 / 핀테크 / 리스크</t>
        </is>
      </c>
      <c r="G1088" s="15" t="inlineStr">
        <is>
          <t>vertical_promotion</t>
        </is>
      </c>
      <c r="H1088" s="16" t="inlineStr">
        <is>
          <t>조직 관리 및 리더십, 예산/손익(P&amp;L) 관리, 전사 전략 수립</t>
        </is>
      </c>
      <c r="I1088" s="16" t="inlineStr">
        <is>
          <t>MBA 또는 경영학 석사, 글로벌 비즈니스 협상력</t>
        </is>
      </c>
      <c r="J1088" s="16" t="inlineStr">
        <is>
          <t>팀장/관리직 경력 3년 이상 (총 경력 7~10년+)</t>
        </is>
      </c>
      <c r="K1088" s="15" t="inlineStr">
        <is>
          <t>★★★★☆</t>
        </is>
      </c>
      <c r="L1088" s="20" t="inlineStr">
        <is>
          <t>+35.0%</t>
        </is>
      </c>
    </row>
    <row r="1089">
      <c r="A1089" s="17" t="inlineStr">
        <is>
          <t>TR-1088</t>
        </is>
      </c>
      <c r="B1089" s="17" t="inlineStr">
        <is>
          <t>3313</t>
        </is>
      </c>
      <c r="C1089" s="18" t="inlineStr">
        <is>
          <t>Accounting Associate Professionals</t>
        </is>
      </c>
      <c r="D1089" s="17" t="inlineStr">
        <is>
          <t>1219</t>
        </is>
      </c>
      <c r="E1089" s="18" t="inlineStr">
        <is>
          <t>Business Services and Administration Managers Not Elsewhere Classified</t>
        </is>
      </c>
      <c r="F1089" s="18" t="inlineStr">
        <is>
          <t>금융투자 / 핀테크 / 리스크</t>
        </is>
      </c>
      <c r="G1089" s="17" t="inlineStr">
        <is>
          <t>vertical_promotion</t>
        </is>
      </c>
      <c r="H1089" s="18" t="inlineStr">
        <is>
          <t>조직 관리 및 리더십, 예산/손익(P&amp;L) 관리, 전사 전략 수립</t>
        </is>
      </c>
      <c r="I1089" s="18" t="inlineStr">
        <is>
          <t>MBA 또는 경영학 석사, 글로벌 비즈니스 협상력</t>
        </is>
      </c>
      <c r="J1089" s="18" t="inlineStr">
        <is>
          <t>팀장/관리직 경력 3년 이상 (총 경력 7~10년+)</t>
        </is>
      </c>
      <c r="K1089" s="17" t="inlineStr">
        <is>
          <t>★★★★☆</t>
        </is>
      </c>
      <c r="L1089" s="21" t="inlineStr">
        <is>
          <t>+35.0%</t>
        </is>
      </c>
    </row>
    <row r="1090">
      <c r="A1090" s="15" t="inlineStr">
        <is>
          <t>TR-1089</t>
        </is>
      </c>
      <c r="B1090" s="15" t="inlineStr">
        <is>
          <t>3314</t>
        </is>
      </c>
      <c r="C1090" s="16" t="inlineStr">
        <is>
          <t>Statistical, Mathematical and Related Associate Professionals</t>
        </is>
      </c>
      <c r="D1090" s="15" t="inlineStr">
        <is>
          <t>1219</t>
        </is>
      </c>
      <c r="E1090" s="16" t="inlineStr">
        <is>
          <t>Business Services and Administration Managers Not Elsewhere Classified</t>
        </is>
      </c>
      <c r="F1090" s="16" t="inlineStr">
        <is>
          <t>금융투자 / 핀테크 / 리스크</t>
        </is>
      </c>
      <c r="G1090" s="15" t="inlineStr">
        <is>
          <t>vertical_promotion</t>
        </is>
      </c>
      <c r="H1090" s="16" t="inlineStr">
        <is>
          <t>조직 관리 및 리더십, 예산/손익(P&amp;L) 관리, 전사 전략 수립</t>
        </is>
      </c>
      <c r="I1090" s="16" t="inlineStr">
        <is>
          <t>MBA 또는 경영학 석사, 글로벌 비즈니스 협상력</t>
        </is>
      </c>
      <c r="J1090" s="16" t="inlineStr">
        <is>
          <t>팀장/관리직 경력 3년 이상 (총 경력 7~10년+)</t>
        </is>
      </c>
      <c r="K1090" s="15" t="inlineStr">
        <is>
          <t>★★★★☆</t>
        </is>
      </c>
      <c r="L1090" s="20" t="inlineStr">
        <is>
          <t>+35.0%</t>
        </is>
      </c>
    </row>
    <row r="1091">
      <c r="A1091" s="17" t="inlineStr">
        <is>
          <t>TR-1090</t>
        </is>
      </c>
      <c r="B1091" s="17" t="inlineStr">
        <is>
          <t>3315</t>
        </is>
      </c>
      <c r="C1091" s="18" t="inlineStr">
        <is>
          <t>Valuers and Loss Assessors</t>
        </is>
      </c>
      <c r="D1091" s="17" t="inlineStr">
        <is>
          <t>1219</t>
        </is>
      </c>
      <c r="E1091" s="18" t="inlineStr">
        <is>
          <t>Business Services and Administration Managers Not Elsewhere Classified</t>
        </is>
      </c>
      <c r="F1091" s="18" t="inlineStr">
        <is>
          <t>금융투자 / 핀테크 / 리스크</t>
        </is>
      </c>
      <c r="G1091" s="17" t="inlineStr">
        <is>
          <t>vertical_promotion</t>
        </is>
      </c>
      <c r="H1091" s="18" t="inlineStr">
        <is>
          <t>조직 관리 및 리더십, 예산/손익(P&amp;L) 관리, 전사 전략 수립</t>
        </is>
      </c>
      <c r="I1091" s="18" t="inlineStr">
        <is>
          <t>MBA 또는 경영학 석사, 글로벌 비즈니스 협상력</t>
        </is>
      </c>
      <c r="J1091" s="18" t="inlineStr">
        <is>
          <t>팀장/관리직 경력 3년 이상 (총 경력 7~10년+)</t>
        </is>
      </c>
      <c r="K1091" s="17" t="inlineStr">
        <is>
          <t>★★★★☆</t>
        </is>
      </c>
      <c r="L1091" s="21" t="inlineStr">
        <is>
          <t>+35.0%</t>
        </is>
      </c>
    </row>
    <row r="1092">
      <c r="A1092" s="15" t="inlineStr">
        <is>
          <t>TR-1091</t>
        </is>
      </c>
      <c r="B1092" s="15" t="inlineStr">
        <is>
          <t>3321</t>
        </is>
      </c>
      <c r="C1092" s="16" t="inlineStr">
        <is>
          <t>Insurance Representatives</t>
        </is>
      </c>
      <c r="D1092" s="15" t="inlineStr">
        <is>
          <t>1219</t>
        </is>
      </c>
      <c r="E1092" s="16" t="inlineStr">
        <is>
          <t>Business Services and Administration Managers Not Elsewhere Classified</t>
        </is>
      </c>
      <c r="F1092" s="16" t="inlineStr">
        <is>
          <t>금융투자 / 핀테크 / 리스크</t>
        </is>
      </c>
      <c r="G1092" s="15" t="inlineStr">
        <is>
          <t>vertical_promotion</t>
        </is>
      </c>
      <c r="H1092" s="16" t="inlineStr">
        <is>
          <t>조직 관리 및 리더십, 예산/손익(P&amp;L) 관리, 전사 전략 수립</t>
        </is>
      </c>
      <c r="I1092" s="16" t="inlineStr">
        <is>
          <t>MBA 또는 경영학 석사, 글로벌 비즈니스 협상력</t>
        </is>
      </c>
      <c r="J1092" s="16" t="inlineStr">
        <is>
          <t>팀장/관리직 경력 3년 이상 (총 경력 7~10년+)</t>
        </is>
      </c>
      <c r="K1092" s="15" t="inlineStr">
        <is>
          <t>★★★★☆</t>
        </is>
      </c>
      <c r="L1092" s="20" t="inlineStr">
        <is>
          <t>+35.0%</t>
        </is>
      </c>
    </row>
    <row r="1093">
      <c r="A1093" s="17" t="inlineStr">
        <is>
          <t>TR-1092</t>
        </is>
      </c>
      <c r="B1093" s="17" t="inlineStr">
        <is>
          <t>3322</t>
        </is>
      </c>
      <c r="C1093" s="18" t="inlineStr">
        <is>
          <t>Commercial Sales Representatives</t>
        </is>
      </c>
      <c r="D1093" s="17" t="inlineStr">
        <is>
          <t>1219</t>
        </is>
      </c>
      <c r="E1093" s="18" t="inlineStr">
        <is>
          <t>Business Services and Administration Managers Not Elsewhere Classified</t>
        </is>
      </c>
      <c r="F1093" s="18" t="inlineStr">
        <is>
          <t>금융투자 / 핀테크 / 리스크</t>
        </is>
      </c>
      <c r="G1093" s="17" t="inlineStr">
        <is>
          <t>vertical_promotion</t>
        </is>
      </c>
      <c r="H1093" s="18" t="inlineStr">
        <is>
          <t>조직 관리 및 리더십, 예산/손익(P&amp;L) 관리, 전사 전략 수립</t>
        </is>
      </c>
      <c r="I1093" s="18" t="inlineStr">
        <is>
          <t>MBA 또는 경영학 석사, 글로벌 비즈니스 협상력</t>
        </is>
      </c>
      <c r="J1093" s="18" t="inlineStr">
        <is>
          <t>팀장/관리직 경력 3년 이상 (총 경력 7~10년+)</t>
        </is>
      </c>
      <c r="K1093" s="17" t="inlineStr">
        <is>
          <t>★★★★☆</t>
        </is>
      </c>
      <c r="L1093" s="21" t="inlineStr">
        <is>
          <t>+35.0%</t>
        </is>
      </c>
    </row>
    <row r="1094">
      <c r="A1094" s="15" t="inlineStr">
        <is>
          <t>TR-1093</t>
        </is>
      </c>
      <c r="B1094" s="15" t="inlineStr">
        <is>
          <t>3323</t>
        </is>
      </c>
      <c r="C1094" s="16" t="inlineStr">
        <is>
          <t>Buyers</t>
        </is>
      </c>
      <c r="D1094" s="15" t="inlineStr">
        <is>
          <t>1219</t>
        </is>
      </c>
      <c r="E1094" s="16" t="inlineStr">
        <is>
          <t>Business Services and Administration Managers Not Elsewhere Classified</t>
        </is>
      </c>
      <c r="F1094" s="16" t="inlineStr">
        <is>
          <t>금융투자 / 핀테크 / 리스크</t>
        </is>
      </c>
      <c r="G1094" s="15" t="inlineStr">
        <is>
          <t>vertical_promotion</t>
        </is>
      </c>
      <c r="H1094" s="16" t="inlineStr">
        <is>
          <t>조직 관리 및 리더십, 예산/손익(P&amp;L) 관리, 전사 전략 수립</t>
        </is>
      </c>
      <c r="I1094" s="16" t="inlineStr">
        <is>
          <t>MBA 또는 경영학 석사, 글로벌 비즈니스 협상력</t>
        </is>
      </c>
      <c r="J1094" s="16" t="inlineStr">
        <is>
          <t>팀장/관리직 경력 3년 이상 (총 경력 7~10년+)</t>
        </is>
      </c>
      <c r="K1094" s="15" t="inlineStr">
        <is>
          <t>★★★★☆</t>
        </is>
      </c>
      <c r="L1094" s="20" t="inlineStr">
        <is>
          <t>+35.0%</t>
        </is>
      </c>
    </row>
    <row r="1095">
      <c r="A1095" s="17" t="inlineStr">
        <is>
          <t>TR-1094</t>
        </is>
      </c>
      <c r="B1095" s="17" t="inlineStr">
        <is>
          <t>3324</t>
        </is>
      </c>
      <c r="C1095" s="18" t="inlineStr">
        <is>
          <t>Trade Brokers</t>
        </is>
      </c>
      <c r="D1095" s="17" t="inlineStr">
        <is>
          <t>1219</t>
        </is>
      </c>
      <c r="E1095" s="18" t="inlineStr">
        <is>
          <t>Business Services and Administration Managers Not Elsewhere Classified</t>
        </is>
      </c>
      <c r="F1095" s="18" t="inlineStr">
        <is>
          <t>금융투자 / 핀테크 / 리스크</t>
        </is>
      </c>
      <c r="G1095" s="17" t="inlineStr">
        <is>
          <t>vertical_promotion</t>
        </is>
      </c>
      <c r="H1095" s="18" t="inlineStr">
        <is>
          <t>조직 관리 및 리더십, 예산/손익(P&amp;L) 관리, 전사 전략 수립</t>
        </is>
      </c>
      <c r="I1095" s="18" t="inlineStr">
        <is>
          <t>MBA 또는 경영학 석사, 글로벌 비즈니스 협상력</t>
        </is>
      </c>
      <c r="J1095" s="18" t="inlineStr">
        <is>
          <t>팀장/관리직 경력 3년 이상 (총 경력 7~10년+)</t>
        </is>
      </c>
      <c r="K1095" s="17" t="inlineStr">
        <is>
          <t>★★★★☆</t>
        </is>
      </c>
      <c r="L1095" s="21" t="inlineStr">
        <is>
          <t>+35.0%</t>
        </is>
      </c>
    </row>
    <row r="1096">
      <c r="A1096" s="15" t="inlineStr">
        <is>
          <t>TR-1095</t>
        </is>
      </c>
      <c r="B1096" s="15" t="inlineStr">
        <is>
          <t>3331</t>
        </is>
      </c>
      <c r="C1096" s="16" t="inlineStr">
        <is>
          <t>Clearing and Forwarding Aents</t>
        </is>
      </c>
      <c r="D1096" s="15" t="inlineStr">
        <is>
          <t>1219</t>
        </is>
      </c>
      <c r="E1096" s="16" t="inlineStr">
        <is>
          <t>Business Services and Administration Managers Not Elsewhere Classified</t>
        </is>
      </c>
      <c r="F1096" s="16" t="inlineStr">
        <is>
          <t>금융투자 / 핀테크 / 리스크</t>
        </is>
      </c>
      <c r="G1096" s="15" t="inlineStr">
        <is>
          <t>vertical_promotion</t>
        </is>
      </c>
      <c r="H1096" s="16" t="inlineStr">
        <is>
          <t>조직 관리 및 리더십, 예산/손익(P&amp;L) 관리, 전사 전략 수립</t>
        </is>
      </c>
      <c r="I1096" s="16" t="inlineStr">
        <is>
          <t>MBA 또는 경영학 석사, 글로벌 비즈니스 협상력</t>
        </is>
      </c>
      <c r="J1096" s="16" t="inlineStr">
        <is>
          <t>팀장/관리직 경력 3년 이상 (총 경력 7~10년+)</t>
        </is>
      </c>
      <c r="K1096" s="15" t="inlineStr">
        <is>
          <t>★★★★☆</t>
        </is>
      </c>
      <c r="L1096" s="20" t="inlineStr">
        <is>
          <t>+35.0%</t>
        </is>
      </c>
    </row>
    <row r="1097">
      <c r="A1097" s="17" t="inlineStr">
        <is>
          <t>TR-1096</t>
        </is>
      </c>
      <c r="B1097" s="17" t="inlineStr">
        <is>
          <t>3332</t>
        </is>
      </c>
      <c r="C1097" s="18" t="inlineStr">
        <is>
          <t>Conference and Event Planners</t>
        </is>
      </c>
      <c r="D1097" s="17" t="inlineStr">
        <is>
          <t>1219</t>
        </is>
      </c>
      <c r="E1097" s="18" t="inlineStr">
        <is>
          <t>Business Services and Administration Managers Not Elsewhere Classified</t>
        </is>
      </c>
      <c r="F1097" s="18" t="inlineStr">
        <is>
          <t>금융투자 / 핀테크 / 리스크</t>
        </is>
      </c>
      <c r="G1097" s="17" t="inlineStr">
        <is>
          <t>vertical_promotion</t>
        </is>
      </c>
      <c r="H1097" s="18" t="inlineStr">
        <is>
          <t>조직 관리 및 리더십, 예산/손익(P&amp;L) 관리, 전사 전략 수립</t>
        </is>
      </c>
      <c r="I1097" s="18" t="inlineStr">
        <is>
          <t>MBA 또는 경영학 석사, 글로벌 비즈니스 협상력</t>
        </is>
      </c>
      <c r="J1097" s="18" t="inlineStr">
        <is>
          <t>팀장/관리직 경력 3년 이상 (총 경력 7~10년+)</t>
        </is>
      </c>
      <c r="K1097" s="17" t="inlineStr">
        <is>
          <t>★★★★☆</t>
        </is>
      </c>
      <c r="L1097" s="21" t="inlineStr">
        <is>
          <t>+35.0%</t>
        </is>
      </c>
    </row>
    <row r="1098">
      <c r="A1098" s="15" t="inlineStr">
        <is>
          <t>TR-1097</t>
        </is>
      </c>
      <c r="B1098" s="15" t="inlineStr">
        <is>
          <t>3333</t>
        </is>
      </c>
      <c r="C1098" s="16" t="inlineStr">
        <is>
          <t>Employment agents and contractors</t>
        </is>
      </c>
      <c r="D1098" s="15" t="inlineStr">
        <is>
          <t>1219</t>
        </is>
      </c>
      <c r="E1098" s="16" t="inlineStr">
        <is>
          <t>Business Services and Administration Managers Not Elsewhere Classified</t>
        </is>
      </c>
      <c r="F1098" s="16" t="inlineStr">
        <is>
          <t>금융투자 / 핀테크 / 리스크</t>
        </is>
      </c>
      <c r="G1098" s="15" t="inlineStr">
        <is>
          <t>vertical_promotion</t>
        </is>
      </c>
      <c r="H1098" s="16" t="inlineStr">
        <is>
          <t>조직 관리 및 리더십, 예산/손익(P&amp;L) 관리, 전사 전략 수립</t>
        </is>
      </c>
      <c r="I1098" s="16" t="inlineStr">
        <is>
          <t>MBA 또는 경영학 석사, 글로벌 비즈니스 협상력</t>
        </is>
      </c>
      <c r="J1098" s="16" t="inlineStr">
        <is>
          <t>팀장/관리직 경력 3년 이상 (총 경력 7~10년+)</t>
        </is>
      </c>
      <c r="K1098" s="15" t="inlineStr">
        <is>
          <t>★★★★☆</t>
        </is>
      </c>
      <c r="L1098" s="20" t="inlineStr">
        <is>
          <t>+35.0%</t>
        </is>
      </c>
    </row>
    <row r="1099">
      <c r="A1099" s="17" t="inlineStr">
        <is>
          <t>TR-1098</t>
        </is>
      </c>
      <c r="B1099" s="17" t="inlineStr">
        <is>
          <t>3334</t>
        </is>
      </c>
      <c r="C1099" s="18" t="inlineStr">
        <is>
          <t>Real Estate Agents and Property Managers</t>
        </is>
      </c>
      <c r="D1099" s="17" t="inlineStr">
        <is>
          <t>1219</t>
        </is>
      </c>
      <c r="E1099" s="18" t="inlineStr">
        <is>
          <t>Business Services and Administration Managers Not Elsewhere Classified</t>
        </is>
      </c>
      <c r="F1099" s="18" t="inlineStr">
        <is>
          <t>금융투자 / 핀테크 / 리스크</t>
        </is>
      </c>
      <c r="G1099" s="17" t="inlineStr">
        <is>
          <t>vertical_promotion</t>
        </is>
      </c>
      <c r="H1099" s="18" t="inlineStr">
        <is>
          <t>조직 관리 및 리더십, 예산/손익(P&amp;L) 관리, 전사 전략 수립</t>
        </is>
      </c>
      <c r="I1099" s="18" t="inlineStr">
        <is>
          <t>MBA 또는 경영학 석사, 글로벌 비즈니스 협상력</t>
        </is>
      </c>
      <c r="J1099" s="18" t="inlineStr">
        <is>
          <t>팀장/관리직 경력 3년 이상 (총 경력 7~10년+)</t>
        </is>
      </c>
      <c r="K1099" s="17" t="inlineStr">
        <is>
          <t>★★★★☆</t>
        </is>
      </c>
      <c r="L1099" s="21" t="inlineStr">
        <is>
          <t>+35.0%</t>
        </is>
      </c>
    </row>
    <row r="1100">
      <c r="A1100" s="15" t="inlineStr">
        <is>
          <t>TR-1099</t>
        </is>
      </c>
      <c r="B1100" s="15" t="inlineStr">
        <is>
          <t>3339</t>
        </is>
      </c>
      <c r="C1100" s="16" t="inlineStr">
        <is>
          <t>Business Services Agents Not Elsewhere Classified</t>
        </is>
      </c>
      <c r="D1100" s="15" t="inlineStr">
        <is>
          <t>1219</t>
        </is>
      </c>
      <c r="E1100" s="16" t="inlineStr">
        <is>
          <t>Business Services and Administration Managers Not Elsewhere Classified</t>
        </is>
      </c>
      <c r="F1100" s="16" t="inlineStr">
        <is>
          <t>금융투자 / 핀테크 / 리스크</t>
        </is>
      </c>
      <c r="G1100" s="15" t="inlineStr">
        <is>
          <t>vertical_promotion</t>
        </is>
      </c>
      <c r="H1100" s="16" t="inlineStr">
        <is>
          <t>조직 관리 및 리더십, 예산/손익(P&amp;L) 관리, 전사 전략 수립</t>
        </is>
      </c>
      <c r="I1100" s="16" t="inlineStr">
        <is>
          <t>MBA 또는 경영학 석사, 글로벌 비즈니스 협상력</t>
        </is>
      </c>
      <c r="J1100" s="16" t="inlineStr">
        <is>
          <t>팀장/관리직 경력 3년 이상 (총 경력 7~10년+)</t>
        </is>
      </c>
      <c r="K1100" s="15" t="inlineStr">
        <is>
          <t>★★★★☆</t>
        </is>
      </c>
      <c r="L1100" s="20" t="inlineStr">
        <is>
          <t>+35.0%</t>
        </is>
      </c>
    </row>
    <row r="1101">
      <c r="A1101" s="17" t="inlineStr">
        <is>
          <t>TR-1100</t>
        </is>
      </c>
      <c r="B1101" s="17" t="inlineStr">
        <is>
          <t>3341</t>
        </is>
      </c>
      <c r="C1101" s="18" t="inlineStr">
        <is>
          <t>Office Supervisors</t>
        </is>
      </c>
      <c r="D1101" s="17" t="inlineStr">
        <is>
          <t>1219</t>
        </is>
      </c>
      <c r="E1101" s="18" t="inlineStr">
        <is>
          <t>Business Services and Administration Managers Not Elsewhere Classified</t>
        </is>
      </c>
      <c r="F1101" s="18" t="inlineStr">
        <is>
          <t>금융투자 / 핀테크 / 리스크</t>
        </is>
      </c>
      <c r="G1101" s="17" t="inlineStr">
        <is>
          <t>vertical_promotion</t>
        </is>
      </c>
      <c r="H1101" s="18" t="inlineStr">
        <is>
          <t>조직 관리 및 리더십, 예산/손익(P&amp;L) 관리, 전사 전략 수립</t>
        </is>
      </c>
      <c r="I1101" s="18" t="inlineStr">
        <is>
          <t>MBA 또는 경영학 석사, 글로벌 비즈니스 협상력</t>
        </is>
      </c>
      <c r="J1101" s="18" t="inlineStr">
        <is>
          <t>팀장/관리직 경력 3년 이상 (총 경력 7~10년+)</t>
        </is>
      </c>
      <c r="K1101" s="17" t="inlineStr">
        <is>
          <t>★★★★☆</t>
        </is>
      </c>
      <c r="L1101" s="21" t="inlineStr">
        <is>
          <t>+35.0%</t>
        </is>
      </c>
    </row>
    <row r="1102">
      <c r="A1102" s="15" t="inlineStr">
        <is>
          <t>TR-1101</t>
        </is>
      </c>
      <c r="B1102" s="15" t="inlineStr">
        <is>
          <t>3342</t>
        </is>
      </c>
      <c r="C1102" s="16" t="inlineStr">
        <is>
          <t>Legal Secretaries</t>
        </is>
      </c>
      <c r="D1102" s="15" t="inlineStr">
        <is>
          <t>1219</t>
        </is>
      </c>
      <c r="E1102" s="16" t="inlineStr">
        <is>
          <t>Business Services and Administration Managers Not Elsewhere Classified</t>
        </is>
      </c>
      <c r="F1102" s="16" t="inlineStr">
        <is>
          <t>금융투자 / 핀테크 / 리스크</t>
        </is>
      </c>
      <c r="G1102" s="15" t="inlineStr">
        <is>
          <t>vertical_promotion</t>
        </is>
      </c>
      <c r="H1102" s="16" t="inlineStr">
        <is>
          <t>조직 관리 및 리더십, 예산/손익(P&amp;L) 관리, 전사 전략 수립</t>
        </is>
      </c>
      <c r="I1102" s="16" t="inlineStr">
        <is>
          <t>MBA 또는 경영학 석사, 글로벌 비즈니스 협상력</t>
        </is>
      </c>
      <c r="J1102" s="16" t="inlineStr">
        <is>
          <t>팀장/관리직 경력 3년 이상 (총 경력 7~10년+)</t>
        </is>
      </c>
      <c r="K1102" s="15" t="inlineStr">
        <is>
          <t>★★★★☆</t>
        </is>
      </c>
      <c r="L1102" s="20" t="inlineStr">
        <is>
          <t>+35.0%</t>
        </is>
      </c>
    </row>
    <row r="1103">
      <c r="A1103" s="17" t="inlineStr">
        <is>
          <t>TR-1102</t>
        </is>
      </c>
      <c r="B1103" s="17" t="inlineStr">
        <is>
          <t>3343</t>
        </is>
      </c>
      <c r="C1103" s="18" t="inlineStr">
        <is>
          <t>Administrative and Executive Secretaries</t>
        </is>
      </c>
      <c r="D1103" s="17" t="inlineStr">
        <is>
          <t>1219</t>
        </is>
      </c>
      <c r="E1103" s="18" t="inlineStr">
        <is>
          <t>Business Services and Administration Managers Not Elsewhere Classified</t>
        </is>
      </c>
      <c r="F1103" s="18" t="inlineStr">
        <is>
          <t>금융투자 / 핀테크 / 리스크</t>
        </is>
      </c>
      <c r="G1103" s="17" t="inlineStr">
        <is>
          <t>vertical_promotion</t>
        </is>
      </c>
      <c r="H1103" s="18" t="inlineStr">
        <is>
          <t>조직 관리 및 리더십, 예산/손익(P&amp;L) 관리, 전사 전략 수립</t>
        </is>
      </c>
      <c r="I1103" s="18" t="inlineStr">
        <is>
          <t>MBA 또는 경영학 석사, 글로벌 비즈니스 협상력</t>
        </is>
      </c>
      <c r="J1103" s="18" t="inlineStr">
        <is>
          <t>팀장/관리직 경력 3년 이상 (총 경력 7~10년+)</t>
        </is>
      </c>
      <c r="K1103" s="17" t="inlineStr">
        <is>
          <t>★★★★☆</t>
        </is>
      </c>
      <c r="L1103" s="21" t="inlineStr">
        <is>
          <t>+35.0%</t>
        </is>
      </c>
    </row>
    <row r="1104">
      <c r="A1104" s="15" t="inlineStr">
        <is>
          <t>TR-1103</t>
        </is>
      </c>
      <c r="B1104" s="15" t="inlineStr">
        <is>
          <t>3344</t>
        </is>
      </c>
      <c r="C1104" s="16" t="inlineStr">
        <is>
          <t>Medical Secretaries</t>
        </is>
      </c>
      <c r="D1104" s="15" t="inlineStr">
        <is>
          <t>1219</t>
        </is>
      </c>
      <c r="E1104" s="16" t="inlineStr">
        <is>
          <t>Business Services and Administration Managers Not Elsewhere Classified</t>
        </is>
      </c>
      <c r="F1104" s="16" t="inlineStr">
        <is>
          <t>금융투자 / 핀테크 / 리스크</t>
        </is>
      </c>
      <c r="G1104" s="15" t="inlineStr">
        <is>
          <t>vertical_promotion</t>
        </is>
      </c>
      <c r="H1104" s="16" t="inlineStr">
        <is>
          <t>조직 관리 및 리더십, 예산/손익(P&amp;L) 관리, 전사 전략 수립</t>
        </is>
      </c>
      <c r="I1104" s="16" t="inlineStr">
        <is>
          <t>MBA 또는 경영학 석사, 글로벌 비즈니스 협상력</t>
        </is>
      </c>
      <c r="J1104" s="16" t="inlineStr">
        <is>
          <t>팀장/관리직 경력 3년 이상 (총 경력 7~10년+)</t>
        </is>
      </c>
      <c r="K1104" s="15" t="inlineStr">
        <is>
          <t>★★★★☆</t>
        </is>
      </c>
      <c r="L1104" s="20" t="inlineStr">
        <is>
          <t>+35.0%</t>
        </is>
      </c>
    </row>
    <row r="1105">
      <c r="A1105" s="17" t="inlineStr">
        <is>
          <t>TR-1104</t>
        </is>
      </c>
      <c r="B1105" s="17" t="inlineStr">
        <is>
          <t>3351</t>
        </is>
      </c>
      <c r="C1105" s="18" t="inlineStr">
        <is>
          <t>Customs and Border Inspectors</t>
        </is>
      </c>
      <c r="D1105" s="17" t="inlineStr">
        <is>
          <t>1219</t>
        </is>
      </c>
      <c r="E1105" s="18" t="inlineStr">
        <is>
          <t>Business Services and Administration Managers Not Elsewhere Classified</t>
        </is>
      </c>
      <c r="F1105" s="18" t="inlineStr">
        <is>
          <t>금융투자 / 핀테크 / 리스크</t>
        </is>
      </c>
      <c r="G1105" s="17" t="inlineStr">
        <is>
          <t>vertical_promotion</t>
        </is>
      </c>
      <c r="H1105" s="18" t="inlineStr">
        <is>
          <t>조직 관리 및 리더십, 예산/손익(P&amp;L) 관리, 전사 전략 수립</t>
        </is>
      </c>
      <c r="I1105" s="18" t="inlineStr">
        <is>
          <t>MBA 또는 경영학 석사, 글로벌 비즈니스 협상력</t>
        </is>
      </c>
      <c r="J1105" s="18" t="inlineStr">
        <is>
          <t>팀장/관리직 경력 3년 이상 (총 경력 7~10년+)</t>
        </is>
      </c>
      <c r="K1105" s="17" t="inlineStr">
        <is>
          <t>★★★★☆</t>
        </is>
      </c>
      <c r="L1105" s="21" t="inlineStr">
        <is>
          <t>+35.0%</t>
        </is>
      </c>
    </row>
    <row r="1106">
      <c r="A1106" s="15" t="inlineStr">
        <is>
          <t>TR-1105</t>
        </is>
      </c>
      <c r="B1106" s="15" t="inlineStr">
        <is>
          <t>3352</t>
        </is>
      </c>
      <c r="C1106" s="16" t="inlineStr">
        <is>
          <t>Government Tax and Excise Officials</t>
        </is>
      </c>
      <c r="D1106" s="15" t="inlineStr">
        <is>
          <t>1219</t>
        </is>
      </c>
      <c r="E1106" s="16" t="inlineStr">
        <is>
          <t>Business Services and Administration Managers Not Elsewhere Classified</t>
        </is>
      </c>
      <c r="F1106" s="16" t="inlineStr">
        <is>
          <t>금융투자 / 핀테크 / 리스크</t>
        </is>
      </c>
      <c r="G1106" s="15" t="inlineStr">
        <is>
          <t>vertical_promotion</t>
        </is>
      </c>
      <c r="H1106" s="16" t="inlineStr">
        <is>
          <t>조직 관리 및 리더십, 예산/손익(P&amp;L) 관리, 전사 전략 수립</t>
        </is>
      </c>
      <c r="I1106" s="16" t="inlineStr">
        <is>
          <t>MBA 또는 경영학 석사, 글로벌 비즈니스 협상력</t>
        </is>
      </c>
      <c r="J1106" s="16" t="inlineStr">
        <is>
          <t>팀장/관리직 경력 3년 이상 (총 경력 7~10년+)</t>
        </is>
      </c>
      <c r="K1106" s="15" t="inlineStr">
        <is>
          <t>★★★★☆</t>
        </is>
      </c>
      <c r="L1106" s="20" t="inlineStr">
        <is>
          <t>+35.0%</t>
        </is>
      </c>
    </row>
    <row r="1107">
      <c r="A1107" s="17" t="inlineStr">
        <is>
          <t>TR-1106</t>
        </is>
      </c>
      <c r="B1107" s="17" t="inlineStr">
        <is>
          <t>3353</t>
        </is>
      </c>
      <c r="C1107" s="18" t="inlineStr">
        <is>
          <t>Government Social Benefits Officials</t>
        </is>
      </c>
      <c r="D1107" s="17" t="inlineStr">
        <is>
          <t>1219</t>
        </is>
      </c>
      <c r="E1107" s="18" t="inlineStr">
        <is>
          <t>Business Services and Administration Managers Not Elsewhere Classified</t>
        </is>
      </c>
      <c r="F1107" s="18" t="inlineStr">
        <is>
          <t>금융투자 / 핀테크 / 리스크</t>
        </is>
      </c>
      <c r="G1107" s="17" t="inlineStr">
        <is>
          <t>vertical_promotion</t>
        </is>
      </c>
      <c r="H1107" s="18" t="inlineStr">
        <is>
          <t>조직 관리 및 리더십, 예산/손익(P&amp;L) 관리, 전사 전략 수립</t>
        </is>
      </c>
      <c r="I1107" s="18" t="inlineStr">
        <is>
          <t>MBA 또는 경영학 석사, 글로벌 비즈니스 협상력</t>
        </is>
      </c>
      <c r="J1107" s="18" t="inlineStr">
        <is>
          <t>팀장/관리직 경력 3년 이상 (총 경력 7~10년+)</t>
        </is>
      </c>
      <c r="K1107" s="17" t="inlineStr">
        <is>
          <t>★★★★☆</t>
        </is>
      </c>
      <c r="L1107" s="21" t="inlineStr">
        <is>
          <t>+35.0%</t>
        </is>
      </c>
    </row>
    <row r="1108">
      <c r="A1108" s="15" t="inlineStr">
        <is>
          <t>TR-1107</t>
        </is>
      </c>
      <c r="B1108" s="15" t="inlineStr">
        <is>
          <t>3354</t>
        </is>
      </c>
      <c r="C1108" s="16" t="inlineStr">
        <is>
          <t>Government Licensing Officials</t>
        </is>
      </c>
      <c r="D1108" s="15" t="inlineStr">
        <is>
          <t>1219</t>
        </is>
      </c>
      <c r="E1108" s="16" t="inlineStr">
        <is>
          <t>Business Services and Administration Managers Not Elsewhere Classified</t>
        </is>
      </c>
      <c r="F1108" s="16" t="inlineStr">
        <is>
          <t>금융투자 / 핀테크 / 리스크</t>
        </is>
      </c>
      <c r="G1108" s="15" t="inlineStr">
        <is>
          <t>vertical_promotion</t>
        </is>
      </c>
      <c r="H1108" s="16" t="inlineStr">
        <is>
          <t>조직 관리 및 리더십, 예산/손익(P&amp;L) 관리, 전사 전략 수립</t>
        </is>
      </c>
      <c r="I1108" s="16" t="inlineStr">
        <is>
          <t>MBA 또는 경영학 석사, 글로벌 비즈니스 협상력</t>
        </is>
      </c>
      <c r="J1108" s="16" t="inlineStr">
        <is>
          <t>팀장/관리직 경력 3년 이상 (총 경력 7~10년+)</t>
        </is>
      </c>
      <c r="K1108" s="15" t="inlineStr">
        <is>
          <t>★★★★☆</t>
        </is>
      </c>
      <c r="L1108" s="20" t="inlineStr">
        <is>
          <t>+35.0%</t>
        </is>
      </c>
    </row>
    <row r="1109">
      <c r="A1109" s="17" t="inlineStr">
        <is>
          <t>TR-1108</t>
        </is>
      </c>
      <c r="B1109" s="17" t="inlineStr">
        <is>
          <t>3355</t>
        </is>
      </c>
      <c r="C1109" s="18" t="inlineStr">
        <is>
          <t>Police Inspectors and Detectives</t>
        </is>
      </c>
      <c r="D1109" s="17" t="inlineStr">
        <is>
          <t>1219</t>
        </is>
      </c>
      <c r="E1109" s="18" t="inlineStr">
        <is>
          <t>Business Services and Administration Managers Not Elsewhere Classified</t>
        </is>
      </c>
      <c r="F1109" s="18" t="inlineStr">
        <is>
          <t>금융투자 / 핀테크 / 리스크</t>
        </is>
      </c>
      <c r="G1109" s="17" t="inlineStr">
        <is>
          <t>vertical_promotion</t>
        </is>
      </c>
      <c r="H1109" s="18" t="inlineStr">
        <is>
          <t>조직 관리 및 리더십, 예산/손익(P&amp;L) 관리, 전사 전략 수립</t>
        </is>
      </c>
      <c r="I1109" s="18" t="inlineStr">
        <is>
          <t>MBA 또는 경영학 석사, 글로벌 비즈니스 협상력</t>
        </is>
      </c>
      <c r="J1109" s="18" t="inlineStr">
        <is>
          <t>팀장/관리직 경력 3년 이상 (총 경력 7~10년+)</t>
        </is>
      </c>
      <c r="K1109" s="17" t="inlineStr">
        <is>
          <t>★★★★☆</t>
        </is>
      </c>
      <c r="L1109" s="21" t="inlineStr">
        <is>
          <t>+35.0%</t>
        </is>
      </c>
    </row>
    <row r="1110">
      <c r="A1110" s="15" t="inlineStr">
        <is>
          <t>TR-1109</t>
        </is>
      </c>
      <c r="B1110" s="15" t="inlineStr">
        <is>
          <t>3359</t>
        </is>
      </c>
      <c r="C1110" s="16" t="inlineStr">
        <is>
          <t>Government Regulatory AssociatePprofessionals Not Elsewhere Classified</t>
        </is>
      </c>
      <c r="D1110" s="15" t="inlineStr">
        <is>
          <t>1219</t>
        </is>
      </c>
      <c r="E1110" s="16" t="inlineStr">
        <is>
          <t>Business Services and Administration Managers Not Elsewhere Classified</t>
        </is>
      </c>
      <c r="F1110" s="16" t="inlineStr">
        <is>
          <t>금융투자 / 핀테크 / 리스크</t>
        </is>
      </c>
      <c r="G1110" s="15" t="inlineStr">
        <is>
          <t>vertical_promotion</t>
        </is>
      </c>
      <c r="H1110" s="16" t="inlineStr">
        <is>
          <t>조직 관리 및 리더십, 예산/손익(P&amp;L) 관리, 전사 전략 수립</t>
        </is>
      </c>
      <c r="I1110" s="16" t="inlineStr">
        <is>
          <t>MBA 또는 경영학 석사, 글로벌 비즈니스 협상력</t>
        </is>
      </c>
      <c r="J1110" s="16" t="inlineStr">
        <is>
          <t>팀장/관리직 경력 3년 이상 (총 경력 7~10년+)</t>
        </is>
      </c>
      <c r="K1110" s="15" t="inlineStr">
        <is>
          <t>★★★★☆</t>
        </is>
      </c>
      <c r="L1110" s="20" t="inlineStr">
        <is>
          <t>+35.0%</t>
        </is>
      </c>
    </row>
    <row r="1111">
      <c r="A1111" s="17" t="inlineStr">
        <is>
          <t>TR-1110</t>
        </is>
      </c>
      <c r="B1111" s="17" t="inlineStr">
        <is>
          <t>3411</t>
        </is>
      </c>
      <c r="C1111" s="18" t="inlineStr">
        <is>
          <t>Legal and Related Associate Professionals</t>
        </is>
      </c>
      <c r="D1111" s="17" t="inlineStr">
        <is>
          <t>1219</t>
        </is>
      </c>
      <c r="E1111" s="18" t="inlineStr">
        <is>
          <t>Business Services and Administration Managers Not Elsewhere Classified</t>
        </is>
      </c>
      <c r="F1111" s="18" t="inlineStr">
        <is>
          <t>법률 / 지식재산권 / 변리</t>
        </is>
      </c>
      <c r="G1111" s="17" t="inlineStr">
        <is>
          <t>vertical_promotion</t>
        </is>
      </c>
      <c r="H1111" s="18" t="inlineStr">
        <is>
          <t>조직 관리 및 리더십, 예산/손익(P&amp;L) 관리, 전사 전략 수립</t>
        </is>
      </c>
      <c r="I1111" s="18" t="inlineStr">
        <is>
          <t>MBA 또는 경영학 석사, 글로벌 비즈니스 협상력</t>
        </is>
      </c>
      <c r="J1111" s="18" t="inlineStr">
        <is>
          <t>팀장/관리직 경력 3년 이상 (총 경력 7~10년+)</t>
        </is>
      </c>
      <c r="K1111" s="17" t="inlineStr">
        <is>
          <t>★★★★☆</t>
        </is>
      </c>
      <c r="L1111" s="21" t="inlineStr">
        <is>
          <t>+35.0%</t>
        </is>
      </c>
    </row>
    <row r="1112">
      <c r="A1112" s="15" t="inlineStr">
        <is>
          <t>TR-1111</t>
        </is>
      </c>
      <c r="B1112" s="15" t="inlineStr">
        <is>
          <t>3412</t>
        </is>
      </c>
      <c r="C1112" s="16" t="inlineStr">
        <is>
          <t>Social Work Associate Professionals</t>
        </is>
      </c>
      <c r="D1112" s="15" t="inlineStr">
        <is>
          <t>1219</t>
        </is>
      </c>
      <c r="E1112" s="16" t="inlineStr">
        <is>
          <t>Business Services and Administration Managers Not Elsewhere Classified</t>
        </is>
      </c>
      <c r="F1112" s="16" t="inlineStr">
        <is>
          <t>법률 / 지식재산권 / 변리</t>
        </is>
      </c>
      <c r="G1112" s="15" t="inlineStr">
        <is>
          <t>vertical_promotion</t>
        </is>
      </c>
      <c r="H1112" s="16" t="inlineStr">
        <is>
          <t>조직 관리 및 리더십, 예산/손익(P&amp;L) 관리, 전사 전략 수립</t>
        </is>
      </c>
      <c r="I1112" s="16" t="inlineStr">
        <is>
          <t>MBA 또는 경영학 석사, 글로벌 비즈니스 협상력</t>
        </is>
      </c>
      <c r="J1112" s="16" t="inlineStr">
        <is>
          <t>팀장/관리직 경력 3년 이상 (총 경력 7~10년+)</t>
        </is>
      </c>
      <c r="K1112" s="15" t="inlineStr">
        <is>
          <t>★★★★☆</t>
        </is>
      </c>
      <c r="L1112" s="20" t="inlineStr">
        <is>
          <t>+35.0%</t>
        </is>
      </c>
    </row>
    <row r="1113">
      <c r="A1113" s="17" t="inlineStr">
        <is>
          <t>TR-1112</t>
        </is>
      </c>
      <c r="B1113" s="17" t="inlineStr">
        <is>
          <t>3413</t>
        </is>
      </c>
      <c r="C1113" s="18" t="inlineStr">
        <is>
          <t>Religious Associate Professionals</t>
        </is>
      </c>
      <c r="D1113" s="17" t="inlineStr">
        <is>
          <t>1219</t>
        </is>
      </c>
      <c r="E1113" s="18" t="inlineStr">
        <is>
          <t>Business Services and Administration Managers Not Elsewhere Classified</t>
        </is>
      </c>
      <c r="F1113" s="18" t="inlineStr">
        <is>
          <t>법률 / 지식재산권 / 변리</t>
        </is>
      </c>
      <c r="G1113" s="17" t="inlineStr">
        <is>
          <t>vertical_promotion</t>
        </is>
      </c>
      <c r="H1113" s="18" t="inlineStr">
        <is>
          <t>조직 관리 및 리더십, 예산/손익(P&amp;L) 관리, 전사 전략 수립</t>
        </is>
      </c>
      <c r="I1113" s="18" t="inlineStr">
        <is>
          <t>MBA 또는 경영학 석사, 글로벌 비즈니스 협상력</t>
        </is>
      </c>
      <c r="J1113" s="18" t="inlineStr">
        <is>
          <t>팀장/관리직 경력 3년 이상 (총 경력 7~10년+)</t>
        </is>
      </c>
      <c r="K1113" s="17" t="inlineStr">
        <is>
          <t>★★★★☆</t>
        </is>
      </c>
      <c r="L1113" s="21" t="inlineStr">
        <is>
          <t>+35.0%</t>
        </is>
      </c>
    </row>
    <row r="1114">
      <c r="A1114" s="15" t="inlineStr">
        <is>
          <t>TR-1113</t>
        </is>
      </c>
      <c r="B1114" s="15" t="inlineStr">
        <is>
          <t>3421</t>
        </is>
      </c>
      <c r="C1114" s="16" t="inlineStr">
        <is>
          <t>Athletes and Sports Players</t>
        </is>
      </c>
      <c r="D1114" s="15" t="inlineStr">
        <is>
          <t>1219</t>
        </is>
      </c>
      <c r="E1114" s="16" t="inlineStr">
        <is>
          <t>Business Services and Administration Managers Not Elsewhere Classified</t>
        </is>
      </c>
      <c r="F1114" s="16" t="inlineStr">
        <is>
          <t>법률 / 지식재산권 / 변리</t>
        </is>
      </c>
      <c r="G1114" s="15" t="inlineStr">
        <is>
          <t>vertical_promotion</t>
        </is>
      </c>
      <c r="H1114" s="16" t="inlineStr">
        <is>
          <t>조직 관리 및 리더십, 예산/손익(P&amp;L) 관리, 전사 전략 수립</t>
        </is>
      </c>
      <c r="I1114" s="16" t="inlineStr">
        <is>
          <t>MBA 또는 경영학 석사, 글로벌 비즈니스 협상력</t>
        </is>
      </c>
      <c r="J1114" s="16" t="inlineStr">
        <is>
          <t>팀장/관리직 경력 3년 이상 (총 경력 7~10년+)</t>
        </is>
      </c>
      <c r="K1114" s="15" t="inlineStr">
        <is>
          <t>★★★★☆</t>
        </is>
      </c>
      <c r="L1114" s="20" t="inlineStr">
        <is>
          <t>+35.0%</t>
        </is>
      </c>
    </row>
    <row r="1115">
      <c r="A1115" s="17" t="inlineStr">
        <is>
          <t>TR-1114</t>
        </is>
      </c>
      <c r="B1115" s="17" t="inlineStr">
        <is>
          <t>3422</t>
        </is>
      </c>
      <c r="C1115" s="18" t="inlineStr">
        <is>
          <t>Sports Coaches, Instructors and Officials</t>
        </is>
      </c>
      <c r="D1115" s="17" t="inlineStr">
        <is>
          <t>1219</t>
        </is>
      </c>
      <c r="E1115" s="18" t="inlineStr">
        <is>
          <t>Business Services and Administration Managers Not Elsewhere Classified</t>
        </is>
      </c>
      <c r="F1115" s="18" t="inlineStr">
        <is>
          <t>법률 / 지식재산권 / 변리</t>
        </is>
      </c>
      <c r="G1115" s="17" t="inlineStr">
        <is>
          <t>vertical_promotion</t>
        </is>
      </c>
      <c r="H1115" s="18" t="inlineStr">
        <is>
          <t>조직 관리 및 리더십, 예산/손익(P&amp;L) 관리, 전사 전략 수립</t>
        </is>
      </c>
      <c r="I1115" s="18" t="inlineStr">
        <is>
          <t>MBA 또는 경영학 석사, 글로벌 비즈니스 협상력</t>
        </is>
      </c>
      <c r="J1115" s="18" t="inlineStr">
        <is>
          <t>팀장/관리직 경력 3년 이상 (총 경력 7~10년+)</t>
        </is>
      </c>
      <c r="K1115" s="17" t="inlineStr">
        <is>
          <t>★★★★☆</t>
        </is>
      </c>
      <c r="L1115" s="21" t="inlineStr">
        <is>
          <t>+35.0%</t>
        </is>
      </c>
    </row>
    <row r="1116">
      <c r="A1116" s="15" t="inlineStr">
        <is>
          <t>TR-1115</t>
        </is>
      </c>
      <c r="B1116" s="15" t="inlineStr">
        <is>
          <t>3423</t>
        </is>
      </c>
      <c r="C1116" s="16" t="inlineStr">
        <is>
          <t>Fitness and Recreation Instructors and Programme Leaders</t>
        </is>
      </c>
      <c r="D1116" s="15" t="inlineStr">
        <is>
          <t>1219</t>
        </is>
      </c>
      <c r="E1116" s="16" t="inlineStr">
        <is>
          <t>Business Services and Administration Managers Not Elsewhere Classified</t>
        </is>
      </c>
      <c r="F1116" s="16" t="inlineStr">
        <is>
          <t>법률 / 지식재산권 / 변리</t>
        </is>
      </c>
      <c r="G1116" s="15" t="inlineStr">
        <is>
          <t>vertical_promotion</t>
        </is>
      </c>
      <c r="H1116" s="16" t="inlineStr">
        <is>
          <t>조직 관리 및 리더십, 예산/손익(P&amp;L) 관리, 전사 전략 수립</t>
        </is>
      </c>
      <c r="I1116" s="16" t="inlineStr">
        <is>
          <t>MBA 또는 경영학 석사, 글로벌 비즈니스 협상력</t>
        </is>
      </c>
      <c r="J1116" s="16" t="inlineStr">
        <is>
          <t>팀장/관리직 경력 3년 이상 (총 경력 7~10년+)</t>
        </is>
      </c>
      <c r="K1116" s="15" t="inlineStr">
        <is>
          <t>★★★★☆</t>
        </is>
      </c>
      <c r="L1116" s="20" t="inlineStr">
        <is>
          <t>+35.0%</t>
        </is>
      </c>
    </row>
    <row r="1117">
      <c r="A1117" s="17" t="inlineStr">
        <is>
          <t>TR-1116</t>
        </is>
      </c>
      <c r="B1117" s="17" t="inlineStr">
        <is>
          <t>3431</t>
        </is>
      </c>
      <c r="C1117" s="18" t="inlineStr">
        <is>
          <t>Photographers</t>
        </is>
      </c>
      <c r="D1117" s="17" t="inlineStr">
        <is>
          <t>1219</t>
        </is>
      </c>
      <c r="E1117" s="18" t="inlineStr">
        <is>
          <t>Business Services and Administration Managers Not Elsewhere Classified</t>
        </is>
      </c>
      <c r="F1117" s="18" t="inlineStr">
        <is>
          <t>법률 / 지식재산권 / 변리</t>
        </is>
      </c>
      <c r="G1117" s="17" t="inlineStr">
        <is>
          <t>vertical_promotion</t>
        </is>
      </c>
      <c r="H1117" s="18" t="inlineStr">
        <is>
          <t>조직 관리 및 리더십, 예산/손익(P&amp;L) 관리, 전사 전략 수립</t>
        </is>
      </c>
      <c r="I1117" s="18" t="inlineStr">
        <is>
          <t>MBA 또는 경영학 석사, 글로벌 비즈니스 협상력</t>
        </is>
      </c>
      <c r="J1117" s="18" t="inlineStr">
        <is>
          <t>팀장/관리직 경력 3년 이상 (총 경력 7~10년+)</t>
        </is>
      </c>
      <c r="K1117" s="17" t="inlineStr">
        <is>
          <t>★★★★☆</t>
        </is>
      </c>
      <c r="L1117" s="21" t="inlineStr">
        <is>
          <t>+35.0%</t>
        </is>
      </c>
    </row>
    <row r="1118">
      <c r="A1118" s="15" t="inlineStr">
        <is>
          <t>TR-1117</t>
        </is>
      </c>
      <c r="B1118" s="15" t="inlineStr">
        <is>
          <t>3432</t>
        </is>
      </c>
      <c r="C1118" s="16" t="inlineStr">
        <is>
          <t>Interior Designers and Decorators</t>
        </is>
      </c>
      <c r="D1118" s="15" t="inlineStr">
        <is>
          <t>1219</t>
        </is>
      </c>
      <c r="E1118" s="16" t="inlineStr">
        <is>
          <t>Business Services and Administration Managers Not Elsewhere Classified</t>
        </is>
      </c>
      <c r="F1118" s="16" t="inlineStr">
        <is>
          <t>법률 / 지식재산권 / 변리</t>
        </is>
      </c>
      <c r="G1118" s="15" t="inlineStr">
        <is>
          <t>vertical_promotion</t>
        </is>
      </c>
      <c r="H1118" s="16" t="inlineStr">
        <is>
          <t>조직 관리 및 리더십, 예산/손익(P&amp;L) 관리, 전사 전략 수립</t>
        </is>
      </c>
      <c r="I1118" s="16" t="inlineStr">
        <is>
          <t>MBA 또는 경영학 석사, 글로벌 비즈니스 협상력</t>
        </is>
      </c>
      <c r="J1118" s="16" t="inlineStr">
        <is>
          <t>팀장/관리직 경력 3년 이상 (총 경력 7~10년+)</t>
        </is>
      </c>
      <c r="K1118" s="15" t="inlineStr">
        <is>
          <t>★★★★☆</t>
        </is>
      </c>
      <c r="L1118" s="20" t="inlineStr">
        <is>
          <t>+35.0%</t>
        </is>
      </c>
    </row>
    <row r="1119">
      <c r="A1119" s="17" t="inlineStr">
        <is>
          <t>TR-1118</t>
        </is>
      </c>
      <c r="B1119" s="17" t="inlineStr">
        <is>
          <t>3433</t>
        </is>
      </c>
      <c r="C1119" s="18" t="inlineStr">
        <is>
          <t>Gallery, Museum and Library Technicians</t>
        </is>
      </c>
      <c r="D1119" s="17" t="inlineStr">
        <is>
          <t>1219</t>
        </is>
      </c>
      <c r="E1119" s="18" t="inlineStr">
        <is>
          <t>Business Services and Administration Managers Not Elsewhere Classified</t>
        </is>
      </c>
      <c r="F1119" s="18" t="inlineStr">
        <is>
          <t>법률 / 지식재산권 / 변리</t>
        </is>
      </c>
      <c r="G1119" s="17" t="inlineStr">
        <is>
          <t>vertical_promotion</t>
        </is>
      </c>
      <c r="H1119" s="18" t="inlineStr">
        <is>
          <t>조직 관리 및 리더십, 예산/손익(P&amp;L) 관리, 전사 전략 수립</t>
        </is>
      </c>
      <c r="I1119" s="18" t="inlineStr">
        <is>
          <t>MBA 또는 경영학 석사, 글로벌 비즈니스 협상력</t>
        </is>
      </c>
      <c r="J1119" s="18" t="inlineStr">
        <is>
          <t>팀장/관리직 경력 3년 이상 (총 경력 7~10년+)</t>
        </is>
      </c>
      <c r="K1119" s="17" t="inlineStr">
        <is>
          <t>★★★★☆</t>
        </is>
      </c>
      <c r="L1119" s="21" t="inlineStr">
        <is>
          <t>+35.0%</t>
        </is>
      </c>
    </row>
    <row r="1120">
      <c r="A1120" s="15" t="inlineStr">
        <is>
          <t>TR-1119</t>
        </is>
      </c>
      <c r="B1120" s="15" t="inlineStr">
        <is>
          <t>3434</t>
        </is>
      </c>
      <c r="C1120" s="16" t="inlineStr">
        <is>
          <t>Chefs</t>
        </is>
      </c>
      <c r="D1120" s="15" t="inlineStr">
        <is>
          <t>1219</t>
        </is>
      </c>
      <c r="E1120" s="16" t="inlineStr">
        <is>
          <t>Business Services and Administration Managers Not Elsewhere Classified</t>
        </is>
      </c>
      <c r="F1120" s="16" t="inlineStr">
        <is>
          <t>법률 / 지식재산권 / 변리</t>
        </is>
      </c>
      <c r="G1120" s="15" t="inlineStr">
        <is>
          <t>vertical_promotion</t>
        </is>
      </c>
      <c r="H1120" s="16" t="inlineStr">
        <is>
          <t>조직 관리 및 리더십, 예산/손익(P&amp;L) 관리, 전사 전략 수립</t>
        </is>
      </c>
      <c r="I1120" s="16" t="inlineStr">
        <is>
          <t>MBA 또는 경영학 석사, 글로벌 비즈니스 협상력</t>
        </is>
      </c>
      <c r="J1120" s="16" t="inlineStr">
        <is>
          <t>팀장/관리직 경력 3년 이상 (총 경력 7~10년+)</t>
        </is>
      </c>
      <c r="K1120" s="15" t="inlineStr">
        <is>
          <t>★★★★☆</t>
        </is>
      </c>
      <c r="L1120" s="20" t="inlineStr">
        <is>
          <t>+35.0%</t>
        </is>
      </c>
    </row>
    <row r="1121">
      <c r="A1121" s="17" t="inlineStr">
        <is>
          <t>TR-1120</t>
        </is>
      </c>
      <c r="B1121" s="17" t="inlineStr">
        <is>
          <t>3435</t>
        </is>
      </c>
      <c r="C1121" s="18" t="inlineStr">
        <is>
          <t>Other Artistic and Cultural Associate Professionals</t>
        </is>
      </c>
      <c r="D1121" s="17" t="inlineStr">
        <is>
          <t>1219</t>
        </is>
      </c>
      <c r="E1121" s="18" t="inlineStr">
        <is>
          <t>Business Services and Administration Managers Not Elsewhere Classified</t>
        </is>
      </c>
      <c r="F1121" s="18" t="inlineStr">
        <is>
          <t>법률 / 지식재산권 / 변리</t>
        </is>
      </c>
      <c r="G1121" s="17" t="inlineStr">
        <is>
          <t>vertical_promotion</t>
        </is>
      </c>
      <c r="H1121" s="18" t="inlineStr">
        <is>
          <t>조직 관리 및 리더십, 예산/손익(P&amp;L) 관리, 전사 전략 수립</t>
        </is>
      </c>
      <c r="I1121" s="18" t="inlineStr">
        <is>
          <t>MBA 또는 경영학 석사, 글로벌 비즈니스 협상력</t>
        </is>
      </c>
      <c r="J1121" s="18" t="inlineStr">
        <is>
          <t>팀장/관리직 경력 3년 이상 (총 경력 7~10년+)</t>
        </is>
      </c>
      <c r="K1121" s="17" t="inlineStr">
        <is>
          <t>★★★★☆</t>
        </is>
      </c>
      <c r="L1121" s="21" t="inlineStr">
        <is>
          <t>+35.0%</t>
        </is>
      </c>
    </row>
    <row r="1122">
      <c r="A1122" s="15" t="inlineStr">
        <is>
          <t>TR-1121</t>
        </is>
      </c>
      <c r="B1122" s="15" t="inlineStr">
        <is>
          <t>3511</t>
        </is>
      </c>
      <c r="C1122" s="16" t="inlineStr">
        <is>
          <t>Information and Communications Technology Operations Technicians</t>
        </is>
      </c>
      <c r="D1122" s="15" t="inlineStr">
        <is>
          <t>1330</t>
        </is>
      </c>
      <c r="E1122" s="16" t="inlineStr">
        <is>
          <t>Information and Communications Technology Service Managers</t>
        </is>
      </c>
      <c r="F1122" s="16" t="inlineStr">
        <is>
          <t>ICT / Software &amp; Data / AI</t>
        </is>
      </c>
      <c r="G1122" s="15" t="inlineStr">
        <is>
          <t>vertical_promotion</t>
        </is>
      </c>
      <c r="H1122" s="16" t="inlineStr">
        <is>
          <t>조직 관리 및 리더십, 예산/손익(P&amp;L) 관리, 전사 전략 수립</t>
        </is>
      </c>
      <c r="I1122" s="16" t="inlineStr">
        <is>
          <t>MBA 또는 경영학 석사, 글로벌 비즈니스 협상력</t>
        </is>
      </c>
      <c r="J1122" s="16" t="inlineStr">
        <is>
          <t>팀장/관리직 경력 3년 이상 (총 경력 7~10년+)</t>
        </is>
      </c>
      <c r="K1122" s="15" t="inlineStr">
        <is>
          <t>★★★★☆</t>
        </is>
      </c>
      <c r="L1122" s="20" t="inlineStr">
        <is>
          <t>+35.0%</t>
        </is>
      </c>
    </row>
    <row r="1123">
      <c r="A1123" s="17" t="inlineStr">
        <is>
          <t>TR-1122</t>
        </is>
      </c>
      <c r="B1123" s="17" t="inlineStr">
        <is>
          <t>3512</t>
        </is>
      </c>
      <c r="C1123" s="18" t="inlineStr">
        <is>
          <t>Information and Communications Technology User Support Technicians</t>
        </is>
      </c>
      <c r="D1123" s="17" t="inlineStr">
        <is>
          <t>1330</t>
        </is>
      </c>
      <c r="E1123" s="18" t="inlineStr">
        <is>
          <t>Information and Communications Technology Service Managers</t>
        </is>
      </c>
      <c r="F1123" s="18" t="inlineStr">
        <is>
          <t>ICT / Software &amp; Data / AI</t>
        </is>
      </c>
      <c r="G1123" s="17" t="inlineStr">
        <is>
          <t>vertical_promotion</t>
        </is>
      </c>
      <c r="H1123" s="18" t="inlineStr">
        <is>
          <t>조직 관리 및 리더십, 예산/손익(P&amp;L) 관리, 전사 전략 수립</t>
        </is>
      </c>
      <c r="I1123" s="18" t="inlineStr">
        <is>
          <t>MBA 또는 경영학 석사, 글로벌 비즈니스 협상력</t>
        </is>
      </c>
      <c r="J1123" s="18" t="inlineStr">
        <is>
          <t>팀장/관리직 경력 3년 이상 (총 경력 7~10년+)</t>
        </is>
      </c>
      <c r="K1123" s="17" t="inlineStr">
        <is>
          <t>★★★★☆</t>
        </is>
      </c>
      <c r="L1123" s="21" t="inlineStr">
        <is>
          <t>+35.0%</t>
        </is>
      </c>
    </row>
    <row r="1124">
      <c r="A1124" s="15" t="inlineStr">
        <is>
          <t>TR-1123</t>
        </is>
      </c>
      <c r="B1124" s="15" t="inlineStr">
        <is>
          <t>3513</t>
        </is>
      </c>
      <c r="C1124" s="16" t="inlineStr">
        <is>
          <t>Computer Network and Systems Technicians</t>
        </is>
      </c>
      <c r="D1124" s="15" t="inlineStr">
        <is>
          <t>1330</t>
        </is>
      </c>
      <c r="E1124" s="16" t="inlineStr">
        <is>
          <t>Information and Communications Technology Service Managers</t>
        </is>
      </c>
      <c r="F1124" s="16" t="inlineStr">
        <is>
          <t>ICT / Software &amp; Data / AI</t>
        </is>
      </c>
      <c r="G1124" s="15" t="inlineStr">
        <is>
          <t>vertical_promotion</t>
        </is>
      </c>
      <c r="H1124" s="16" t="inlineStr">
        <is>
          <t>조직 관리 및 리더십, 예산/손익(P&amp;L) 관리, 전사 전략 수립</t>
        </is>
      </c>
      <c r="I1124" s="16" t="inlineStr">
        <is>
          <t>MBA 또는 경영학 석사, 글로벌 비즈니스 협상력</t>
        </is>
      </c>
      <c r="J1124" s="16" t="inlineStr">
        <is>
          <t>팀장/관리직 경력 3년 이상 (총 경력 7~10년+)</t>
        </is>
      </c>
      <c r="K1124" s="15" t="inlineStr">
        <is>
          <t>★★★★☆</t>
        </is>
      </c>
      <c r="L1124" s="20" t="inlineStr">
        <is>
          <t>+35.0%</t>
        </is>
      </c>
    </row>
    <row r="1125">
      <c r="A1125" s="17" t="inlineStr">
        <is>
          <t>TR-1124</t>
        </is>
      </c>
      <c r="B1125" s="17" t="inlineStr">
        <is>
          <t>3514</t>
        </is>
      </c>
      <c r="C1125" s="18" t="inlineStr">
        <is>
          <t>Web Technicians</t>
        </is>
      </c>
      <c r="D1125" s="17" t="inlineStr">
        <is>
          <t>1330</t>
        </is>
      </c>
      <c r="E1125" s="18" t="inlineStr">
        <is>
          <t>Information and Communications Technology Service Managers</t>
        </is>
      </c>
      <c r="F1125" s="18" t="inlineStr">
        <is>
          <t>ICT / Software &amp; Data / AI</t>
        </is>
      </c>
      <c r="G1125" s="17" t="inlineStr">
        <is>
          <t>vertical_promotion</t>
        </is>
      </c>
      <c r="H1125" s="18" t="inlineStr">
        <is>
          <t>조직 관리 및 리더십, 예산/손익(P&amp;L) 관리, 전사 전략 수립</t>
        </is>
      </c>
      <c r="I1125" s="18" t="inlineStr">
        <is>
          <t>MBA 또는 경영학 석사, 글로벌 비즈니스 협상력</t>
        </is>
      </c>
      <c r="J1125" s="18" t="inlineStr">
        <is>
          <t>팀장/관리직 경력 3년 이상 (총 경력 7~10년+)</t>
        </is>
      </c>
      <c r="K1125" s="17" t="inlineStr">
        <is>
          <t>★★★★☆</t>
        </is>
      </c>
      <c r="L1125" s="21" t="inlineStr">
        <is>
          <t>+35.0%</t>
        </is>
      </c>
    </row>
    <row r="1126">
      <c r="A1126" s="15" t="inlineStr">
        <is>
          <t>TR-1125</t>
        </is>
      </c>
      <c r="B1126" s="15" t="inlineStr">
        <is>
          <t>3521</t>
        </is>
      </c>
      <c r="C1126" s="16" t="inlineStr">
        <is>
          <t>Broadcasting and Audio-visual Technicians</t>
        </is>
      </c>
      <c r="D1126" s="15" t="inlineStr">
        <is>
          <t>1330</t>
        </is>
      </c>
      <c r="E1126" s="16" t="inlineStr">
        <is>
          <t>Information and Communications Technology Service Managers</t>
        </is>
      </c>
      <c r="F1126" s="16" t="inlineStr">
        <is>
          <t>ICT / Software &amp; Data / AI</t>
        </is>
      </c>
      <c r="G1126" s="15" t="inlineStr">
        <is>
          <t>vertical_promotion</t>
        </is>
      </c>
      <c r="H1126" s="16" t="inlineStr">
        <is>
          <t>조직 관리 및 리더십, 예산/손익(P&amp;L) 관리, 전사 전략 수립</t>
        </is>
      </c>
      <c r="I1126" s="16" t="inlineStr">
        <is>
          <t>MBA 또는 경영학 석사, 글로벌 비즈니스 협상력</t>
        </is>
      </c>
      <c r="J1126" s="16" t="inlineStr">
        <is>
          <t>팀장/관리직 경력 3년 이상 (총 경력 7~10년+)</t>
        </is>
      </c>
      <c r="K1126" s="15" t="inlineStr">
        <is>
          <t>★★★★☆</t>
        </is>
      </c>
      <c r="L1126" s="20" t="inlineStr">
        <is>
          <t>+35.0%</t>
        </is>
      </c>
    </row>
    <row r="1127">
      <c r="A1127" s="17" t="inlineStr">
        <is>
          <t>TR-1126</t>
        </is>
      </c>
      <c r="B1127" s="17" t="inlineStr">
        <is>
          <t>3522</t>
        </is>
      </c>
      <c r="C1127" s="18" t="inlineStr">
        <is>
          <t>Telecommunications Engineering Technicians</t>
        </is>
      </c>
      <c r="D1127" s="17" t="inlineStr">
        <is>
          <t>1330</t>
        </is>
      </c>
      <c r="E1127" s="18" t="inlineStr">
        <is>
          <t>Information and Communications Technology Service Managers</t>
        </is>
      </c>
      <c r="F1127" s="18" t="inlineStr">
        <is>
          <t>ICT / Software &amp; Data / AI</t>
        </is>
      </c>
      <c r="G1127" s="17" t="inlineStr">
        <is>
          <t>vertical_promotion</t>
        </is>
      </c>
      <c r="H1127" s="18" t="inlineStr">
        <is>
          <t>조직 관리 및 리더십, 예산/손익(P&amp;L) 관리, 전사 전략 수립</t>
        </is>
      </c>
      <c r="I1127" s="18" t="inlineStr">
        <is>
          <t>MBA 또는 경영학 석사, 글로벌 비즈니스 협상력</t>
        </is>
      </c>
      <c r="J1127" s="18" t="inlineStr">
        <is>
          <t>팀장/관리직 경력 3년 이상 (총 경력 7~10년+)</t>
        </is>
      </c>
      <c r="K1127" s="17" t="inlineStr">
        <is>
          <t>★★★★☆</t>
        </is>
      </c>
      <c r="L1127" s="21" t="inlineStr">
        <is>
          <t>+35.0%</t>
        </is>
      </c>
    </row>
    <row r="1128">
      <c r="A1128" s="15" t="inlineStr">
        <is>
          <t>TR-1127</t>
        </is>
      </c>
      <c r="B1128" s="15" t="inlineStr">
        <is>
          <t>4110</t>
        </is>
      </c>
      <c r="C1128" s="16" t="inlineStr">
        <is>
          <t>General Office Clerks</t>
        </is>
      </c>
      <c r="D1128" s="15" t="inlineStr">
        <is>
          <t>1219</t>
        </is>
      </c>
      <c r="E1128" s="16" t="inlineStr">
        <is>
          <t>Business Services and Administration Managers Not Elsewhere Classified</t>
        </is>
      </c>
      <c r="F1128" s="16" t="inlineStr">
        <is>
          <t>경영전략 / 인사 / 사업개발</t>
        </is>
      </c>
      <c r="G1128" s="15" t="inlineStr">
        <is>
          <t>vertical_promotion</t>
        </is>
      </c>
      <c r="H1128" s="16" t="inlineStr">
        <is>
          <t>조직 관리 및 리더십, 예산/손익(P&amp;L) 관리, 전사 전략 수립</t>
        </is>
      </c>
      <c r="I1128" s="16" t="inlineStr">
        <is>
          <t>MBA 또는 경영학 석사, 글로벌 비즈니스 협상력</t>
        </is>
      </c>
      <c r="J1128" s="16" t="inlineStr">
        <is>
          <t>팀장/관리직 경력 3년 이상 (총 경력 7~10년+)</t>
        </is>
      </c>
      <c r="K1128" s="15" t="inlineStr">
        <is>
          <t>★★★★☆</t>
        </is>
      </c>
      <c r="L1128" s="20" t="inlineStr">
        <is>
          <t>+35.0%</t>
        </is>
      </c>
    </row>
    <row r="1129">
      <c r="A1129" s="17" t="inlineStr">
        <is>
          <t>TR-1128</t>
        </is>
      </c>
      <c r="B1129" s="17" t="inlineStr">
        <is>
          <t>4120</t>
        </is>
      </c>
      <c r="C1129" s="18" t="inlineStr">
        <is>
          <t>Secretaries (general)</t>
        </is>
      </c>
      <c r="D1129" s="17" t="inlineStr">
        <is>
          <t>1219</t>
        </is>
      </c>
      <c r="E1129" s="18" t="inlineStr">
        <is>
          <t>Business Services and Administration Managers Not Elsewhere Classified</t>
        </is>
      </c>
      <c r="F1129" s="18" t="inlineStr">
        <is>
          <t>경영전략 / 인사 / 사업개발</t>
        </is>
      </c>
      <c r="G1129" s="17" t="inlineStr">
        <is>
          <t>vertical_promotion</t>
        </is>
      </c>
      <c r="H1129" s="18" t="inlineStr">
        <is>
          <t>조직 관리 및 리더십, 예산/손익(P&amp;L) 관리, 전사 전략 수립</t>
        </is>
      </c>
      <c r="I1129" s="18" t="inlineStr">
        <is>
          <t>MBA 또는 경영학 석사, 글로벌 비즈니스 협상력</t>
        </is>
      </c>
      <c r="J1129" s="18" t="inlineStr">
        <is>
          <t>팀장/관리직 경력 3년 이상 (총 경력 7~10년+)</t>
        </is>
      </c>
      <c r="K1129" s="17" t="inlineStr">
        <is>
          <t>★★★★☆</t>
        </is>
      </c>
      <c r="L1129" s="21" t="inlineStr">
        <is>
          <t>+35.0%</t>
        </is>
      </c>
    </row>
    <row r="1130">
      <c r="A1130" s="15" t="inlineStr">
        <is>
          <t>TR-1129</t>
        </is>
      </c>
      <c r="B1130" s="15" t="inlineStr">
        <is>
          <t>4131</t>
        </is>
      </c>
      <c r="C1130" s="16" t="inlineStr">
        <is>
          <t>Typists and Word Processing Operators</t>
        </is>
      </c>
      <c r="D1130" s="15" t="inlineStr">
        <is>
          <t>1219</t>
        </is>
      </c>
      <c r="E1130" s="16" t="inlineStr">
        <is>
          <t>Business Services and Administration Managers Not Elsewhere Classified</t>
        </is>
      </c>
      <c r="F1130" s="16" t="inlineStr">
        <is>
          <t>경영전략 / 인사 / 사업개발</t>
        </is>
      </c>
      <c r="G1130" s="15" t="inlineStr">
        <is>
          <t>vertical_promotion</t>
        </is>
      </c>
      <c r="H1130" s="16" t="inlineStr">
        <is>
          <t>조직 관리 및 리더십, 예산/손익(P&amp;L) 관리, 전사 전략 수립</t>
        </is>
      </c>
      <c r="I1130" s="16" t="inlineStr">
        <is>
          <t>MBA 또는 경영학 석사, 글로벌 비즈니스 협상력</t>
        </is>
      </c>
      <c r="J1130" s="16" t="inlineStr">
        <is>
          <t>팀장/관리직 경력 3년 이상 (총 경력 7~10년+)</t>
        </is>
      </c>
      <c r="K1130" s="15" t="inlineStr">
        <is>
          <t>★★★★☆</t>
        </is>
      </c>
      <c r="L1130" s="20" t="inlineStr">
        <is>
          <t>+35.0%</t>
        </is>
      </c>
    </row>
    <row r="1131">
      <c r="A1131" s="17" t="inlineStr">
        <is>
          <t>TR-1130</t>
        </is>
      </c>
      <c r="B1131" s="17" t="inlineStr">
        <is>
          <t>4132</t>
        </is>
      </c>
      <c r="C1131" s="18" t="inlineStr">
        <is>
          <t>Data Entry Clerks</t>
        </is>
      </c>
      <c r="D1131" s="17" t="inlineStr">
        <is>
          <t>1219</t>
        </is>
      </c>
      <c r="E1131" s="18" t="inlineStr">
        <is>
          <t>Business Services and Administration Managers Not Elsewhere Classified</t>
        </is>
      </c>
      <c r="F1131" s="18" t="inlineStr">
        <is>
          <t>경영전략 / 인사 / 사업개발</t>
        </is>
      </c>
      <c r="G1131" s="17" t="inlineStr">
        <is>
          <t>vertical_promotion</t>
        </is>
      </c>
      <c r="H1131" s="18" t="inlineStr">
        <is>
          <t>조직 관리 및 리더십, 예산/손익(P&amp;L) 관리, 전사 전략 수립</t>
        </is>
      </c>
      <c r="I1131" s="18" t="inlineStr">
        <is>
          <t>MBA 또는 경영학 석사, 글로벌 비즈니스 협상력</t>
        </is>
      </c>
      <c r="J1131" s="18" t="inlineStr">
        <is>
          <t>팀장/관리직 경력 3년 이상 (총 경력 7~10년+)</t>
        </is>
      </c>
      <c r="K1131" s="17" t="inlineStr">
        <is>
          <t>★★★★☆</t>
        </is>
      </c>
      <c r="L1131" s="21" t="inlineStr">
        <is>
          <t>+35.0%</t>
        </is>
      </c>
    </row>
    <row r="1132">
      <c r="A1132" s="15" t="inlineStr">
        <is>
          <t>TR-1131</t>
        </is>
      </c>
      <c r="B1132" s="15" t="inlineStr">
        <is>
          <t>4211</t>
        </is>
      </c>
      <c r="C1132" s="16" t="inlineStr">
        <is>
          <t>Bank Tellers and Related Clerks</t>
        </is>
      </c>
      <c r="D1132" s="15" t="inlineStr">
        <is>
          <t>1219</t>
        </is>
      </c>
      <c r="E1132" s="16" t="inlineStr">
        <is>
          <t>Business Services and Administration Managers Not Elsewhere Classified</t>
        </is>
      </c>
      <c r="F1132" s="16" t="inlineStr">
        <is>
          <t>B2B영업 / 마케팅 / GTM</t>
        </is>
      </c>
      <c r="G1132" s="15" t="inlineStr">
        <is>
          <t>vertical_promotion</t>
        </is>
      </c>
      <c r="H1132" s="16" t="inlineStr">
        <is>
          <t>조직 관리 및 리더십, 예산/손익(P&amp;L) 관리, 전사 전략 수립</t>
        </is>
      </c>
      <c r="I1132" s="16" t="inlineStr">
        <is>
          <t>MBA 또는 경영학 석사, 글로벌 비즈니스 협상력</t>
        </is>
      </c>
      <c r="J1132" s="16" t="inlineStr">
        <is>
          <t>팀장/관리직 경력 3년 이상 (총 경력 7~10년+)</t>
        </is>
      </c>
      <c r="K1132" s="15" t="inlineStr">
        <is>
          <t>★★★★☆</t>
        </is>
      </c>
      <c r="L1132" s="20" t="inlineStr">
        <is>
          <t>+35.0%</t>
        </is>
      </c>
    </row>
    <row r="1133">
      <c r="A1133" s="17" t="inlineStr">
        <is>
          <t>TR-1132</t>
        </is>
      </c>
      <c r="B1133" s="17" t="inlineStr">
        <is>
          <t>4212</t>
        </is>
      </c>
      <c r="C1133" s="18" t="inlineStr">
        <is>
          <t>Bookmakers, Croupiers and Related Gaming Workers</t>
        </is>
      </c>
      <c r="D1133" s="17" t="inlineStr">
        <is>
          <t>1219</t>
        </is>
      </c>
      <c r="E1133" s="18" t="inlineStr">
        <is>
          <t>Business Services and Administration Managers Not Elsewhere Classified</t>
        </is>
      </c>
      <c r="F1133" s="18" t="inlineStr">
        <is>
          <t>B2B영업 / 마케팅 / GTM</t>
        </is>
      </c>
      <c r="G1133" s="17" t="inlineStr">
        <is>
          <t>vertical_promotion</t>
        </is>
      </c>
      <c r="H1133" s="18" t="inlineStr">
        <is>
          <t>조직 관리 및 리더십, 예산/손익(P&amp;L) 관리, 전사 전략 수립</t>
        </is>
      </c>
      <c r="I1133" s="18" t="inlineStr">
        <is>
          <t>MBA 또는 경영학 석사, 글로벌 비즈니스 협상력</t>
        </is>
      </c>
      <c r="J1133" s="18" t="inlineStr">
        <is>
          <t>팀장/관리직 경력 3년 이상 (총 경력 7~10년+)</t>
        </is>
      </c>
      <c r="K1133" s="17" t="inlineStr">
        <is>
          <t>★★★★☆</t>
        </is>
      </c>
      <c r="L1133" s="21" t="inlineStr">
        <is>
          <t>+35.0%</t>
        </is>
      </c>
    </row>
    <row r="1134">
      <c r="A1134" s="15" t="inlineStr">
        <is>
          <t>TR-1133</t>
        </is>
      </c>
      <c r="B1134" s="15" t="inlineStr">
        <is>
          <t>4213</t>
        </is>
      </c>
      <c r="C1134" s="16" t="inlineStr">
        <is>
          <t>Pawnbrokers and Money-lenders</t>
        </is>
      </c>
      <c r="D1134" s="15" t="inlineStr">
        <is>
          <t>1219</t>
        </is>
      </c>
      <c r="E1134" s="16" t="inlineStr">
        <is>
          <t>Business Services and Administration Managers Not Elsewhere Classified</t>
        </is>
      </c>
      <c r="F1134" s="16" t="inlineStr">
        <is>
          <t>B2B영업 / 마케팅 / GTM</t>
        </is>
      </c>
      <c r="G1134" s="15" t="inlineStr">
        <is>
          <t>vertical_promotion</t>
        </is>
      </c>
      <c r="H1134" s="16" t="inlineStr">
        <is>
          <t>조직 관리 및 리더십, 예산/손익(P&amp;L) 관리, 전사 전략 수립</t>
        </is>
      </c>
      <c r="I1134" s="16" t="inlineStr">
        <is>
          <t>MBA 또는 경영학 석사, 글로벌 비즈니스 협상력</t>
        </is>
      </c>
      <c r="J1134" s="16" t="inlineStr">
        <is>
          <t>팀장/관리직 경력 3년 이상 (총 경력 7~10년+)</t>
        </is>
      </c>
      <c r="K1134" s="15" t="inlineStr">
        <is>
          <t>★★★★☆</t>
        </is>
      </c>
      <c r="L1134" s="20" t="inlineStr">
        <is>
          <t>+35.0%</t>
        </is>
      </c>
    </row>
    <row r="1135">
      <c r="A1135" s="17" t="inlineStr">
        <is>
          <t>TR-1134</t>
        </is>
      </c>
      <c r="B1135" s="17" t="inlineStr">
        <is>
          <t>4214</t>
        </is>
      </c>
      <c r="C1135" s="18" t="inlineStr">
        <is>
          <t>Debt Collectors and Related Workers</t>
        </is>
      </c>
      <c r="D1135" s="17" t="inlineStr">
        <is>
          <t>1219</t>
        </is>
      </c>
      <c r="E1135" s="18" t="inlineStr">
        <is>
          <t>Business Services and Administration Managers Not Elsewhere Classified</t>
        </is>
      </c>
      <c r="F1135" s="18" t="inlineStr">
        <is>
          <t>B2B영업 / 마케팅 / GTM</t>
        </is>
      </c>
      <c r="G1135" s="17" t="inlineStr">
        <is>
          <t>vertical_promotion</t>
        </is>
      </c>
      <c r="H1135" s="18" t="inlineStr">
        <is>
          <t>조직 관리 및 리더십, 예산/손익(P&amp;L) 관리, 전사 전략 수립</t>
        </is>
      </c>
      <c r="I1135" s="18" t="inlineStr">
        <is>
          <t>MBA 또는 경영학 석사, 글로벌 비즈니스 협상력</t>
        </is>
      </c>
      <c r="J1135" s="18" t="inlineStr">
        <is>
          <t>팀장/관리직 경력 3년 이상 (총 경력 7~10년+)</t>
        </is>
      </c>
      <c r="K1135" s="17" t="inlineStr">
        <is>
          <t>★★★★☆</t>
        </is>
      </c>
      <c r="L1135" s="21" t="inlineStr">
        <is>
          <t>+35.0%</t>
        </is>
      </c>
    </row>
    <row r="1136">
      <c r="A1136" s="15" t="inlineStr">
        <is>
          <t>TR-1135</t>
        </is>
      </c>
      <c r="B1136" s="15" t="inlineStr">
        <is>
          <t>4221</t>
        </is>
      </c>
      <c r="C1136" s="16" t="inlineStr">
        <is>
          <t>Travel Consultants and Clerks</t>
        </is>
      </c>
      <c r="D1136" s="15" t="inlineStr">
        <is>
          <t>1219</t>
        </is>
      </c>
      <c r="E1136" s="16" t="inlineStr">
        <is>
          <t>Business Services and Administration Managers Not Elsewhere Classified</t>
        </is>
      </c>
      <c r="F1136" s="16" t="inlineStr">
        <is>
          <t>B2B영업 / 마케팅 / GTM</t>
        </is>
      </c>
      <c r="G1136" s="15" t="inlineStr">
        <is>
          <t>vertical_promotion</t>
        </is>
      </c>
      <c r="H1136" s="16" t="inlineStr">
        <is>
          <t>조직 관리 및 리더십, 예산/손익(P&amp;L) 관리, 전사 전략 수립</t>
        </is>
      </c>
      <c r="I1136" s="16" t="inlineStr">
        <is>
          <t>MBA 또는 경영학 석사, 글로벌 비즈니스 협상력</t>
        </is>
      </c>
      <c r="J1136" s="16" t="inlineStr">
        <is>
          <t>팀장/관리직 경력 3년 이상 (총 경력 7~10년+)</t>
        </is>
      </c>
      <c r="K1136" s="15" t="inlineStr">
        <is>
          <t>★★★★☆</t>
        </is>
      </c>
      <c r="L1136" s="20" t="inlineStr">
        <is>
          <t>+35.0%</t>
        </is>
      </c>
    </row>
    <row r="1137">
      <c r="A1137" s="17" t="inlineStr">
        <is>
          <t>TR-1136</t>
        </is>
      </c>
      <c r="B1137" s="17" t="inlineStr">
        <is>
          <t>4222</t>
        </is>
      </c>
      <c r="C1137" s="18" t="inlineStr">
        <is>
          <t>Contact Centre Information Clerks</t>
        </is>
      </c>
      <c r="D1137" s="17" t="inlineStr">
        <is>
          <t>1219</t>
        </is>
      </c>
      <c r="E1137" s="18" t="inlineStr">
        <is>
          <t>Business Services and Administration Managers Not Elsewhere Classified</t>
        </is>
      </c>
      <c r="F1137" s="18" t="inlineStr">
        <is>
          <t>B2B영업 / 마케팅 / GTM</t>
        </is>
      </c>
      <c r="G1137" s="17" t="inlineStr">
        <is>
          <t>vertical_promotion</t>
        </is>
      </c>
      <c r="H1137" s="18" t="inlineStr">
        <is>
          <t>조직 관리 및 리더십, 예산/손익(P&amp;L) 관리, 전사 전략 수립</t>
        </is>
      </c>
      <c r="I1137" s="18" t="inlineStr">
        <is>
          <t>MBA 또는 경영학 석사, 글로벌 비즈니스 협상력</t>
        </is>
      </c>
      <c r="J1137" s="18" t="inlineStr">
        <is>
          <t>팀장/관리직 경력 3년 이상 (총 경력 7~10년+)</t>
        </is>
      </c>
      <c r="K1137" s="17" t="inlineStr">
        <is>
          <t>★★★★☆</t>
        </is>
      </c>
      <c r="L1137" s="21" t="inlineStr">
        <is>
          <t>+35.0%</t>
        </is>
      </c>
    </row>
    <row r="1138">
      <c r="A1138" s="15" t="inlineStr">
        <is>
          <t>TR-1137</t>
        </is>
      </c>
      <c r="B1138" s="15" t="inlineStr">
        <is>
          <t>4223</t>
        </is>
      </c>
      <c r="C1138" s="16" t="inlineStr">
        <is>
          <t>Telephone Switchboard Operators</t>
        </is>
      </c>
      <c r="D1138" s="15" t="inlineStr">
        <is>
          <t>1219</t>
        </is>
      </c>
      <c r="E1138" s="16" t="inlineStr">
        <is>
          <t>Business Services and Administration Managers Not Elsewhere Classified</t>
        </is>
      </c>
      <c r="F1138" s="16" t="inlineStr">
        <is>
          <t>B2B영업 / 마케팅 / GTM</t>
        </is>
      </c>
      <c r="G1138" s="15" t="inlineStr">
        <is>
          <t>vertical_promotion</t>
        </is>
      </c>
      <c r="H1138" s="16" t="inlineStr">
        <is>
          <t>조직 관리 및 리더십, 예산/손익(P&amp;L) 관리, 전사 전략 수립</t>
        </is>
      </c>
      <c r="I1138" s="16" t="inlineStr">
        <is>
          <t>MBA 또는 경영학 석사, 글로벌 비즈니스 협상력</t>
        </is>
      </c>
      <c r="J1138" s="16" t="inlineStr">
        <is>
          <t>팀장/관리직 경력 3년 이상 (총 경력 7~10년+)</t>
        </is>
      </c>
      <c r="K1138" s="15" t="inlineStr">
        <is>
          <t>★★★★☆</t>
        </is>
      </c>
      <c r="L1138" s="20" t="inlineStr">
        <is>
          <t>+35.0%</t>
        </is>
      </c>
    </row>
    <row r="1139">
      <c r="A1139" s="17" t="inlineStr">
        <is>
          <t>TR-1138</t>
        </is>
      </c>
      <c r="B1139" s="17" t="inlineStr">
        <is>
          <t>4224</t>
        </is>
      </c>
      <c r="C1139" s="18" t="inlineStr">
        <is>
          <t>Hotel Receptionists</t>
        </is>
      </c>
      <c r="D1139" s="17" t="inlineStr">
        <is>
          <t>1219</t>
        </is>
      </c>
      <c r="E1139" s="18" t="inlineStr">
        <is>
          <t>Business Services and Administration Managers Not Elsewhere Classified</t>
        </is>
      </c>
      <c r="F1139" s="18" t="inlineStr">
        <is>
          <t>B2B영업 / 마케팅 / GTM</t>
        </is>
      </c>
      <c r="G1139" s="17" t="inlineStr">
        <is>
          <t>vertical_promotion</t>
        </is>
      </c>
      <c r="H1139" s="18" t="inlineStr">
        <is>
          <t>조직 관리 및 리더십, 예산/손익(P&amp;L) 관리, 전사 전략 수립</t>
        </is>
      </c>
      <c r="I1139" s="18" t="inlineStr">
        <is>
          <t>MBA 또는 경영학 석사, 글로벌 비즈니스 협상력</t>
        </is>
      </c>
      <c r="J1139" s="18" t="inlineStr">
        <is>
          <t>팀장/관리직 경력 3년 이상 (총 경력 7~10년+)</t>
        </is>
      </c>
      <c r="K1139" s="17" t="inlineStr">
        <is>
          <t>★★★★☆</t>
        </is>
      </c>
      <c r="L1139" s="21" t="inlineStr">
        <is>
          <t>+35.0%</t>
        </is>
      </c>
    </row>
    <row r="1140">
      <c r="A1140" s="15" t="inlineStr">
        <is>
          <t>TR-1139</t>
        </is>
      </c>
      <c r="B1140" s="15" t="inlineStr">
        <is>
          <t>4225</t>
        </is>
      </c>
      <c r="C1140" s="16" t="inlineStr">
        <is>
          <t>Inquiry Clerks</t>
        </is>
      </c>
      <c r="D1140" s="15" t="inlineStr">
        <is>
          <t>1219</t>
        </is>
      </c>
      <c r="E1140" s="16" t="inlineStr">
        <is>
          <t>Business Services and Administration Managers Not Elsewhere Classified</t>
        </is>
      </c>
      <c r="F1140" s="16" t="inlineStr">
        <is>
          <t>B2B영업 / 마케팅 / GTM</t>
        </is>
      </c>
      <c r="G1140" s="15" t="inlineStr">
        <is>
          <t>vertical_promotion</t>
        </is>
      </c>
      <c r="H1140" s="16" t="inlineStr">
        <is>
          <t>조직 관리 및 리더십, 예산/손익(P&amp;L) 관리, 전사 전략 수립</t>
        </is>
      </c>
      <c r="I1140" s="16" t="inlineStr">
        <is>
          <t>MBA 또는 경영학 석사, 글로벌 비즈니스 협상력</t>
        </is>
      </c>
      <c r="J1140" s="16" t="inlineStr">
        <is>
          <t>팀장/관리직 경력 3년 이상 (총 경력 7~10년+)</t>
        </is>
      </c>
      <c r="K1140" s="15" t="inlineStr">
        <is>
          <t>★★★★☆</t>
        </is>
      </c>
      <c r="L1140" s="20" t="inlineStr">
        <is>
          <t>+35.0%</t>
        </is>
      </c>
    </row>
    <row r="1141">
      <c r="A1141" s="17" t="inlineStr">
        <is>
          <t>TR-1140</t>
        </is>
      </c>
      <c r="B1141" s="17" t="inlineStr">
        <is>
          <t>4226</t>
        </is>
      </c>
      <c r="C1141" s="18" t="inlineStr">
        <is>
          <t>Receptionists (general)</t>
        </is>
      </c>
      <c r="D1141" s="17" t="inlineStr">
        <is>
          <t>1219</t>
        </is>
      </c>
      <c r="E1141" s="18" t="inlineStr">
        <is>
          <t>Business Services and Administration Managers Not Elsewhere Classified</t>
        </is>
      </c>
      <c r="F1141" s="18" t="inlineStr">
        <is>
          <t>B2B영업 / 마케팅 / GTM</t>
        </is>
      </c>
      <c r="G1141" s="17" t="inlineStr">
        <is>
          <t>vertical_promotion</t>
        </is>
      </c>
      <c r="H1141" s="18" t="inlineStr">
        <is>
          <t>조직 관리 및 리더십, 예산/손익(P&amp;L) 관리, 전사 전략 수립</t>
        </is>
      </c>
      <c r="I1141" s="18" t="inlineStr">
        <is>
          <t>MBA 또는 경영학 석사, 글로벌 비즈니스 협상력</t>
        </is>
      </c>
      <c r="J1141" s="18" t="inlineStr">
        <is>
          <t>팀장/관리직 경력 3년 이상 (총 경력 7~10년+)</t>
        </is>
      </c>
      <c r="K1141" s="17" t="inlineStr">
        <is>
          <t>★★★★☆</t>
        </is>
      </c>
      <c r="L1141" s="21" t="inlineStr">
        <is>
          <t>+35.0%</t>
        </is>
      </c>
    </row>
    <row r="1142">
      <c r="A1142" s="15" t="inlineStr">
        <is>
          <t>TR-1141</t>
        </is>
      </c>
      <c r="B1142" s="15" t="inlineStr">
        <is>
          <t>4227</t>
        </is>
      </c>
      <c r="C1142" s="16" t="inlineStr">
        <is>
          <t>Survey and Market Research Interviewers</t>
        </is>
      </c>
      <c r="D1142" s="15" t="inlineStr">
        <is>
          <t>1219</t>
        </is>
      </c>
      <c r="E1142" s="16" t="inlineStr">
        <is>
          <t>Business Services and Administration Managers Not Elsewhere Classified</t>
        </is>
      </c>
      <c r="F1142" s="16" t="inlineStr">
        <is>
          <t>B2B영업 / 마케팅 / GTM</t>
        </is>
      </c>
      <c r="G1142" s="15" t="inlineStr">
        <is>
          <t>vertical_promotion</t>
        </is>
      </c>
      <c r="H1142" s="16" t="inlineStr">
        <is>
          <t>조직 관리 및 리더십, 예산/손익(P&amp;L) 관리, 전사 전략 수립</t>
        </is>
      </c>
      <c r="I1142" s="16" t="inlineStr">
        <is>
          <t>MBA 또는 경영학 석사, 글로벌 비즈니스 협상력</t>
        </is>
      </c>
      <c r="J1142" s="16" t="inlineStr">
        <is>
          <t>팀장/관리직 경력 3년 이상 (총 경력 7~10년+)</t>
        </is>
      </c>
      <c r="K1142" s="15" t="inlineStr">
        <is>
          <t>★★★★☆</t>
        </is>
      </c>
      <c r="L1142" s="20" t="inlineStr">
        <is>
          <t>+35.0%</t>
        </is>
      </c>
    </row>
    <row r="1143">
      <c r="A1143" s="17" t="inlineStr">
        <is>
          <t>TR-1142</t>
        </is>
      </c>
      <c r="B1143" s="17" t="inlineStr">
        <is>
          <t>4229</t>
        </is>
      </c>
      <c r="C1143" s="18" t="inlineStr">
        <is>
          <t>Client Information Workers Not Elsewhere Classified</t>
        </is>
      </c>
      <c r="D1143" s="17" t="inlineStr">
        <is>
          <t>1219</t>
        </is>
      </c>
      <c r="E1143" s="18" t="inlineStr">
        <is>
          <t>Business Services and Administration Managers Not Elsewhere Classified</t>
        </is>
      </c>
      <c r="F1143" s="18" t="inlineStr">
        <is>
          <t>B2B영업 / 마케팅 / GTM</t>
        </is>
      </c>
      <c r="G1143" s="17" t="inlineStr">
        <is>
          <t>vertical_promotion</t>
        </is>
      </c>
      <c r="H1143" s="18" t="inlineStr">
        <is>
          <t>조직 관리 및 리더십, 예산/손익(P&amp;L) 관리, 전사 전략 수립</t>
        </is>
      </c>
      <c r="I1143" s="18" t="inlineStr">
        <is>
          <t>MBA 또는 경영학 석사, 글로벌 비즈니스 협상력</t>
        </is>
      </c>
      <c r="J1143" s="18" t="inlineStr">
        <is>
          <t>팀장/관리직 경력 3년 이상 (총 경력 7~10년+)</t>
        </is>
      </c>
      <c r="K1143" s="17" t="inlineStr">
        <is>
          <t>★★★★☆</t>
        </is>
      </c>
      <c r="L1143" s="21" t="inlineStr">
        <is>
          <t>+35.0%</t>
        </is>
      </c>
    </row>
    <row r="1144">
      <c r="A1144" s="15" t="inlineStr">
        <is>
          <t>TR-1143</t>
        </is>
      </c>
      <c r="B1144" s="15" t="inlineStr">
        <is>
          <t>4311</t>
        </is>
      </c>
      <c r="C1144" s="16" t="inlineStr">
        <is>
          <t>Accounting and Bookkeeping Clerks</t>
        </is>
      </c>
      <c r="D1144" s="15" t="inlineStr">
        <is>
          <t>1219</t>
        </is>
      </c>
      <c r="E1144" s="16" t="inlineStr">
        <is>
          <t>Business Services and Administration Managers Not Elsewhere Classified</t>
        </is>
      </c>
      <c r="F1144" s="16" t="inlineStr">
        <is>
          <t>경영전략 / 인사 / 사업개발</t>
        </is>
      </c>
      <c r="G1144" s="15" t="inlineStr">
        <is>
          <t>vertical_promotion</t>
        </is>
      </c>
      <c r="H1144" s="16" t="inlineStr">
        <is>
          <t>조직 관리 및 리더십, 예산/손익(P&amp;L) 관리, 전사 전략 수립</t>
        </is>
      </c>
      <c r="I1144" s="16" t="inlineStr">
        <is>
          <t>MBA 또는 경영학 석사, 글로벌 비즈니스 협상력</t>
        </is>
      </c>
      <c r="J1144" s="16" t="inlineStr">
        <is>
          <t>팀장/관리직 경력 3년 이상 (총 경력 7~10년+)</t>
        </is>
      </c>
      <c r="K1144" s="15" t="inlineStr">
        <is>
          <t>★★★★☆</t>
        </is>
      </c>
      <c r="L1144" s="20" t="inlineStr">
        <is>
          <t>+35.0%</t>
        </is>
      </c>
    </row>
    <row r="1145">
      <c r="A1145" s="17" t="inlineStr">
        <is>
          <t>TR-1144</t>
        </is>
      </c>
      <c r="B1145" s="17" t="inlineStr">
        <is>
          <t>4312</t>
        </is>
      </c>
      <c r="C1145" s="18" t="inlineStr">
        <is>
          <t>Statistical, Finance and Insurance Clerks</t>
        </is>
      </c>
      <c r="D1145" s="17" t="inlineStr">
        <is>
          <t>1219</t>
        </is>
      </c>
      <c r="E1145" s="18" t="inlineStr">
        <is>
          <t>Business Services and Administration Managers Not Elsewhere Classified</t>
        </is>
      </c>
      <c r="F1145" s="18" t="inlineStr">
        <is>
          <t>경영전략 / 인사 / 사업개발</t>
        </is>
      </c>
      <c r="G1145" s="17" t="inlineStr">
        <is>
          <t>vertical_promotion</t>
        </is>
      </c>
      <c r="H1145" s="18" t="inlineStr">
        <is>
          <t>조직 관리 및 리더십, 예산/손익(P&amp;L) 관리, 전사 전략 수립</t>
        </is>
      </c>
      <c r="I1145" s="18" t="inlineStr">
        <is>
          <t>MBA 또는 경영학 석사, 글로벌 비즈니스 협상력</t>
        </is>
      </c>
      <c r="J1145" s="18" t="inlineStr">
        <is>
          <t>팀장/관리직 경력 3년 이상 (총 경력 7~10년+)</t>
        </is>
      </c>
      <c r="K1145" s="17" t="inlineStr">
        <is>
          <t>★★★★☆</t>
        </is>
      </c>
      <c r="L1145" s="21" t="inlineStr">
        <is>
          <t>+35.0%</t>
        </is>
      </c>
    </row>
    <row r="1146">
      <c r="A1146" s="15" t="inlineStr">
        <is>
          <t>TR-1145</t>
        </is>
      </c>
      <c r="B1146" s="15" t="inlineStr">
        <is>
          <t>4313</t>
        </is>
      </c>
      <c r="C1146" s="16" t="inlineStr">
        <is>
          <t>Payroll Clerks</t>
        </is>
      </c>
      <c r="D1146" s="15" t="inlineStr">
        <is>
          <t>1219</t>
        </is>
      </c>
      <c r="E1146" s="16" t="inlineStr">
        <is>
          <t>Business Services and Administration Managers Not Elsewhere Classified</t>
        </is>
      </c>
      <c r="F1146" s="16" t="inlineStr">
        <is>
          <t>경영전략 / 인사 / 사업개발</t>
        </is>
      </c>
      <c r="G1146" s="15" t="inlineStr">
        <is>
          <t>vertical_promotion</t>
        </is>
      </c>
      <c r="H1146" s="16" t="inlineStr">
        <is>
          <t>조직 관리 및 리더십, 예산/손익(P&amp;L) 관리, 전사 전략 수립</t>
        </is>
      </c>
      <c r="I1146" s="16" t="inlineStr">
        <is>
          <t>MBA 또는 경영학 석사, 글로벌 비즈니스 협상력</t>
        </is>
      </c>
      <c r="J1146" s="16" t="inlineStr">
        <is>
          <t>팀장/관리직 경력 3년 이상 (총 경력 7~10년+)</t>
        </is>
      </c>
      <c r="K1146" s="15" t="inlineStr">
        <is>
          <t>★★★★☆</t>
        </is>
      </c>
      <c r="L1146" s="20" t="inlineStr">
        <is>
          <t>+35.0%</t>
        </is>
      </c>
    </row>
    <row r="1147">
      <c r="A1147" s="17" t="inlineStr">
        <is>
          <t>TR-1146</t>
        </is>
      </c>
      <c r="B1147" s="17" t="inlineStr">
        <is>
          <t>4321</t>
        </is>
      </c>
      <c r="C1147" s="18" t="inlineStr">
        <is>
          <t>Stock Clerks</t>
        </is>
      </c>
      <c r="D1147" s="17" t="inlineStr">
        <is>
          <t>1219</t>
        </is>
      </c>
      <c r="E1147" s="18" t="inlineStr">
        <is>
          <t>Business Services and Administration Managers Not Elsewhere Classified</t>
        </is>
      </c>
      <c r="F1147" s="18" t="inlineStr">
        <is>
          <t>경영전략 / 인사 / 사업개발</t>
        </is>
      </c>
      <c r="G1147" s="17" t="inlineStr">
        <is>
          <t>vertical_promotion</t>
        </is>
      </c>
      <c r="H1147" s="18" t="inlineStr">
        <is>
          <t>조직 관리 및 리더십, 예산/손익(P&amp;L) 관리, 전사 전략 수립</t>
        </is>
      </c>
      <c r="I1147" s="18" t="inlineStr">
        <is>
          <t>MBA 또는 경영학 석사, 글로벌 비즈니스 협상력</t>
        </is>
      </c>
      <c r="J1147" s="18" t="inlineStr">
        <is>
          <t>팀장/관리직 경력 3년 이상 (총 경력 7~10년+)</t>
        </is>
      </c>
      <c r="K1147" s="17" t="inlineStr">
        <is>
          <t>★★★★☆</t>
        </is>
      </c>
      <c r="L1147" s="21" t="inlineStr">
        <is>
          <t>+35.0%</t>
        </is>
      </c>
    </row>
    <row r="1148">
      <c r="A1148" s="15" t="inlineStr">
        <is>
          <t>TR-1147</t>
        </is>
      </c>
      <c r="B1148" s="15" t="inlineStr">
        <is>
          <t>4322</t>
        </is>
      </c>
      <c r="C1148" s="16" t="inlineStr">
        <is>
          <t>Production Clerks</t>
        </is>
      </c>
      <c r="D1148" s="15" t="inlineStr">
        <is>
          <t>1219</t>
        </is>
      </c>
      <c r="E1148" s="16" t="inlineStr">
        <is>
          <t>Business Services and Administration Managers Not Elsewhere Classified</t>
        </is>
      </c>
      <c r="F1148" s="16" t="inlineStr">
        <is>
          <t>경영전략 / 인사 / 사업개발</t>
        </is>
      </c>
      <c r="G1148" s="15" t="inlineStr">
        <is>
          <t>vertical_promotion</t>
        </is>
      </c>
      <c r="H1148" s="16" t="inlineStr">
        <is>
          <t>조직 관리 및 리더십, 예산/손익(P&amp;L) 관리, 전사 전략 수립</t>
        </is>
      </c>
      <c r="I1148" s="16" t="inlineStr">
        <is>
          <t>MBA 또는 경영학 석사, 글로벌 비즈니스 협상력</t>
        </is>
      </c>
      <c r="J1148" s="16" t="inlineStr">
        <is>
          <t>팀장/관리직 경력 3년 이상 (총 경력 7~10년+)</t>
        </is>
      </c>
      <c r="K1148" s="15" t="inlineStr">
        <is>
          <t>★★★★☆</t>
        </is>
      </c>
      <c r="L1148" s="20" t="inlineStr">
        <is>
          <t>+35.0%</t>
        </is>
      </c>
    </row>
    <row r="1149">
      <c r="A1149" s="17" t="inlineStr">
        <is>
          <t>TR-1148</t>
        </is>
      </c>
      <c r="B1149" s="17" t="inlineStr">
        <is>
          <t>4323</t>
        </is>
      </c>
      <c r="C1149" s="18" t="inlineStr">
        <is>
          <t>Transport Clerks</t>
        </is>
      </c>
      <c r="D1149" s="17" t="inlineStr">
        <is>
          <t>1219</t>
        </is>
      </c>
      <c r="E1149" s="18" t="inlineStr">
        <is>
          <t>Business Services and Administration Managers Not Elsewhere Classified</t>
        </is>
      </c>
      <c r="F1149" s="18" t="inlineStr">
        <is>
          <t>경영전략 / 인사 / 사업개발</t>
        </is>
      </c>
      <c r="G1149" s="17" t="inlineStr">
        <is>
          <t>vertical_promotion</t>
        </is>
      </c>
      <c r="H1149" s="18" t="inlineStr">
        <is>
          <t>조직 관리 및 리더십, 예산/손익(P&amp;L) 관리, 전사 전략 수립</t>
        </is>
      </c>
      <c r="I1149" s="18" t="inlineStr">
        <is>
          <t>MBA 또는 경영학 석사, 글로벌 비즈니스 협상력</t>
        </is>
      </c>
      <c r="J1149" s="18" t="inlineStr">
        <is>
          <t>팀장/관리직 경력 3년 이상 (총 경력 7~10년+)</t>
        </is>
      </c>
      <c r="K1149" s="17" t="inlineStr">
        <is>
          <t>★★★★☆</t>
        </is>
      </c>
      <c r="L1149" s="21" t="inlineStr">
        <is>
          <t>+35.0%</t>
        </is>
      </c>
    </row>
    <row r="1150">
      <c r="A1150" s="15" t="inlineStr">
        <is>
          <t>TR-1149</t>
        </is>
      </c>
      <c r="B1150" s="15" t="inlineStr">
        <is>
          <t>4411</t>
        </is>
      </c>
      <c r="C1150" s="16" t="inlineStr">
        <is>
          <t>Library Clerks</t>
        </is>
      </c>
      <c r="D1150" s="15" t="inlineStr">
        <is>
          <t>1219</t>
        </is>
      </c>
      <c r="E1150" s="16" t="inlineStr">
        <is>
          <t>Business Services and Administration Managers Not Elsewhere Classified</t>
        </is>
      </c>
      <c r="F1150" s="16" t="inlineStr">
        <is>
          <t>경영전략 / 인사 / 사업개발</t>
        </is>
      </c>
      <c r="G1150" s="15" t="inlineStr">
        <is>
          <t>vertical_promotion</t>
        </is>
      </c>
      <c r="H1150" s="16" t="inlineStr">
        <is>
          <t>조직 관리 및 리더십, 예산/손익(P&amp;L) 관리, 전사 전략 수립</t>
        </is>
      </c>
      <c r="I1150" s="16" t="inlineStr">
        <is>
          <t>MBA 또는 경영학 석사, 글로벌 비즈니스 협상력</t>
        </is>
      </c>
      <c r="J1150" s="16" t="inlineStr">
        <is>
          <t>팀장/관리직 경력 3년 이상 (총 경력 7~10년+)</t>
        </is>
      </c>
      <c r="K1150" s="15" t="inlineStr">
        <is>
          <t>★★★★☆</t>
        </is>
      </c>
      <c r="L1150" s="20" t="inlineStr">
        <is>
          <t>+35.0%</t>
        </is>
      </c>
    </row>
    <row r="1151">
      <c r="A1151" s="17" t="inlineStr">
        <is>
          <t>TR-1150</t>
        </is>
      </c>
      <c r="B1151" s="17" t="inlineStr">
        <is>
          <t>4412</t>
        </is>
      </c>
      <c r="C1151" s="18" t="inlineStr">
        <is>
          <t>Mail Carriers and Sorting Clerks</t>
        </is>
      </c>
      <c r="D1151" s="17" t="inlineStr">
        <is>
          <t>1219</t>
        </is>
      </c>
      <c r="E1151" s="18" t="inlineStr">
        <is>
          <t>Business Services and Administration Managers Not Elsewhere Classified</t>
        </is>
      </c>
      <c r="F1151" s="18" t="inlineStr">
        <is>
          <t>경영전략 / 인사 / 사업개발</t>
        </is>
      </c>
      <c r="G1151" s="17" t="inlineStr">
        <is>
          <t>vertical_promotion</t>
        </is>
      </c>
      <c r="H1151" s="18" t="inlineStr">
        <is>
          <t>조직 관리 및 리더십, 예산/손익(P&amp;L) 관리, 전사 전략 수립</t>
        </is>
      </c>
      <c r="I1151" s="18" t="inlineStr">
        <is>
          <t>MBA 또는 경영학 석사, 글로벌 비즈니스 협상력</t>
        </is>
      </c>
      <c r="J1151" s="18" t="inlineStr">
        <is>
          <t>팀장/관리직 경력 3년 이상 (총 경력 7~10년+)</t>
        </is>
      </c>
      <c r="K1151" s="17" t="inlineStr">
        <is>
          <t>★★★★☆</t>
        </is>
      </c>
      <c r="L1151" s="21" t="inlineStr">
        <is>
          <t>+35.0%</t>
        </is>
      </c>
    </row>
    <row r="1152">
      <c r="A1152" s="15" t="inlineStr">
        <is>
          <t>TR-1151</t>
        </is>
      </c>
      <c r="B1152" s="15" t="inlineStr">
        <is>
          <t>4413</t>
        </is>
      </c>
      <c r="C1152" s="16" t="inlineStr">
        <is>
          <t>Coding, Proofreading and Related Clerks</t>
        </is>
      </c>
      <c r="D1152" s="15" t="inlineStr">
        <is>
          <t>1219</t>
        </is>
      </c>
      <c r="E1152" s="16" t="inlineStr">
        <is>
          <t>Business Services and Administration Managers Not Elsewhere Classified</t>
        </is>
      </c>
      <c r="F1152" s="16" t="inlineStr">
        <is>
          <t>경영전략 / 인사 / 사업개발</t>
        </is>
      </c>
      <c r="G1152" s="15" t="inlineStr">
        <is>
          <t>vertical_promotion</t>
        </is>
      </c>
      <c r="H1152" s="16" t="inlineStr">
        <is>
          <t>조직 관리 및 리더십, 예산/손익(P&amp;L) 관리, 전사 전략 수립</t>
        </is>
      </c>
      <c r="I1152" s="16" t="inlineStr">
        <is>
          <t>MBA 또는 경영학 석사, 글로벌 비즈니스 협상력</t>
        </is>
      </c>
      <c r="J1152" s="16" t="inlineStr">
        <is>
          <t>팀장/관리직 경력 3년 이상 (총 경력 7~10년+)</t>
        </is>
      </c>
      <c r="K1152" s="15" t="inlineStr">
        <is>
          <t>★★★★☆</t>
        </is>
      </c>
      <c r="L1152" s="20" t="inlineStr">
        <is>
          <t>+35.0%</t>
        </is>
      </c>
    </row>
    <row r="1153">
      <c r="A1153" s="17" t="inlineStr">
        <is>
          <t>TR-1152</t>
        </is>
      </c>
      <c r="B1153" s="17" t="inlineStr">
        <is>
          <t>4414</t>
        </is>
      </c>
      <c r="C1153" s="18" t="inlineStr">
        <is>
          <t>Scribes and Related Workers</t>
        </is>
      </c>
      <c r="D1153" s="17" t="inlineStr">
        <is>
          <t>1219</t>
        </is>
      </c>
      <c r="E1153" s="18" t="inlineStr">
        <is>
          <t>Business Services and Administration Managers Not Elsewhere Classified</t>
        </is>
      </c>
      <c r="F1153" s="18" t="inlineStr">
        <is>
          <t>경영전략 / 인사 / 사업개발</t>
        </is>
      </c>
      <c r="G1153" s="17" t="inlineStr">
        <is>
          <t>vertical_promotion</t>
        </is>
      </c>
      <c r="H1153" s="18" t="inlineStr">
        <is>
          <t>조직 관리 및 리더십, 예산/손익(P&amp;L) 관리, 전사 전략 수립</t>
        </is>
      </c>
      <c r="I1153" s="18" t="inlineStr">
        <is>
          <t>MBA 또는 경영학 석사, 글로벌 비즈니스 협상력</t>
        </is>
      </c>
      <c r="J1153" s="18" t="inlineStr">
        <is>
          <t>팀장/관리직 경력 3년 이상 (총 경력 7~10년+)</t>
        </is>
      </c>
      <c r="K1153" s="17" t="inlineStr">
        <is>
          <t>★★★★☆</t>
        </is>
      </c>
      <c r="L1153" s="21" t="inlineStr">
        <is>
          <t>+35.0%</t>
        </is>
      </c>
    </row>
    <row r="1154">
      <c r="A1154" s="15" t="inlineStr">
        <is>
          <t>TR-1153</t>
        </is>
      </c>
      <c r="B1154" s="15" t="inlineStr">
        <is>
          <t>4415</t>
        </is>
      </c>
      <c r="C1154" s="16" t="inlineStr">
        <is>
          <t>Filing and Copying Clerks</t>
        </is>
      </c>
      <c r="D1154" s="15" t="inlineStr">
        <is>
          <t>1219</t>
        </is>
      </c>
      <c r="E1154" s="16" t="inlineStr">
        <is>
          <t>Business Services and Administration Managers Not Elsewhere Classified</t>
        </is>
      </c>
      <c r="F1154" s="16" t="inlineStr">
        <is>
          <t>경영전략 / 인사 / 사업개발</t>
        </is>
      </c>
      <c r="G1154" s="15" t="inlineStr">
        <is>
          <t>vertical_promotion</t>
        </is>
      </c>
      <c r="H1154" s="16" t="inlineStr">
        <is>
          <t>조직 관리 및 리더십, 예산/손익(P&amp;L) 관리, 전사 전략 수립</t>
        </is>
      </c>
      <c r="I1154" s="16" t="inlineStr">
        <is>
          <t>MBA 또는 경영학 석사, 글로벌 비즈니스 협상력</t>
        </is>
      </c>
      <c r="J1154" s="16" t="inlineStr">
        <is>
          <t>팀장/관리직 경력 3년 이상 (총 경력 7~10년+)</t>
        </is>
      </c>
      <c r="K1154" s="15" t="inlineStr">
        <is>
          <t>★★★★☆</t>
        </is>
      </c>
      <c r="L1154" s="20" t="inlineStr">
        <is>
          <t>+35.0%</t>
        </is>
      </c>
    </row>
    <row r="1155">
      <c r="A1155" s="17" t="inlineStr">
        <is>
          <t>TR-1154</t>
        </is>
      </c>
      <c r="B1155" s="17" t="inlineStr">
        <is>
          <t>4416</t>
        </is>
      </c>
      <c r="C1155" s="18" t="inlineStr">
        <is>
          <t>Personnel Clerks</t>
        </is>
      </c>
      <c r="D1155" s="17" t="inlineStr">
        <is>
          <t>1219</t>
        </is>
      </c>
      <c r="E1155" s="18" t="inlineStr">
        <is>
          <t>Business Services and Administration Managers Not Elsewhere Classified</t>
        </is>
      </c>
      <c r="F1155" s="18" t="inlineStr">
        <is>
          <t>경영전략 / 인사 / 사업개발</t>
        </is>
      </c>
      <c r="G1155" s="17" t="inlineStr">
        <is>
          <t>vertical_promotion</t>
        </is>
      </c>
      <c r="H1155" s="18" t="inlineStr">
        <is>
          <t>조직 관리 및 리더십, 예산/손익(P&amp;L) 관리, 전사 전략 수립</t>
        </is>
      </c>
      <c r="I1155" s="18" t="inlineStr">
        <is>
          <t>MBA 또는 경영학 석사, 글로벌 비즈니스 협상력</t>
        </is>
      </c>
      <c r="J1155" s="18" t="inlineStr">
        <is>
          <t>팀장/관리직 경력 3년 이상 (총 경력 7~10년+)</t>
        </is>
      </c>
      <c r="K1155" s="17" t="inlineStr">
        <is>
          <t>★★★★☆</t>
        </is>
      </c>
      <c r="L1155" s="21" t="inlineStr">
        <is>
          <t>+35.0%</t>
        </is>
      </c>
    </row>
    <row r="1156">
      <c r="A1156" s="15" t="inlineStr">
        <is>
          <t>TR-1155</t>
        </is>
      </c>
      <c r="B1156" s="15" t="inlineStr">
        <is>
          <t>4419</t>
        </is>
      </c>
      <c r="C1156" s="16" t="inlineStr">
        <is>
          <t>Clerical Support Workers Not Elsewhere Classified</t>
        </is>
      </c>
      <c r="D1156" s="15" t="inlineStr">
        <is>
          <t>1219</t>
        </is>
      </c>
      <c r="E1156" s="16" t="inlineStr">
        <is>
          <t>Business Services and Administration Managers Not Elsewhere Classified</t>
        </is>
      </c>
      <c r="F1156" s="16" t="inlineStr">
        <is>
          <t>경영전략 / 인사 / 사업개발</t>
        </is>
      </c>
      <c r="G1156" s="15" t="inlineStr">
        <is>
          <t>vertical_promotion</t>
        </is>
      </c>
      <c r="H1156" s="16" t="inlineStr">
        <is>
          <t>조직 관리 및 리더십, 예산/손익(P&amp;L) 관리, 전사 전략 수립</t>
        </is>
      </c>
      <c r="I1156" s="16" t="inlineStr">
        <is>
          <t>MBA 또는 경영학 석사, 글로벌 비즈니스 협상력</t>
        </is>
      </c>
      <c r="J1156" s="16" t="inlineStr">
        <is>
          <t>팀장/관리직 경력 3년 이상 (총 경력 7~10년+)</t>
        </is>
      </c>
      <c r="K1156" s="15" t="inlineStr">
        <is>
          <t>★★★★☆</t>
        </is>
      </c>
      <c r="L1156" s="20" t="inlineStr">
        <is>
          <t>+35.0%</t>
        </is>
      </c>
    </row>
    <row r="1157">
      <c r="A1157" s="17" t="inlineStr">
        <is>
          <t>TR-1156</t>
        </is>
      </c>
      <c r="B1157" s="17" t="inlineStr">
        <is>
          <t>5111</t>
        </is>
      </c>
      <c r="C1157" s="18" t="inlineStr">
        <is>
          <t>Travel Attendants and Travel Stewards</t>
        </is>
      </c>
      <c r="D1157" s="17" t="inlineStr">
        <is>
          <t>1411</t>
        </is>
      </c>
      <c r="E1157" s="18" t="inlineStr">
        <is>
          <t>Hotel Managers</t>
        </is>
      </c>
      <c r="F1157" s="18" t="inlineStr">
        <is>
          <t>B2B영업 / 마케팅 / GTM</t>
        </is>
      </c>
      <c r="G1157" s="17" t="inlineStr">
        <is>
          <t>vertical_promotion</t>
        </is>
      </c>
      <c r="H1157" s="18" t="inlineStr">
        <is>
          <t>조직 관리 및 리더십, 예산/손익(P&amp;L) 관리, 전사 전략 수립</t>
        </is>
      </c>
      <c r="I1157" s="18" t="inlineStr">
        <is>
          <t>MBA 또는 경영학 석사, 글로벌 비즈니스 협상력</t>
        </is>
      </c>
      <c r="J1157" s="18" t="inlineStr">
        <is>
          <t>팀장/관리직 경력 3년 이상 (총 경력 7~10년+)</t>
        </is>
      </c>
      <c r="K1157" s="17" t="inlineStr">
        <is>
          <t>★★★★☆</t>
        </is>
      </c>
      <c r="L1157" s="21" t="inlineStr">
        <is>
          <t>+35.0%</t>
        </is>
      </c>
    </row>
    <row r="1158">
      <c r="A1158" s="15" t="inlineStr">
        <is>
          <t>TR-1157</t>
        </is>
      </c>
      <c r="B1158" s="15" t="inlineStr">
        <is>
          <t>5112</t>
        </is>
      </c>
      <c r="C1158" s="16" t="inlineStr">
        <is>
          <t>Transport Conductors</t>
        </is>
      </c>
      <c r="D1158" s="15" t="inlineStr">
        <is>
          <t>1411</t>
        </is>
      </c>
      <c r="E1158" s="16" t="inlineStr">
        <is>
          <t>Hotel Managers</t>
        </is>
      </c>
      <c r="F1158" s="16" t="inlineStr">
        <is>
          <t>B2B영업 / 마케팅 / GTM</t>
        </is>
      </c>
      <c r="G1158" s="15" t="inlineStr">
        <is>
          <t>vertical_promotion</t>
        </is>
      </c>
      <c r="H1158" s="16" t="inlineStr">
        <is>
          <t>조직 관리 및 리더십, 예산/손익(P&amp;L) 관리, 전사 전략 수립</t>
        </is>
      </c>
      <c r="I1158" s="16" t="inlineStr">
        <is>
          <t>MBA 또는 경영학 석사, 글로벌 비즈니스 협상력</t>
        </is>
      </c>
      <c r="J1158" s="16" t="inlineStr">
        <is>
          <t>팀장/관리직 경력 3년 이상 (총 경력 7~10년+)</t>
        </is>
      </c>
      <c r="K1158" s="15" t="inlineStr">
        <is>
          <t>★★★★☆</t>
        </is>
      </c>
      <c r="L1158" s="20" t="inlineStr">
        <is>
          <t>+35.0%</t>
        </is>
      </c>
    </row>
    <row r="1159">
      <c r="A1159" s="17" t="inlineStr">
        <is>
          <t>TR-1158</t>
        </is>
      </c>
      <c r="B1159" s="17" t="inlineStr">
        <is>
          <t>5113</t>
        </is>
      </c>
      <c r="C1159" s="18" t="inlineStr">
        <is>
          <t>Travel Guides</t>
        </is>
      </c>
      <c r="D1159" s="17" t="inlineStr">
        <is>
          <t>1411</t>
        </is>
      </c>
      <c r="E1159" s="18" t="inlineStr">
        <is>
          <t>Hotel Managers</t>
        </is>
      </c>
      <c r="F1159" s="18" t="inlineStr">
        <is>
          <t>B2B영업 / 마케팅 / GTM</t>
        </is>
      </c>
      <c r="G1159" s="17" t="inlineStr">
        <is>
          <t>vertical_promotion</t>
        </is>
      </c>
      <c r="H1159" s="18" t="inlineStr">
        <is>
          <t>조직 관리 및 리더십, 예산/손익(P&amp;L) 관리, 전사 전략 수립</t>
        </is>
      </c>
      <c r="I1159" s="18" t="inlineStr">
        <is>
          <t>MBA 또는 경영학 석사, 글로벌 비즈니스 협상력</t>
        </is>
      </c>
      <c r="J1159" s="18" t="inlineStr">
        <is>
          <t>팀장/관리직 경력 3년 이상 (총 경력 7~10년+)</t>
        </is>
      </c>
      <c r="K1159" s="17" t="inlineStr">
        <is>
          <t>★★★★☆</t>
        </is>
      </c>
      <c r="L1159" s="21" t="inlineStr">
        <is>
          <t>+35.0%</t>
        </is>
      </c>
    </row>
    <row r="1160">
      <c r="A1160" s="15" t="inlineStr">
        <is>
          <t>TR-1159</t>
        </is>
      </c>
      <c r="B1160" s="15" t="inlineStr">
        <is>
          <t>5120</t>
        </is>
      </c>
      <c r="C1160" s="16" t="inlineStr">
        <is>
          <t>Cooks</t>
        </is>
      </c>
      <c r="D1160" s="15" t="inlineStr">
        <is>
          <t>1411</t>
        </is>
      </c>
      <c r="E1160" s="16" t="inlineStr">
        <is>
          <t>Hotel Managers</t>
        </is>
      </c>
      <c r="F1160" s="16" t="inlineStr">
        <is>
          <t>B2B영업 / 마케팅 / GTM</t>
        </is>
      </c>
      <c r="G1160" s="15" t="inlineStr">
        <is>
          <t>vertical_promotion</t>
        </is>
      </c>
      <c r="H1160" s="16" t="inlineStr">
        <is>
          <t>조직 관리 및 리더십, 예산/손익(P&amp;L) 관리, 전사 전략 수립</t>
        </is>
      </c>
      <c r="I1160" s="16" t="inlineStr">
        <is>
          <t>MBA 또는 경영학 석사, 글로벌 비즈니스 협상력</t>
        </is>
      </c>
      <c r="J1160" s="16" t="inlineStr">
        <is>
          <t>팀장/관리직 경력 3년 이상 (총 경력 7~10년+)</t>
        </is>
      </c>
      <c r="K1160" s="15" t="inlineStr">
        <is>
          <t>★★★★☆</t>
        </is>
      </c>
      <c r="L1160" s="20" t="inlineStr">
        <is>
          <t>+35.0%</t>
        </is>
      </c>
    </row>
    <row r="1161">
      <c r="A1161" s="17" t="inlineStr">
        <is>
          <t>TR-1160</t>
        </is>
      </c>
      <c r="B1161" s="17" t="inlineStr">
        <is>
          <t>5131</t>
        </is>
      </c>
      <c r="C1161" s="18" t="inlineStr">
        <is>
          <t>Waiters</t>
        </is>
      </c>
      <c r="D1161" s="17" t="inlineStr">
        <is>
          <t>1411</t>
        </is>
      </c>
      <c r="E1161" s="18" t="inlineStr">
        <is>
          <t>Hotel Managers</t>
        </is>
      </c>
      <c r="F1161" s="18" t="inlineStr">
        <is>
          <t>B2B영업 / 마케팅 / GTM</t>
        </is>
      </c>
      <c r="G1161" s="17" t="inlineStr">
        <is>
          <t>vertical_promotion</t>
        </is>
      </c>
      <c r="H1161" s="18" t="inlineStr">
        <is>
          <t>조직 관리 및 리더십, 예산/손익(P&amp;L) 관리, 전사 전략 수립</t>
        </is>
      </c>
      <c r="I1161" s="18" t="inlineStr">
        <is>
          <t>MBA 또는 경영학 석사, 글로벌 비즈니스 협상력</t>
        </is>
      </c>
      <c r="J1161" s="18" t="inlineStr">
        <is>
          <t>팀장/관리직 경력 3년 이상 (총 경력 7~10년+)</t>
        </is>
      </c>
      <c r="K1161" s="17" t="inlineStr">
        <is>
          <t>★★★★☆</t>
        </is>
      </c>
      <c r="L1161" s="21" t="inlineStr">
        <is>
          <t>+35.0%</t>
        </is>
      </c>
    </row>
    <row r="1162">
      <c r="A1162" s="15" t="inlineStr">
        <is>
          <t>TR-1161</t>
        </is>
      </c>
      <c r="B1162" s="15" t="inlineStr">
        <is>
          <t>5132</t>
        </is>
      </c>
      <c r="C1162" s="16" t="inlineStr">
        <is>
          <t>Bartenders</t>
        </is>
      </c>
      <c r="D1162" s="15" t="inlineStr">
        <is>
          <t>1411</t>
        </is>
      </c>
      <c r="E1162" s="16" t="inlineStr">
        <is>
          <t>Hotel Managers</t>
        </is>
      </c>
      <c r="F1162" s="16" t="inlineStr">
        <is>
          <t>B2B영업 / 마케팅 / GTM</t>
        </is>
      </c>
      <c r="G1162" s="15" t="inlineStr">
        <is>
          <t>vertical_promotion</t>
        </is>
      </c>
      <c r="H1162" s="16" t="inlineStr">
        <is>
          <t>조직 관리 및 리더십, 예산/손익(P&amp;L) 관리, 전사 전략 수립</t>
        </is>
      </c>
      <c r="I1162" s="16" t="inlineStr">
        <is>
          <t>MBA 또는 경영학 석사, 글로벌 비즈니스 협상력</t>
        </is>
      </c>
      <c r="J1162" s="16" t="inlineStr">
        <is>
          <t>팀장/관리직 경력 3년 이상 (총 경력 7~10년+)</t>
        </is>
      </c>
      <c r="K1162" s="15" t="inlineStr">
        <is>
          <t>★★★★☆</t>
        </is>
      </c>
      <c r="L1162" s="20" t="inlineStr">
        <is>
          <t>+35.0%</t>
        </is>
      </c>
    </row>
    <row r="1163">
      <c r="A1163" s="17" t="inlineStr">
        <is>
          <t>TR-1162</t>
        </is>
      </c>
      <c r="B1163" s="17" t="inlineStr">
        <is>
          <t>5141</t>
        </is>
      </c>
      <c r="C1163" s="18" t="inlineStr">
        <is>
          <t>Hairdressers</t>
        </is>
      </c>
      <c r="D1163" s="17" t="inlineStr">
        <is>
          <t>1411</t>
        </is>
      </c>
      <c r="E1163" s="18" t="inlineStr">
        <is>
          <t>Hotel Managers</t>
        </is>
      </c>
      <c r="F1163" s="18" t="inlineStr">
        <is>
          <t>B2B영업 / 마케팅 / GTM</t>
        </is>
      </c>
      <c r="G1163" s="17" t="inlineStr">
        <is>
          <t>vertical_promotion</t>
        </is>
      </c>
      <c r="H1163" s="18" t="inlineStr">
        <is>
          <t>조직 관리 및 리더십, 예산/손익(P&amp;L) 관리, 전사 전략 수립</t>
        </is>
      </c>
      <c r="I1163" s="18" t="inlineStr">
        <is>
          <t>MBA 또는 경영학 석사, 글로벌 비즈니스 협상력</t>
        </is>
      </c>
      <c r="J1163" s="18" t="inlineStr">
        <is>
          <t>팀장/관리직 경력 3년 이상 (총 경력 7~10년+)</t>
        </is>
      </c>
      <c r="K1163" s="17" t="inlineStr">
        <is>
          <t>★★★★☆</t>
        </is>
      </c>
      <c r="L1163" s="21" t="inlineStr">
        <is>
          <t>+35.0%</t>
        </is>
      </c>
    </row>
    <row r="1164">
      <c r="A1164" s="15" t="inlineStr">
        <is>
          <t>TR-1163</t>
        </is>
      </c>
      <c r="B1164" s="15" t="inlineStr">
        <is>
          <t>5142</t>
        </is>
      </c>
      <c r="C1164" s="16" t="inlineStr">
        <is>
          <t>Beauticians and Related Workers</t>
        </is>
      </c>
      <c r="D1164" s="15" t="inlineStr">
        <is>
          <t>1411</t>
        </is>
      </c>
      <c r="E1164" s="16" t="inlineStr">
        <is>
          <t>Hotel Managers</t>
        </is>
      </c>
      <c r="F1164" s="16" t="inlineStr">
        <is>
          <t>B2B영업 / 마케팅 / GTM</t>
        </is>
      </c>
      <c r="G1164" s="15" t="inlineStr">
        <is>
          <t>vertical_promotion</t>
        </is>
      </c>
      <c r="H1164" s="16" t="inlineStr">
        <is>
          <t>조직 관리 및 리더십, 예산/손익(P&amp;L) 관리, 전사 전략 수립</t>
        </is>
      </c>
      <c r="I1164" s="16" t="inlineStr">
        <is>
          <t>MBA 또는 경영학 석사, 글로벌 비즈니스 협상력</t>
        </is>
      </c>
      <c r="J1164" s="16" t="inlineStr">
        <is>
          <t>팀장/관리직 경력 3년 이상 (총 경력 7~10년+)</t>
        </is>
      </c>
      <c r="K1164" s="15" t="inlineStr">
        <is>
          <t>★★★★☆</t>
        </is>
      </c>
      <c r="L1164" s="20" t="inlineStr">
        <is>
          <t>+35.0%</t>
        </is>
      </c>
    </row>
    <row r="1165">
      <c r="A1165" s="17" t="inlineStr">
        <is>
          <t>TR-1164</t>
        </is>
      </c>
      <c r="B1165" s="17" t="inlineStr">
        <is>
          <t>5153</t>
        </is>
      </c>
      <c r="C1165" s="18" t="inlineStr">
        <is>
          <t>Building Caretakers</t>
        </is>
      </c>
      <c r="D1165" s="17" t="inlineStr">
        <is>
          <t>1411</t>
        </is>
      </c>
      <c r="E1165" s="18" t="inlineStr">
        <is>
          <t>Hotel Managers</t>
        </is>
      </c>
      <c r="F1165" s="18" t="inlineStr">
        <is>
          <t>B2B영업 / 마케팅 / GTM</t>
        </is>
      </c>
      <c r="G1165" s="17" t="inlineStr">
        <is>
          <t>vertical_promotion</t>
        </is>
      </c>
      <c r="H1165" s="18" t="inlineStr">
        <is>
          <t>조직 관리 및 리더십, 예산/손익(P&amp;L) 관리, 전사 전략 수립</t>
        </is>
      </c>
      <c r="I1165" s="18" t="inlineStr">
        <is>
          <t>MBA 또는 경영학 석사, 글로벌 비즈니스 협상력</t>
        </is>
      </c>
      <c r="J1165" s="18" t="inlineStr">
        <is>
          <t>팀장/관리직 경력 3년 이상 (총 경력 7~10년+)</t>
        </is>
      </c>
      <c r="K1165" s="17" t="inlineStr">
        <is>
          <t>★★★★☆</t>
        </is>
      </c>
      <c r="L1165" s="21" t="inlineStr">
        <is>
          <t>+35.0%</t>
        </is>
      </c>
    </row>
    <row r="1166">
      <c r="A1166" s="15" t="inlineStr">
        <is>
          <t>TR-1165</t>
        </is>
      </c>
      <c r="B1166" s="15" t="inlineStr">
        <is>
          <t>5161</t>
        </is>
      </c>
      <c r="C1166" s="16" t="inlineStr">
        <is>
          <t>Astrologers, Fortune-tellers and Related Workers</t>
        </is>
      </c>
      <c r="D1166" s="15" t="inlineStr">
        <is>
          <t>1411</t>
        </is>
      </c>
      <c r="E1166" s="16" t="inlineStr">
        <is>
          <t>Hotel Managers</t>
        </is>
      </c>
      <c r="F1166" s="16" t="inlineStr">
        <is>
          <t>B2B영업 / 마케팅 / GTM</t>
        </is>
      </c>
      <c r="G1166" s="15" t="inlineStr">
        <is>
          <t>vertical_promotion</t>
        </is>
      </c>
      <c r="H1166" s="16" t="inlineStr">
        <is>
          <t>조직 관리 및 리더십, 예산/손익(P&amp;L) 관리, 전사 전략 수립</t>
        </is>
      </c>
      <c r="I1166" s="16" t="inlineStr">
        <is>
          <t>MBA 또는 경영학 석사, 글로벌 비즈니스 협상력</t>
        </is>
      </c>
      <c r="J1166" s="16" t="inlineStr">
        <is>
          <t>팀장/관리직 경력 3년 이상 (총 경력 7~10년+)</t>
        </is>
      </c>
      <c r="K1166" s="15" t="inlineStr">
        <is>
          <t>★★★★☆</t>
        </is>
      </c>
      <c r="L1166" s="20" t="inlineStr">
        <is>
          <t>+35.0%</t>
        </is>
      </c>
    </row>
    <row r="1167">
      <c r="A1167" s="17" t="inlineStr">
        <is>
          <t>TR-1166</t>
        </is>
      </c>
      <c r="B1167" s="17" t="inlineStr">
        <is>
          <t>5162</t>
        </is>
      </c>
      <c r="C1167" s="18" t="inlineStr">
        <is>
          <t>Companions and Valets</t>
        </is>
      </c>
      <c r="D1167" s="17" t="inlineStr">
        <is>
          <t>1411</t>
        </is>
      </c>
      <c r="E1167" s="18" t="inlineStr">
        <is>
          <t>Hotel Managers</t>
        </is>
      </c>
      <c r="F1167" s="18" t="inlineStr">
        <is>
          <t>B2B영업 / 마케팅 / GTM</t>
        </is>
      </c>
      <c r="G1167" s="17" t="inlineStr">
        <is>
          <t>vertical_promotion</t>
        </is>
      </c>
      <c r="H1167" s="18" t="inlineStr">
        <is>
          <t>조직 관리 및 리더십, 예산/손익(P&amp;L) 관리, 전사 전략 수립</t>
        </is>
      </c>
      <c r="I1167" s="18" t="inlineStr">
        <is>
          <t>MBA 또는 경영학 석사, 글로벌 비즈니스 협상력</t>
        </is>
      </c>
      <c r="J1167" s="18" t="inlineStr">
        <is>
          <t>팀장/관리직 경력 3년 이상 (총 경력 7~10년+)</t>
        </is>
      </c>
      <c r="K1167" s="17" t="inlineStr">
        <is>
          <t>★★★★☆</t>
        </is>
      </c>
      <c r="L1167" s="21" t="inlineStr">
        <is>
          <t>+35.0%</t>
        </is>
      </c>
    </row>
    <row r="1168">
      <c r="A1168" s="15" t="inlineStr">
        <is>
          <t>TR-1167</t>
        </is>
      </c>
      <c r="B1168" s="15" t="inlineStr">
        <is>
          <t>5163</t>
        </is>
      </c>
      <c r="C1168" s="16" t="inlineStr">
        <is>
          <t>Undertakers and Embalmers</t>
        </is>
      </c>
      <c r="D1168" s="15" t="inlineStr">
        <is>
          <t>1411</t>
        </is>
      </c>
      <c r="E1168" s="16" t="inlineStr">
        <is>
          <t>Hotel Managers</t>
        </is>
      </c>
      <c r="F1168" s="16" t="inlineStr">
        <is>
          <t>B2B영업 / 마케팅 / GTM</t>
        </is>
      </c>
      <c r="G1168" s="15" t="inlineStr">
        <is>
          <t>vertical_promotion</t>
        </is>
      </c>
      <c r="H1168" s="16" t="inlineStr">
        <is>
          <t>조직 관리 및 리더십, 예산/손익(P&amp;L) 관리, 전사 전략 수립</t>
        </is>
      </c>
      <c r="I1168" s="16" t="inlineStr">
        <is>
          <t>MBA 또는 경영학 석사, 글로벌 비즈니스 협상력</t>
        </is>
      </c>
      <c r="J1168" s="16" t="inlineStr">
        <is>
          <t>팀장/관리직 경력 3년 이상 (총 경력 7~10년+)</t>
        </is>
      </c>
      <c r="K1168" s="15" t="inlineStr">
        <is>
          <t>★★★★☆</t>
        </is>
      </c>
      <c r="L1168" s="20" t="inlineStr">
        <is>
          <t>+35.0%</t>
        </is>
      </c>
    </row>
    <row r="1169">
      <c r="A1169" s="17" t="inlineStr">
        <is>
          <t>TR-1168</t>
        </is>
      </c>
      <c r="B1169" s="17" t="inlineStr">
        <is>
          <t>5164</t>
        </is>
      </c>
      <c r="C1169" s="18" t="inlineStr">
        <is>
          <t>Pet Groomers and Animal Care Workers</t>
        </is>
      </c>
      <c r="D1169" s="17" t="inlineStr">
        <is>
          <t>1411</t>
        </is>
      </c>
      <c r="E1169" s="18" t="inlineStr">
        <is>
          <t>Hotel Managers</t>
        </is>
      </c>
      <c r="F1169" s="18" t="inlineStr">
        <is>
          <t>B2B영업 / 마케팅 / GTM</t>
        </is>
      </c>
      <c r="G1169" s="17" t="inlineStr">
        <is>
          <t>vertical_promotion</t>
        </is>
      </c>
      <c r="H1169" s="18" t="inlineStr">
        <is>
          <t>조직 관리 및 리더십, 예산/손익(P&amp;L) 관리, 전사 전략 수립</t>
        </is>
      </c>
      <c r="I1169" s="18" t="inlineStr">
        <is>
          <t>MBA 또는 경영학 석사, 글로벌 비즈니스 협상력</t>
        </is>
      </c>
      <c r="J1169" s="18" t="inlineStr">
        <is>
          <t>팀장/관리직 경력 3년 이상 (총 경력 7~10년+)</t>
        </is>
      </c>
      <c r="K1169" s="17" t="inlineStr">
        <is>
          <t>★★★★☆</t>
        </is>
      </c>
      <c r="L1169" s="21" t="inlineStr">
        <is>
          <t>+35.0%</t>
        </is>
      </c>
    </row>
    <row r="1170">
      <c r="A1170" s="15" t="inlineStr">
        <is>
          <t>TR-1169</t>
        </is>
      </c>
      <c r="B1170" s="15" t="inlineStr">
        <is>
          <t>5165</t>
        </is>
      </c>
      <c r="C1170" s="16" t="inlineStr">
        <is>
          <t>Driving Instructors</t>
        </is>
      </c>
      <c r="D1170" s="15" t="inlineStr">
        <is>
          <t>1411</t>
        </is>
      </c>
      <c r="E1170" s="16" t="inlineStr">
        <is>
          <t>Hotel Managers</t>
        </is>
      </c>
      <c r="F1170" s="16" t="inlineStr">
        <is>
          <t>B2B영업 / 마케팅 / GTM</t>
        </is>
      </c>
      <c r="G1170" s="15" t="inlineStr">
        <is>
          <t>vertical_promotion</t>
        </is>
      </c>
      <c r="H1170" s="16" t="inlineStr">
        <is>
          <t>조직 관리 및 리더십, 예산/손익(P&amp;L) 관리, 전사 전략 수립</t>
        </is>
      </c>
      <c r="I1170" s="16" t="inlineStr">
        <is>
          <t>MBA 또는 경영학 석사, 글로벌 비즈니스 협상력</t>
        </is>
      </c>
      <c r="J1170" s="16" t="inlineStr">
        <is>
          <t>팀장/관리직 경력 3년 이상 (총 경력 7~10년+)</t>
        </is>
      </c>
      <c r="K1170" s="15" t="inlineStr">
        <is>
          <t>★★★★☆</t>
        </is>
      </c>
      <c r="L1170" s="20" t="inlineStr">
        <is>
          <t>+35.0%</t>
        </is>
      </c>
    </row>
    <row r="1171">
      <c r="A1171" s="17" t="inlineStr">
        <is>
          <t>TR-1170</t>
        </is>
      </c>
      <c r="B1171" s="17" t="inlineStr">
        <is>
          <t>5169</t>
        </is>
      </c>
      <c r="C1171" s="18" t="inlineStr">
        <is>
          <t>Personal Services Workers Not Elsewhere Classified</t>
        </is>
      </c>
      <c r="D1171" s="17" t="inlineStr">
        <is>
          <t>1411</t>
        </is>
      </c>
      <c r="E1171" s="18" t="inlineStr">
        <is>
          <t>Hotel Managers</t>
        </is>
      </c>
      <c r="F1171" s="18" t="inlineStr">
        <is>
          <t>B2B영업 / 마케팅 / GTM</t>
        </is>
      </c>
      <c r="G1171" s="17" t="inlineStr">
        <is>
          <t>vertical_promotion</t>
        </is>
      </c>
      <c r="H1171" s="18" t="inlineStr">
        <is>
          <t>조직 관리 및 리더십, 예산/손익(P&amp;L) 관리, 전사 전략 수립</t>
        </is>
      </c>
      <c r="I1171" s="18" t="inlineStr">
        <is>
          <t>MBA 또는 경영학 석사, 글로벌 비즈니스 협상력</t>
        </is>
      </c>
      <c r="J1171" s="18" t="inlineStr">
        <is>
          <t>팀장/관리직 경력 3년 이상 (총 경력 7~10년+)</t>
        </is>
      </c>
      <c r="K1171" s="17" t="inlineStr">
        <is>
          <t>★★★★☆</t>
        </is>
      </c>
      <c r="L1171" s="21" t="inlineStr">
        <is>
          <t>+35.0%</t>
        </is>
      </c>
    </row>
    <row r="1172">
      <c r="A1172" s="15" t="inlineStr">
        <is>
          <t>TR-1171</t>
        </is>
      </c>
      <c r="B1172" s="15" t="inlineStr">
        <is>
          <t>5211</t>
        </is>
      </c>
      <c r="C1172" s="16" t="inlineStr">
        <is>
          <t>Stall and Market Salespersons</t>
        </is>
      </c>
      <c r="D1172" s="15" t="inlineStr">
        <is>
          <t>1420</t>
        </is>
      </c>
      <c r="E1172" s="16" t="inlineStr">
        <is>
          <t>Retail and Wholesale Trade Managers</t>
        </is>
      </c>
      <c r="F1172" s="16" t="inlineStr">
        <is>
          <t>B2B영업 / 마케팅 / GTM</t>
        </is>
      </c>
      <c r="G1172" s="15" t="inlineStr">
        <is>
          <t>vertical_promotion</t>
        </is>
      </c>
      <c r="H1172" s="16" t="inlineStr">
        <is>
          <t>조직 관리 및 리더십, 예산/손익(P&amp;L) 관리, 전사 전략 수립</t>
        </is>
      </c>
      <c r="I1172" s="16" t="inlineStr">
        <is>
          <t>MBA 또는 경영학 석사, 글로벌 비즈니스 협상력</t>
        </is>
      </c>
      <c r="J1172" s="16" t="inlineStr">
        <is>
          <t>팀장/관리직 경력 3년 이상 (총 경력 7~10년+)</t>
        </is>
      </c>
      <c r="K1172" s="15" t="inlineStr">
        <is>
          <t>★★★★☆</t>
        </is>
      </c>
      <c r="L1172" s="20" t="inlineStr">
        <is>
          <t>+35.0%</t>
        </is>
      </c>
    </row>
    <row r="1173">
      <c r="A1173" s="17" t="inlineStr">
        <is>
          <t>TR-1172</t>
        </is>
      </c>
      <c r="B1173" s="17" t="inlineStr">
        <is>
          <t>5212</t>
        </is>
      </c>
      <c r="C1173" s="18" t="inlineStr">
        <is>
          <t>Street Food Salespersons</t>
        </is>
      </c>
      <c r="D1173" s="17" t="inlineStr">
        <is>
          <t>1420</t>
        </is>
      </c>
      <c r="E1173" s="18" t="inlineStr">
        <is>
          <t>Retail and Wholesale Trade Managers</t>
        </is>
      </c>
      <c r="F1173" s="18" t="inlineStr">
        <is>
          <t>B2B영업 / 마케팅 / GTM</t>
        </is>
      </c>
      <c r="G1173" s="17" t="inlineStr">
        <is>
          <t>vertical_promotion</t>
        </is>
      </c>
      <c r="H1173" s="18" t="inlineStr">
        <is>
          <t>조직 관리 및 리더십, 예산/손익(P&amp;L) 관리, 전사 전략 수립</t>
        </is>
      </c>
      <c r="I1173" s="18" t="inlineStr">
        <is>
          <t>MBA 또는 경영학 석사, 글로벌 비즈니스 협상력</t>
        </is>
      </c>
      <c r="J1173" s="18" t="inlineStr">
        <is>
          <t>팀장/관리직 경력 3년 이상 (총 경력 7~10년+)</t>
        </is>
      </c>
      <c r="K1173" s="17" t="inlineStr">
        <is>
          <t>★★★★☆</t>
        </is>
      </c>
      <c r="L1173" s="21" t="inlineStr">
        <is>
          <t>+35.0%</t>
        </is>
      </c>
    </row>
    <row r="1174">
      <c r="A1174" s="15" t="inlineStr">
        <is>
          <t>TR-1173</t>
        </is>
      </c>
      <c r="B1174" s="15" t="inlineStr">
        <is>
          <t>5230</t>
        </is>
      </c>
      <c r="C1174" s="16" t="inlineStr">
        <is>
          <t>Cashiers and Ticket Clerks</t>
        </is>
      </c>
      <c r="D1174" s="15" t="inlineStr">
        <is>
          <t>1420</t>
        </is>
      </c>
      <c r="E1174" s="16" t="inlineStr">
        <is>
          <t>Retail and Wholesale Trade Managers</t>
        </is>
      </c>
      <c r="F1174" s="16" t="inlineStr">
        <is>
          <t>B2B영업 / 마케팅 / GTM</t>
        </is>
      </c>
      <c r="G1174" s="15" t="inlineStr">
        <is>
          <t>vertical_promotion</t>
        </is>
      </c>
      <c r="H1174" s="16" t="inlineStr">
        <is>
          <t>조직 관리 및 리더십, 예산/손익(P&amp;L) 관리, 전사 전략 수립</t>
        </is>
      </c>
      <c r="I1174" s="16" t="inlineStr">
        <is>
          <t>MBA 또는 경영학 석사, 글로벌 비즈니스 협상력</t>
        </is>
      </c>
      <c r="J1174" s="16" t="inlineStr">
        <is>
          <t>팀장/관리직 경력 3년 이상 (총 경력 7~10년+)</t>
        </is>
      </c>
      <c r="K1174" s="15" t="inlineStr">
        <is>
          <t>★★★★☆</t>
        </is>
      </c>
      <c r="L1174" s="20" t="inlineStr">
        <is>
          <t>+35.0%</t>
        </is>
      </c>
    </row>
    <row r="1175">
      <c r="A1175" s="17" t="inlineStr">
        <is>
          <t>TR-1174</t>
        </is>
      </c>
      <c r="B1175" s="17" t="inlineStr">
        <is>
          <t>5241</t>
        </is>
      </c>
      <c r="C1175" s="18" t="inlineStr">
        <is>
          <t>Fashion and Other Models</t>
        </is>
      </c>
      <c r="D1175" s="17" t="inlineStr">
        <is>
          <t>1420</t>
        </is>
      </c>
      <c r="E1175" s="18" t="inlineStr">
        <is>
          <t>Retail and Wholesale Trade Managers</t>
        </is>
      </c>
      <c r="F1175" s="18" t="inlineStr">
        <is>
          <t>B2B영업 / 마케팅 / GTM</t>
        </is>
      </c>
      <c r="G1175" s="17" t="inlineStr">
        <is>
          <t>vertical_promotion</t>
        </is>
      </c>
      <c r="H1175" s="18" t="inlineStr">
        <is>
          <t>조직 관리 및 리더십, 예산/손익(P&amp;L) 관리, 전사 전략 수립</t>
        </is>
      </c>
      <c r="I1175" s="18" t="inlineStr">
        <is>
          <t>MBA 또는 경영학 석사, 글로벌 비즈니스 협상력</t>
        </is>
      </c>
      <c r="J1175" s="18" t="inlineStr">
        <is>
          <t>팀장/관리직 경력 3년 이상 (총 경력 7~10년+)</t>
        </is>
      </c>
      <c r="K1175" s="17" t="inlineStr">
        <is>
          <t>★★★★☆</t>
        </is>
      </c>
      <c r="L1175" s="21" t="inlineStr">
        <is>
          <t>+35.0%</t>
        </is>
      </c>
    </row>
    <row r="1176">
      <c r="A1176" s="15" t="inlineStr">
        <is>
          <t>TR-1175</t>
        </is>
      </c>
      <c r="B1176" s="15" t="inlineStr">
        <is>
          <t>5242</t>
        </is>
      </c>
      <c r="C1176" s="16" t="inlineStr">
        <is>
          <t>Sales Demonstrators</t>
        </is>
      </c>
      <c r="D1176" s="15" t="inlineStr">
        <is>
          <t>1420</t>
        </is>
      </c>
      <c r="E1176" s="16" t="inlineStr">
        <is>
          <t>Retail and Wholesale Trade Managers</t>
        </is>
      </c>
      <c r="F1176" s="16" t="inlineStr">
        <is>
          <t>B2B영업 / 마케팅 / GTM</t>
        </is>
      </c>
      <c r="G1176" s="15" t="inlineStr">
        <is>
          <t>vertical_promotion</t>
        </is>
      </c>
      <c r="H1176" s="16" t="inlineStr">
        <is>
          <t>조직 관리 및 리더십, 예산/손익(P&amp;L) 관리, 전사 전략 수립</t>
        </is>
      </c>
      <c r="I1176" s="16" t="inlineStr">
        <is>
          <t>MBA 또는 경영학 석사, 글로벌 비즈니스 협상력</t>
        </is>
      </c>
      <c r="J1176" s="16" t="inlineStr">
        <is>
          <t>팀장/관리직 경력 3년 이상 (총 경력 7~10년+)</t>
        </is>
      </c>
      <c r="K1176" s="15" t="inlineStr">
        <is>
          <t>★★★★☆</t>
        </is>
      </c>
      <c r="L1176" s="20" t="inlineStr">
        <is>
          <t>+35.0%</t>
        </is>
      </c>
    </row>
    <row r="1177">
      <c r="A1177" s="17" t="inlineStr">
        <is>
          <t>TR-1176</t>
        </is>
      </c>
      <c r="B1177" s="17" t="inlineStr">
        <is>
          <t>5243</t>
        </is>
      </c>
      <c r="C1177" s="18" t="inlineStr">
        <is>
          <t>Door-to-door Salespersons</t>
        </is>
      </c>
      <c r="D1177" s="17" t="inlineStr">
        <is>
          <t>1420</t>
        </is>
      </c>
      <c r="E1177" s="18" t="inlineStr">
        <is>
          <t>Retail and Wholesale Trade Managers</t>
        </is>
      </c>
      <c r="F1177" s="18" t="inlineStr">
        <is>
          <t>B2B영업 / 마케팅 / GTM</t>
        </is>
      </c>
      <c r="G1177" s="17" t="inlineStr">
        <is>
          <t>vertical_promotion</t>
        </is>
      </c>
      <c r="H1177" s="18" t="inlineStr">
        <is>
          <t>조직 관리 및 리더십, 예산/손익(P&amp;L) 관리, 전사 전략 수립</t>
        </is>
      </c>
      <c r="I1177" s="18" t="inlineStr">
        <is>
          <t>MBA 또는 경영학 석사, 글로벌 비즈니스 협상력</t>
        </is>
      </c>
      <c r="J1177" s="18" t="inlineStr">
        <is>
          <t>팀장/관리직 경력 3년 이상 (총 경력 7~10년+)</t>
        </is>
      </c>
      <c r="K1177" s="17" t="inlineStr">
        <is>
          <t>★★★★☆</t>
        </is>
      </c>
      <c r="L1177" s="21" t="inlineStr">
        <is>
          <t>+35.0%</t>
        </is>
      </c>
    </row>
    <row r="1178">
      <c r="A1178" s="15" t="inlineStr">
        <is>
          <t>TR-1177</t>
        </is>
      </c>
      <c r="B1178" s="15" t="inlineStr">
        <is>
          <t>5244</t>
        </is>
      </c>
      <c r="C1178" s="16" t="inlineStr">
        <is>
          <t>Contact Centre Salespersons</t>
        </is>
      </c>
      <c r="D1178" s="15" t="inlineStr">
        <is>
          <t>1420</t>
        </is>
      </c>
      <c r="E1178" s="16" t="inlineStr">
        <is>
          <t>Retail and Wholesale Trade Managers</t>
        </is>
      </c>
      <c r="F1178" s="16" t="inlineStr">
        <is>
          <t>B2B영업 / 마케팅 / GTM</t>
        </is>
      </c>
      <c r="G1178" s="15" t="inlineStr">
        <is>
          <t>vertical_promotion</t>
        </is>
      </c>
      <c r="H1178" s="16" t="inlineStr">
        <is>
          <t>조직 관리 및 리더십, 예산/손익(P&amp;L) 관리, 전사 전략 수립</t>
        </is>
      </c>
      <c r="I1178" s="16" t="inlineStr">
        <is>
          <t>MBA 또는 경영학 석사, 글로벌 비즈니스 협상력</t>
        </is>
      </c>
      <c r="J1178" s="16" t="inlineStr">
        <is>
          <t>팀장/관리직 경력 3년 이상 (총 경력 7~10년+)</t>
        </is>
      </c>
      <c r="K1178" s="15" t="inlineStr">
        <is>
          <t>★★★★☆</t>
        </is>
      </c>
      <c r="L1178" s="20" t="inlineStr">
        <is>
          <t>+35.0%</t>
        </is>
      </c>
    </row>
    <row r="1179">
      <c r="A1179" s="17" t="inlineStr">
        <is>
          <t>TR-1178</t>
        </is>
      </c>
      <c r="B1179" s="17" t="inlineStr">
        <is>
          <t>5245</t>
        </is>
      </c>
      <c r="C1179" s="18" t="inlineStr">
        <is>
          <t>Service Station Attendants</t>
        </is>
      </c>
      <c r="D1179" s="17" t="inlineStr">
        <is>
          <t>1420</t>
        </is>
      </c>
      <c r="E1179" s="18" t="inlineStr">
        <is>
          <t>Retail and Wholesale Trade Managers</t>
        </is>
      </c>
      <c r="F1179" s="18" t="inlineStr">
        <is>
          <t>B2B영업 / 마케팅 / GTM</t>
        </is>
      </c>
      <c r="G1179" s="17" t="inlineStr">
        <is>
          <t>vertical_promotion</t>
        </is>
      </c>
      <c r="H1179" s="18" t="inlineStr">
        <is>
          <t>조직 관리 및 리더십, 예산/손익(P&amp;L) 관리, 전사 전략 수립</t>
        </is>
      </c>
      <c r="I1179" s="18" t="inlineStr">
        <is>
          <t>MBA 또는 경영학 석사, 글로벌 비즈니스 협상력</t>
        </is>
      </c>
      <c r="J1179" s="18" t="inlineStr">
        <is>
          <t>팀장/관리직 경력 3년 이상 (총 경력 7~10년+)</t>
        </is>
      </c>
      <c r="K1179" s="17" t="inlineStr">
        <is>
          <t>★★★★☆</t>
        </is>
      </c>
      <c r="L1179" s="21" t="inlineStr">
        <is>
          <t>+35.0%</t>
        </is>
      </c>
    </row>
    <row r="1180">
      <c r="A1180" s="15" t="inlineStr">
        <is>
          <t>TR-1179</t>
        </is>
      </c>
      <c r="B1180" s="15" t="inlineStr">
        <is>
          <t>5246</t>
        </is>
      </c>
      <c r="C1180" s="16" t="inlineStr">
        <is>
          <t>Food Service Counter Attendants</t>
        </is>
      </c>
      <c r="D1180" s="15" t="inlineStr">
        <is>
          <t>1420</t>
        </is>
      </c>
      <c r="E1180" s="16" t="inlineStr">
        <is>
          <t>Retail and Wholesale Trade Managers</t>
        </is>
      </c>
      <c r="F1180" s="16" t="inlineStr">
        <is>
          <t>B2B영업 / 마케팅 / GTM</t>
        </is>
      </c>
      <c r="G1180" s="15" t="inlineStr">
        <is>
          <t>vertical_promotion</t>
        </is>
      </c>
      <c r="H1180" s="16" t="inlineStr">
        <is>
          <t>조직 관리 및 리더십, 예산/손익(P&amp;L) 관리, 전사 전략 수립</t>
        </is>
      </c>
      <c r="I1180" s="16" t="inlineStr">
        <is>
          <t>MBA 또는 경영학 석사, 글로벌 비즈니스 협상력</t>
        </is>
      </c>
      <c r="J1180" s="16" t="inlineStr">
        <is>
          <t>팀장/관리직 경력 3년 이상 (총 경력 7~10년+)</t>
        </is>
      </c>
      <c r="K1180" s="15" t="inlineStr">
        <is>
          <t>★★★★☆</t>
        </is>
      </c>
      <c r="L1180" s="20" t="inlineStr">
        <is>
          <t>+35.0%</t>
        </is>
      </c>
    </row>
    <row r="1181">
      <c r="A1181" s="17" t="inlineStr">
        <is>
          <t>TR-1180</t>
        </is>
      </c>
      <c r="B1181" s="17" t="inlineStr">
        <is>
          <t>5249</t>
        </is>
      </c>
      <c r="C1181" s="18" t="inlineStr">
        <is>
          <t>Sales Workers Not Elsewhere Classified</t>
        </is>
      </c>
      <c r="D1181" s="17" t="inlineStr">
        <is>
          <t>1420</t>
        </is>
      </c>
      <c r="E1181" s="18" t="inlineStr">
        <is>
          <t>Retail and Wholesale Trade Managers</t>
        </is>
      </c>
      <c r="F1181" s="18" t="inlineStr">
        <is>
          <t>B2B영업 / 마케팅 / GTM</t>
        </is>
      </c>
      <c r="G1181" s="17" t="inlineStr">
        <is>
          <t>vertical_promotion</t>
        </is>
      </c>
      <c r="H1181" s="18" t="inlineStr">
        <is>
          <t>조직 관리 및 리더십, 예산/손익(P&amp;L) 관리, 전사 전략 수립</t>
        </is>
      </c>
      <c r="I1181" s="18" t="inlineStr">
        <is>
          <t>MBA 또는 경영학 석사, 글로벌 비즈니스 협상력</t>
        </is>
      </c>
      <c r="J1181" s="18" t="inlineStr">
        <is>
          <t>팀장/관리직 경력 3년 이상 (총 경력 7~10년+)</t>
        </is>
      </c>
      <c r="K1181" s="17" t="inlineStr">
        <is>
          <t>★★★★☆</t>
        </is>
      </c>
      <c r="L1181" s="21" t="inlineStr">
        <is>
          <t>+35.0%</t>
        </is>
      </c>
    </row>
    <row r="1182">
      <c r="A1182" s="15" t="inlineStr">
        <is>
          <t>TR-1181</t>
        </is>
      </c>
      <c r="B1182" s="15" t="inlineStr">
        <is>
          <t>5311</t>
        </is>
      </c>
      <c r="C1182" s="16" t="inlineStr">
        <is>
          <t>Child Care Workers</t>
        </is>
      </c>
      <c r="D1182" s="15" t="inlineStr">
        <is>
          <t>1342</t>
        </is>
      </c>
      <c r="E1182" s="16" t="inlineStr">
        <is>
          <t>Health Service Managers</t>
        </is>
      </c>
      <c r="F1182" s="16" t="inlineStr">
        <is>
          <t>바이오 / 제약 / 임상헬스케어</t>
        </is>
      </c>
      <c r="G1182" s="15" t="inlineStr">
        <is>
          <t>vertical_promotion</t>
        </is>
      </c>
      <c r="H1182" s="16" t="inlineStr">
        <is>
          <t>조직 관리 및 리더십, 예산/손익(P&amp;L) 관리, 전사 전략 수립</t>
        </is>
      </c>
      <c r="I1182" s="16" t="inlineStr">
        <is>
          <t>MBA 또는 경영학 석사, 글로벌 비즈니스 협상력</t>
        </is>
      </c>
      <c r="J1182" s="16" t="inlineStr">
        <is>
          <t>팀장/관리직 경력 3년 이상 (총 경력 7~10년+)</t>
        </is>
      </c>
      <c r="K1182" s="15" t="inlineStr">
        <is>
          <t>★★★★☆</t>
        </is>
      </c>
      <c r="L1182" s="20" t="inlineStr">
        <is>
          <t>+35.0%</t>
        </is>
      </c>
    </row>
    <row r="1183">
      <c r="A1183" s="17" t="inlineStr">
        <is>
          <t>TR-1182</t>
        </is>
      </c>
      <c r="B1183" s="17" t="inlineStr">
        <is>
          <t>5312</t>
        </is>
      </c>
      <c r="C1183" s="18" t="inlineStr">
        <is>
          <t>Teachers' Aides</t>
        </is>
      </c>
      <c r="D1183" s="17" t="inlineStr">
        <is>
          <t>1342</t>
        </is>
      </c>
      <c r="E1183" s="18" t="inlineStr">
        <is>
          <t>Health Service Managers</t>
        </is>
      </c>
      <c r="F1183" s="18" t="inlineStr">
        <is>
          <t>바이오 / 제약 / 임상헬스케어</t>
        </is>
      </c>
      <c r="G1183" s="17" t="inlineStr">
        <is>
          <t>vertical_promotion</t>
        </is>
      </c>
      <c r="H1183" s="18" t="inlineStr">
        <is>
          <t>조직 관리 및 리더십, 예산/손익(P&amp;L) 관리, 전사 전략 수립</t>
        </is>
      </c>
      <c r="I1183" s="18" t="inlineStr">
        <is>
          <t>MBA 또는 경영학 석사, 글로벌 비즈니스 협상력</t>
        </is>
      </c>
      <c r="J1183" s="18" t="inlineStr">
        <is>
          <t>팀장/관리직 경력 3년 이상 (총 경력 7~10년+)</t>
        </is>
      </c>
      <c r="K1183" s="17" t="inlineStr">
        <is>
          <t>★★★★☆</t>
        </is>
      </c>
      <c r="L1183" s="21" t="inlineStr">
        <is>
          <t>+35.0%</t>
        </is>
      </c>
    </row>
    <row r="1184">
      <c r="A1184" s="15" t="inlineStr">
        <is>
          <t>TR-1183</t>
        </is>
      </c>
      <c r="B1184" s="15" t="inlineStr">
        <is>
          <t>5321</t>
        </is>
      </c>
      <c r="C1184" s="16" t="inlineStr">
        <is>
          <t>Health Care Assistants</t>
        </is>
      </c>
      <c r="D1184" s="15" t="inlineStr">
        <is>
          <t>1342</t>
        </is>
      </c>
      <c r="E1184" s="16" t="inlineStr">
        <is>
          <t>Health Service Managers</t>
        </is>
      </c>
      <c r="F1184" s="16" t="inlineStr">
        <is>
          <t>바이오 / 제약 / 임상헬스케어</t>
        </is>
      </c>
      <c r="G1184" s="15" t="inlineStr">
        <is>
          <t>vertical_promotion</t>
        </is>
      </c>
      <c r="H1184" s="16" t="inlineStr">
        <is>
          <t>조직 관리 및 리더십, 예산/손익(P&amp;L) 관리, 전사 전략 수립</t>
        </is>
      </c>
      <c r="I1184" s="16" t="inlineStr">
        <is>
          <t>MBA 또는 경영학 석사, 글로벌 비즈니스 협상력</t>
        </is>
      </c>
      <c r="J1184" s="16" t="inlineStr">
        <is>
          <t>팀장/관리직 경력 3년 이상 (총 경력 7~10년+)</t>
        </is>
      </c>
      <c r="K1184" s="15" t="inlineStr">
        <is>
          <t>★★★★☆</t>
        </is>
      </c>
      <c r="L1184" s="20" t="inlineStr">
        <is>
          <t>+35.0%</t>
        </is>
      </c>
    </row>
    <row r="1185">
      <c r="A1185" s="17" t="inlineStr">
        <is>
          <t>TR-1184</t>
        </is>
      </c>
      <c r="B1185" s="17" t="inlineStr">
        <is>
          <t>5322</t>
        </is>
      </c>
      <c r="C1185" s="18" t="inlineStr">
        <is>
          <t>Home-based Personal Care Workers</t>
        </is>
      </c>
      <c r="D1185" s="17" t="inlineStr">
        <is>
          <t>1342</t>
        </is>
      </c>
      <c r="E1185" s="18" t="inlineStr">
        <is>
          <t>Health Service Managers</t>
        </is>
      </c>
      <c r="F1185" s="18" t="inlineStr">
        <is>
          <t>바이오 / 제약 / 임상헬스케어</t>
        </is>
      </c>
      <c r="G1185" s="17" t="inlineStr">
        <is>
          <t>vertical_promotion</t>
        </is>
      </c>
      <c r="H1185" s="18" t="inlineStr">
        <is>
          <t>조직 관리 및 리더십, 예산/손익(P&amp;L) 관리, 전사 전략 수립</t>
        </is>
      </c>
      <c r="I1185" s="18" t="inlineStr">
        <is>
          <t>MBA 또는 경영학 석사, 글로벌 비즈니스 협상력</t>
        </is>
      </c>
      <c r="J1185" s="18" t="inlineStr">
        <is>
          <t>팀장/관리직 경력 3년 이상 (총 경력 7~10년+)</t>
        </is>
      </c>
      <c r="K1185" s="17" t="inlineStr">
        <is>
          <t>★★★★☆</t>
        </is>
      </c>
      <c r="L1185" s="21" t="inlineStr">
        <is>
          <t>+35.0%</t>
        </is>
      </c>
    </row>
    <row r="1186">
      <c r="A1186" s="15" t="inlineStr">
        <is>
          <t>TR-1185</t>
        </is>
      </c>
      <c r="B1186" s="15" t="inlineStr">
        <is>
          <t>5329</t>
        </is>
      </c>
      <c r="C1186" s="16" t="inlineStr">
        <is>
          <t>Personal Care Workers in Health Services Not Elsewhere Classified</t>
        </is>
      </c>
      <c r="D1186" s="15" t="inlineStr">
        <is>
          <t>1342</t>
        </is>
      </c>
      <c r="E1186" s="16" t="inlineStr">
        <is>
          <t>Health Service Managers</t>
        </is>
      </c>
      <c r="F1186" s="16" t="inlineStr">
        <is>
          <t>바이오 / 제약 / 임상헬스케어</t>
        </is>
      </c>
      <c r="G1186" s="15" t="inlineStr">
        <is>
          <t>vertical_promotion</t>
        </is>
      </c>
      <c r="H1186" s="16" t="inlineStr">
        <is>
          <t>조직 관리 및 리더십, 예산/손익(P&amp;L) 관리, 전사 전략 수립</t>
        </is>
      </c>
      <c r="I1186" s="16" t="inlineStr">
        <is>
          <t>MBA 또는 경영학 석사, 글로벌 비즈니스 협상력</t>
        </is>
      </c>
      <c r="J1186" s="16" t="inlineStr">
        <is>
          <t>팀장/관리직 경력 3년 이상 (총 경력 7~10년+)</t>
        </is>
      </c>
      <c r="K1186" s="15" t="inlineStr">
        <is>
          <t>★★★★☆</t>
        </is>
      </c>
      <c r="L1186" s="20" t="inlineStr">
        <is>
          <t>+35.0%</t>
        </is>
      </c>
    </row>
    <row r="1187">
      <c r="A1187" s="17" t="inlineStr">
        <is>
          <t>TR-1186</t>
        </is>
      </c>
      <c r="B1187" s="17" t="inlineStr">
        <is>
          <t>5411</t>
        </is>
      </c>
      <c r="C1187" s="18" t="inlineStr">
        <is>
          <t>Fire Fighters</t>
        </is>
      </c>
      <c r="D1187" s="17" t="inlineStr">
        <is>
          <t>1349</t>
        </is>
      </c>
      <c r="E1187" s="18" t="inlineStr">
        <is>
          <t>Professional Services Managers Not Elsewhere Classified</t>
        </is>
      </c>
      <c r="F1187" s="18" t="inlineStr">
        <is>
          <t>탄소중립 / 산업안전 / ESG</t>
        </is>
      </c>
      <c r="G1187" s="17" t="inlineStr">
        <is>
          <t>vertical_promotion</t>
        </is>
      </c>
      <c r="H1187" s="18" t="inlineStr">
        <is>
          <t>조직 관리 및 리더십, 예산/손익(P&amp;L) 관리, 전사 전략 수립</t>
        </is>
      </c>
      <c r="I1187" s="18" t="inlineStr">
        <is>
          <t>MBA 또는 경영학 석사, 글로벌 비즈니스 협상력</t>
        </is>
      </c>
      <c r="J1187" s="18" t="inlineStr">
        <is>
          <t>팀장/관리직 경력 3년 이상 (총 경력 7~10년+)</t>
        </is>
      </c>
      <c r="K1187" s="17" t="inlineStr">
        <is>
          <t>★★★★☆</t>
        </is>
      </c>
      <c r="L1187" s="21" t="inlineStr">
        <is>
          <t>+35.0%</t>
        </is>
      </c>
    </row>
    <row r="1188">
      <c r="A1188" s="15" t="inlineStr">
        <is>
          <t>TR-1187</t>
        </is>
      </c>
      <c r="B1188" s="15" t="inlineStr">
        <is>
          <t>5412</t>
        </is>
      </c>
      <c r="C1188" s="16" t="inlineStr">
        <is>
          <t>Police Officers</t>
        </is>
      </c>
      <c r="D1188" s="15" t="inlineStr">
        <is>
          <t>1349</t>
        </is>
      </c>
      <c r="E1188" s="16" t="inlineStr">
        <is>
          <t>Professional Services Managers Not Elsewhere Classified</t>
        </is>
      </c>
      <c r="F1188" s="16" t="inlineStr">
        <is>
          <t>탄소중립 / 산업안전 / ESG</t>
        </is>
      </c>
      <c r="G1188" s="15" t="inlineStr">
        <is>
          <t>vertical_promotion</t>
        </is>
      </c>
      <c r="H1188" s="16" t="inlineStr">
        <is>
          <t>조직 관리 및 리더십, 예산/손익(P&amp;L) 관리, 전사 전략 수립</t>
        </is>
      </c>
      <c r="I1188" s="16" t="inlineStr">
        <is>
          <t>MBA 또는 경영학 석사, 글로벌 비즈니스 협상력</t>
        </is>
      </c>
      <c r="J1188" s="16" t="inlineStr">
        <is>
          <t>팀장/관리직 경력 3년 이상 (총 경력 7~10년+)</t>
        </is>
      </c>
      <c r="K1188" s="15" t="inlineStr">
        <is>
          <t>★★★★☆</t>
        </is>
      </c>
      <c r="L1188" s="20" t="inlineStr">
        <is>
          <t>+35.0%</t>
        </is>
      </c>
    </row>
    <row r="1189">
      <c r="A1189" s="17" t="inlineStr">
        <is>
          <t>TR-1188</t>
        </is>
      </c>
      <c r="B1189" s="17" t="inlineStr">
        <is>
          <t>5413</t>
        </is>
      </c>
      <c r="C1189" s="18" t="inlineStr">
        <is>
          <t>Prison Guards</t>
        </is>
      </c>
      <c r="D1189" s="17" t="inlineStr">
        <is>
          <t>1349</t>
        </is>
      </c>
      <c r="E1189" s="18" t="inlineStr">
        <is>
          <t>Professional Services Managers Not Elsewhere Classified</t>
        </is>
      </c>
      <c r="F1189" s="18" t="inlineStr">
        <is>
          <t>탄소중립 / 산업안전 / ESG</t>
        </is>
      </c>
      <c r="G1189" s="17" t="inlineStr">
        <is>
          <t>vertical_promotion</t>
        </is>
      </c>
      <c r="H1189" s="18" t="inlineStr">
        <is>
          <t>조직 관리 및 리더십, 예산/손익(P&amp;L) 관리, 전사 전략 수립</t>
        </is>
      </c>
      <c r="I1189" s="18" t="inlineStr">
        <is>
          <t>MBA 또는 경영학 석사, 글로벌 비즈니스 협상력</t>
        </is>
      </c>
      <c r="J1189" s="18" t="inlineStr">
        <is>
          <t>팀장/관리직 경력 3년 이상 (총 경력 7~10년+)</t>
        </is>
      </c>
      <c r="K1189" s="17" t="inlineStr">
        <is>
          <t>★★★★☆</t>
        </is>
      </c>
      <c r="L1189" s="21" t="inlineStr">
        <is>
          <t>+35.0%</t>
        </is>
      </c>
    </row>
    <row r="1190">
      <c r="A1190" s="15" t="inlineStr">
        <is>
          <t>TR-1189</t>
        </is>
      </c>
      <c r="B1190" s="15" t="inlineStr">
        <is>
          <t>5414</t>
        </is>
      </c>
      <c r="C1190" s="16" t="inlineStr">
        <is>
          <t>Security Guards</t>
        </is>
      </c>
      <c r="D1190" s="15" t="inlineStr">
        <is>
          <t>1349</t>
        </is>
      </c>
      <c r="E1190" s="16" t="inlineStr">
        <is>
          <t>Professional Services Managers Not Elsewhere Classified</t>
        </is>
      </c>
      <c r="F1190" s="16" t="inlineStr">
        <is>
          <t>탄소중립 / 산업안전 / ESG</t>
        </is>
      </c>
      <c r="G1190" s="15" t="inlineStr">
        <is>
          <t>vertical_promotion</t>
        </is>
      </c>
      <c r="H1190" s="16" t="inlineStr">
        <is>
          <t>조직 관리 및 리더십, 예산/손익(P&amp;L) 관리, 전사 전략 수립</t>
        </is>
      </c>
      <c r="I1190" s="16" t="inlineStr">
        <is>
          <t>MBA 또는 경영학 석사, 글로벌 비즈니스 협상력</t>
        </is>
      </c>
      <c r="J1190" s="16" t="inlineStr">
        <is>
          <t>팀장/관리직 경력 3년 이상 (총 경력 7~10년+)</t>
        </is>
      </c>
      <c r="K1190" s="15" t="inlineStr">
        <is>
          <t>★★★★☆</t>
        </is>
      </c>
      <c r="L1190" s="20" t="inlineStr">
        <is>
          <t>+35.0%</t>
        </is>
      </c>
    </row>
    <row r="1191">
      <c r="A1191" s="17" t="inlineStr">
        <is>
          <t>TR-1190</t>
        </is>
      </c>
      <c r="B1191" s="17" t="inlineStr">
        <is>
          <t>5419</t>
        </is>
      </c>
      <c r="C1191" s="18" t="inlineStr">
        <is>
          <t>Protective Services Workers Not Elsewhere Classified</t>
        </is>
      </c>
      <c r="D1191" s="17" t="inlineStr">
        <is>
          <t>1349</t>
        </is>
      </c>
      <c r="E1191" s="18" t="inlineStr">
        <is>
          <t>Professional Services Managers Not Elsewhere Classified</t>
        </is>
      </c>
      <c r="F1191" s="18" t="inlineStr">
        <is>
          <t>탄소중립 / 산업안전 / ESG</t>
        </is>
      </c>
      <c r="G1191" s="17" t="inlineStr">
        <is>
          <t>vertical_promotion</t>
        </is>
      </c>
      <c r="H1191" s="18" t="inlineStr">
        <is>
          <t>조직 관리 및 리더십, 예산/손익(P&amp;L) 관리, 전사 전략 수립</t>
        </is>
      </c>
      <c r="I1191" s="18" t="inlineStr">
        <is>
          <t>MBA 또는 경영학 석사, 글로벌 비즈니스 협상력</t>
        </is>
      </c>
      <c r="J1191" s="18" t="inlineStr">
        <is>
          <t>팀장/관리직 경력 3년 이상 (총 경력 7~10년+)</t>
        </is>
      </c>
      <c r="K1191" s="17" t="inlineStr">
        <is>
          <t>★★★★☆</t>
        </is>
      </c>
      <c r="L1191" s="21" t="inlineStr">
        <is>
          <t>+35.0%</t>
        </is>
      </c>
    </row>
    <row r="1192">
      <c r="A1192" s="15" t="inlineStr">
        <is>
          <t>TR-1191</t>
        </is>
      </c>
      <c r="B1192" s="15" t="inlineStr">
        <is>
          <t>6113</t>
        </is>
      </c>
      <c r="C1192" s="16" t="inlineStr">
        <is>
          <t>Gardeners, Horticultural and Nursery Growers</t>
        </is>
      </c>
      <c r="D1192" s="15" t="inlineStr">
        <is>
          <t>1311</t>
        </is>
      </c>
      <c r="E1192" s="16" t="inlineStr">
        <is>
          <t>Agricultural and Forestry Production Managers</t>
        </is>
      </c>
      <c r="F1192" s="16" t="inlineStr">
        <is>
          <t>탄소중립 / 산업안전 / ESG</t>
        </is>
      </c>
      <c r="G1192" s="15" t="inlineStr">
        <is>
          <t>vertical_promotion</t>
        </is>
      </c>
      <c r="H1192" s="16" t="inlineStr">
        <is>
          <t>조직 관리 및 리더십, 예산/손익(P&amp;L) 관리, 전사 전략 수립</t>
        </is>
      </c>
      <c r="I1192" s="16" t="inlineStr">
        <is>
          <t>MBA 또는 경영학 석사, 글로벌 비즈니스 협상력</t>
        </is>
      </c>
      <c r="J1192" s="16" t="inlineStr">
        <is>
          <t>팀장/관리직 경력 3년 이상 (총 경력 7~10년+)</t>
        </is>
      </c>
      <c r="K1192" s="15" t="inlineStr">
        <is>
          <t>★★★★☆</t>
        </is>
      </c>
      <c r="L1192" s="20" t="inlineStr">
        <is>
          <t>+35.0%</t>
        </is>
      </c>
    </row>
    <row r="1193">
      <c r="A1193" s="17" t="inlineStr">
        <is>
          <t>TR-1192</t>
        </is>
      </c>
      <c r="B1193" s="17" t="inlineStr">
        <is>
          <t>6122</t>
        </is>
      </c>
      <c r="C1193" s="18" t="inlineStr">
        <is>
          <t>Poultry Producers</t>
        </is>
      </c>
      <c r="D1193" s="17" t="inlineStr">
        <is>
          <t>1311</t>
        </is>
      </c>
      <c r="E1193" s="18" t="inlineStr">
        <is>
          <t>Agricultural and Forestry Production Managers</t>
        </is>
      </c>
      <c r="F1193" s="18" t="inlineStr">
        <is>
          <t>탄소중립 / 산업안전 / ESG</t>
        </is>
      </c>
      <c r="G1193" s="17" t="inlineStr">
        <is>
          <t>vertical_promotion</t>
        </is>
      </c>
      <c r="H1193" s="18" t="inlineStr">
        <is>
          <t>조직 관리 및 리더십, 예산/손익(P&amp;L) 관리, 전사 전략 수립</t>
        </is>
      </c>
      <c r="I1193" s="18" t="inlineStr">
        <is>
          <t>MBA 또는 경영학 석사, 글로벌 비즈니스 협상력</t>
        </is>
      </c>
      <c r="J1193" s="18" t="inlineStr">
        <is>
          <t>팀장/관리직 경력 3년 이상 (총 경력 7~10년+)</t>
        </is>
      </c>
      <c r="K1193" s="17" t="inlineStr">
        <is>
          <t>★★★★☆</t>
        </is>
      </c>
      <c r="L1193" s="21" t="inlineStr">
        <is>
          <t>+35.0%</t>
        </is>
      </c>
    </row>
    <row r="1194">
      <c r="A1194" s="15" t="inlineStr">
        <is>
          <t>TR-1193</t>
        </is>
      </c>
      <c r="B1194" s="15" t="inlineStr">
        <is>
          <t>6123</t>
        </is>
      </c>
      <c r="C1194" s="16" t="inlineStr">
        <is>
          <t>Apiarists and Sericulturists</t>
        </is>
      </c>
      <c r="D1194" s="15" t="inlineStr">
        <is>
          <t>1311</t>
        </is>
      </c>
      <c r="E1194" s="16" t="inlineStr">
        <is>
          <t>Agricultural and Forestry Production Managers</t>
        </is>
      </c>
      <c r="F1194" s="16" t="inlineStr">
        <is>
          <t>탄소중립 / 산업안전 / ESG</t>
        </is>
      </c>
      <c r="G1194" s="15" t="inlineStr">
        <is>
          <t>vertical_promotion</t>
        </is>
      </c>
      <c r="H1194" s="16" t="inlineStr">
        <is>
          <t>조직 관리 및 리더십, 예산/손익(P&amp;L) 관리, 전사 전략 수립</t>
        </is>
      </c>
      <c r="I1194" s="16" t="inlineStr">
        <is>
          <t>MBA 또는 경영학 석사, 글로벌 비즈니스 협상력</t>
        </is>
      </c>
      <c r="J1194" s="16" t="inlineStr">
        <is>
          <t>팀장/관리직 경력 3년 이상 (총 경력 7~10년+)</t>
        </is>
      </c>
      <c r="K1194" s="15" t="inlineStr">
        <is>
          <t>★★★★☆</t>
        </is>
      </c>
      <c r="L1194" s="20" t="inlineStr">
        <is>
          <t>+35.0%</t>
        </is>
      </c>
    </row>
    <row r="1195">
      <c r="A1195" s="17" t="inlineStr">
        <is>
          <t>TR-1194</t>
        </is>
      </c>
      <c r="B1195" s="17" t="inlineStr">
        <is>
          <t>6129</t>
        </is>
      </c>
      <c r="C1195" s="18" t="inlineStr">
        <is>
          <t>Animal Producers Not Elsewhere Classified</t>
        </is>
      </c>
      <c r="D1195" s="17" t="inlineStr">
        <is>
          <t>1311</t>
        </is>
      </c>
      <c r="E1195" s="18" t="inlineStr">
        <is>
          <t>Agricultural and Forestry Production Managers</t>
        </is>
      </c>
      <c r="F1195" s="18" t="inlineStr">
        <is>
          <t>탄소중립 / 산업안전 / ESG</t>
        </is>
      </c>
      <c r="G1195" s="17" t="inlineStr">
        <is>
          <t>vertical_promotion</t>
        </is>
      </c>
      <c r="H1195" s="18" t="inlineStr">
        <is>
          <t>조직 관리 및 리더십, 예산/손익(P&amp;L) 관리, 전사 전략 수립</t>
        </is>
      </c>
      <c r="I1195" s="18" t="inlineStr">
        <is>
          <t>MBA 또는 경영학 석사, 글로벌 비즈니스 협상력</t>
        </is>
      </c>
      <c r="J1195" s="18" t="inlineStr">
        <is>
          <t>팀장/관리직 경력 3년 이상 (총 경력 7~10년+)</t>
        </is>
      </c>
      <c r="K1195" s="17" t="inlineStr">
        <is>
          <t>★★★★☆</t>
        </is>
      </c>
      <c r="L1195" s="21" t="inlineStr">
        <is>
          <t>+35.0%</t>
        </is>
      </c>
    </row>
    <row r="1196">
      <c r="A1196" s="15" t="inlineStr">
        <is>
          <t>TR-1195</t>
        </is>
      </c>
      <c r="B1196" s="15" t="inlineStr">
        <is>
          <t>6210</t>
        </is>
      </c>
      <c r="C1196" s="16" t="inlineStr">
        <is>
          <t>Forestry and Related Workers</t>
        </is>
      </c>
      <c r="D1196" s="15" t="inlineStr">
        <is>
          <t>1312</t>
        </is>
      </c>
      <c r="E1196" s="16" t="inlineStr">
        <is>
          <t>Aquaculture and Fisheries Production Managers</t>
        </is>
      </c>
      <c r="F1196" s="16" t="inlineStr">
        <is>
          <t>탄소중립 / 산업안전 / ESG</t>
        </is>
      </c>
      <c r="G1196" s="15" t="inlineStr">
        <is>
          <t>vertical_promotion</t>
        </is>
      </c>
      <c r="H1196" s="16" t="inlineStr">
        <is>
          <t>조직 관리 및 리더십, 예산/손익(P&amp;L) 관리, 전사 전략 수립</t>
        </is>
      </c>
      <c r="I1196" s="16" t="inlineStr">
        <is>
          <t>MBA 또는 경영학 석사, 글로벌 비즈니스 협상력</t>
        </is>
      </c>
      <c r="J1196" s="16" t="inlineStr">
        <is>
          <t>팀장/관리직 경력 3년 이상 (총 경력 7~10년+)</t>
        </is>
      </c>
      <c r="K1196" s="15" t="inlineStr">
        <is>
          <t>★★★★☆</t>
        </is>
      </c>
      <c r="L1196" s="20" t="inlineStr">
        <is>
          <t>+35.0%</t>
        </is>
      </c>
    </row>
    <row r="1197">
      <c r="A1197" s="17" t="inlineStr">
        <is>
          <t>TR-1196</t>
        </is>
      </c>
      <c r="B1197" s="17" t="inlineStr">
        <is>
          <t>6224</t>
        </is>
      </c>
      <c r="C1197" s="18" t="inlineStr">
        <is>
          <t>Hunters and Trappers</t>
        </is>
      </c>
      <c r="D1197" s="17" t="inlineStr">
        <is>
          <t>1312</t>
        </is>
      </c>
      <c r="E1197" s="18" t="inlineStr">
        <is>
          <t>Aquaculture and Fisheries Production Managers</t>
        </is>
      </c>
      <c r="F1197" s="18" t="inlineStr">
        <is>
          <t>탄소중립 / 산업안전 / ESG</t>
        </is>
      </c>
      <c r="G1197" s="17" t="inlineStr">
        <is>
          <t>vertical_promotion</t>
        </is>
      </c>
      <c r="H1197" s="18" t="inlineStr">
        <is>
          <t>조직 관리 및 리더십, 예산/손익(P&amp;L) 관리, 전사 전략 수립</t>
        </is>
      </c>
      <c r="I1197" s="18" t="inlineStr">
        <is>
          <t>MBA 또는 경영학 석사, 글로벌 비즈니스 협상력</t>
        </is>
      </c>
      <c r="J1197" s="18" t="inlineStr">
        <is>
          <t>팀장/관리직 경력 3년 이상 (총 경력 7~10년+)</t>
        </is>
      </c>
      <c r="K1197" s="17" t="inlineStr">
        <is>
          <t>★★★★☆</t>
        </is>
      </c>
      <c r="L1197" s="21" t="inlineStr">
        <is>
          <t>+35.0%</t>
        </is>
      </c>
    </row>
    <row r="1198">
      <c r="A1198" s="15" t="inlineStr">
        <is>
          <t>TR-1197</t>
        </is>
      </c>
      <c r="B1198" s="15" t="inlineStr">
        <is>
          <t>6310</t>
        </is>
      </c>
      <c r="C1198" s="16" t="inlineStr">
        <is>
          <t>Subsistence Crop Farmers</t>
        </is>
      </c>
      <c r="D1198" s="15" t="inlineStr">
        <is>
          <t>1311</t>
        </is>
      </c>
      <c r="E1198" s="16" t="inlineStr">
        <is>
          <t>Agricultural and Forestry Production Managers</t>
        </is>
      </c>
      <c r="F1198" s="16" t="inlineStr">
        <is>
          <t>탄소중립 / 산업안전 / ESG</t>
        </is>
      </c>
      <c r="G1198" s="15" t="inlineStr">
        <is>
          <t>vertical_promotion</t>
        </is>
      </c>
      <c r="H1198" s="16" t="inlineStr">
        <is>
          <t>조직 관리 및 리더십, 예산/손익(P&amp;L) 관리, 전사 전략 수립</t>
        </is>
      </c>
      <c r="I1198" s="16" t="inlineStr">
        <is>
          <t>MBA 또는 경영학 석사, 글로벌 비즈니스 협상력</t>
        </is>
      </c>
      <c r="J1198" s="16" t="inlineStr">
        <is>
          <t>팀장/관리직 경력 3년 이상 (총 경력 7~10년+)</t>
        </is>
      </c>
      <c r="K1198" s="15" t="inlineStr">
        <is>
          <t>★★★★☆</t>
        </is>
      </c>
      <c r="L1198" s="20" t="inlineStr">
        <is>
          <t>+35.0%</t>
        </is>
      </c>
    </row>
    <row r="1199">
      <c r="A1199" s="17" t="inlineStr">
        <is>
          <t>TR-1198</t>
        </is>
      </c>
      <c r="B1199" s="17" t="inlineStr">
        <is>
          <t>6320</t>
        </is>
      </c>
      <c r="C1199" s="18" t="inlineStr">
        <is>
          <t>Subsistence Livestock Farmers</t>
        </is>
      </c>
      <c r="D1199" s="17" t="inlineStr">
        <is>
          <t>1311</t>
        </is>
      </c>
      <c r="E1199" s="18" t="inlineStr">
        <is>
          <t>Agricultural and Forestry Production Managers</t>
        </is>
      </c>
      <c r="F1199" s="18" t="inlineStr">
        <is>
          <t>탄소중립 / 산업안전 / ESG</t>
        </is>
      </c>
      <c r="G1199" s="17" t="inlineStr">
        <is>
          <t>vertical_promotion</t>
        </is>
      </c>
      <c r="H1199" s="18" t="inlineStr">
        <is>
          <t>조직 관리 및 리더십, 예산/손익(P&amp;L) 관리, 전사 전략 수립</t>
        </is>
      </c>
      <c r="I1199" s="18" t="inlineStr">
        <is>
          <t>MBA 또는 경영학 석사, 글로벌 비즈니스 협상력</t>
        </is>
      </c>
      <c r="J1199" s="18" t="inlineStr">
        <is>
          <t>팀장/관리직 경력 3년 이상 (총 경력 7~10년+)</t>
        </is>
      </c>
      <c r="K1199" s="17" t="inlineStr">
        <is>
          <t>★★★★☆</t>
        </is>
      </c>
      <c r="L1199" s="21" t="inlineStr">
        <is>
          <t>+35.0%</t>
        </is>
      </c>
    </row>
    <row r="1200">
      <c r="A1200" s="15" t="inlineStr">
        <is>
          <t>TR-1199</t>
        </is>
      </c>
      <c r="B1200" s="15" t="inlineStr">
        <is>
          <t>6330</t>
        </is>
      </c>
      <c r="C1200" s="16" t="inlineStr">
        <is>
          <t>Subsistence Mixed Crop and Livestock Farmers</t>
        </is>
      </c>
      <c r="D1200" s="15" t="inlineStr">
        <is>
          <t>1311</t>
        </is>
      </c>
      <c r="E1200" s="16" t="inlineStr">
        <is>
          <t>Agricultural and Forestry Production Managers</t>
        </is>
      </c>
      <c r="F1200" s="16" t="inlineStr">
        <is>
          <t>탄소중립 / 산업안전 / ESG</t>
        </is>
      </c>
      <c r="G1200" s="15" t="inlineStr">
        <is>
          <t>vertical_promotion</t>
        </is>
      </c>
      <c r="H1200" s="16" t="inlineStr">
        <is>
          <t>조직 관리 및 리더십, 예산/손익(P&amp;L) 관리, 전사 전략 수립</t>
        </is>
      </c>
      <c r="I1200" s="16" t="inlineStr">
        <is>
          <t>MBA 또는 경영학 석사, 글로벌 비즈니스 협상력</t>
        </is>
      </c>
      <c r="J1200" s="16" t="inlineStr">
        <is>
          <t>팀장/관리직 경력 3년 이상 (총 경력 7~10년+)</t>
        </is>
      </c>
      <c r="K1200" s="15" t="inlineStr">
        <is>
          <t>★★★★☆</t>
        </is>
      </c>
      <c r="L1200" s="20" t="inlineStr">
        <is>
          <t>+35.0%</t>
        </is>
      </c>
    </row>
    <row r="1201">
      <c r="A1201" s="17" t="inlineStr">
        <is>
          <t>TR-1200</t>
        </is>
      </c>
      <c r="B1201" s="17" t="inlineStr">
        <is>
          <t>6340</t>
        </is>
      </c>
      <c r="C1201" s="18" t="inlineStr">
        <is>
          <t>Subsistence Fishers, Hunters, Trappers and Gatherers</t>
        </is>
      </c>
      <c r="D1201" s="17" t="inlineStr">
        <is>
          <t>1311</t>
        </is>
      </c>
      <c r="E1201" s="18" t="inlineStr">
        <is>
          <t>Agricultural and Forestry Production Managers</t>
        </is>
      </c>
      <c r="F1201" s="18" t="inlineStr">
        <is>
          <t>탄소중립 / 산업안전 / ESG</t>
        </is>
      </c>
      <c r="G1201" s="17" t="inlineStr">
        <is>
          <t>vertical_promotion</t>
        </is>
      </c>
      <c r="H1201" s="18" t="inlineStr">
        <is>
          <t>조직 관리 및 리더십, 예산/손익(P&amp;L) 관리, 전사 전략 수립</t>
        </is>
      </c>
      <c r="I1201" s="18" t="inlineStr">
        <is>
          <t>MBA 또는 경영학 석사, 글로벌 비즈니스 협상력</t>
        </is>
      </c>
      <c r="J1201" s="18" t="inlineStr">
        <is>
          <t>팀장/관리직 경력 3년 이상 (총 경력 7~10년+)</t>
        </is>
      </c>
      <c r="K1201" s="17" t="inlineStr">
        <is>
          <t>★★★★☆</t>
        </is>
      </c>
      <c r="L1201" s="21" t="inlineStr">
        <is>
          <t>+35.0%</t>
        </is>
      </c>
    </row>
    <row r="1202">
      <c r="A1202" s="15" t="inlineStr">
        <is>
          <t>TR-1201</t>
        </is>
      </c>
      <c r="B1202" s="15" t="inlineStr">
        <is>
          <t>7112</t>
        </is>
      </c>
      <c r="C1202" s="16" t="inlineStr">
        <is>
          <t>Bricklayers and Related Workers</t>
        </is>
      </c>
      <c r="D1202" s="15" t="inlineStr">
        <is>
          <t>1323</t>
        </is>
      </c>
      <c r="E1202" s="16" t="inlineStr">
        <is>
          <t>Construction Managers</t>
        </is>
      </c>
      <c r="F1202" s="16" t="inlineStr">
        <is>
          <t>스마트건축 / 토목 / 인프라</t>
        </is>
      </c>
      <c r="G1202" s="15" t="inlineStr">
        <is>
          <t>vertical_promotion</t>
        </is>
      </c>
      <c r="H1202" s="16" t="inlineStr">
        <is>
          <t>조직 관리 및 리더십, 예산/손익(P&amp;L) 관리, 전사 전략 수립</t>
        </is>
      </c>
      <c r="I1202" s="16" t="inlineStr">
        <is>
          <t>MBA 또는 경영학 석사, 글로벌 비즈니스 협상력</t>
        </is>
      </c>
      <c r="J1202" s="16" t="inlineStr">
        <is>
          <t>팀장/관리직 경력 3년 이상 (총 경력 7~10년+)</t>
        </is>
      </c>
      <c r="K1202" s="15" t="inlineStr">
        <is>
          <t>★★★★☆</t>
        </is>
      </c>
      <c r="L1202" s="20" t="inlineStr">
        <is>
          <t>+35.0%</t>
        </is>
      </c>
    </row>
    <row r="1203">
      <c r="A1203" s="17" t="inlineStr">
        <is>
          <t>TR-1202</t>
        </is>
      </c>
      <c r="B1203" s="17" t="inlineStr">
        <is>
          <t>7113</t>
        </is>
      </c>
      <c r="C1203" s="18" t="inlineStr">
        <is>
          <t>Stonemasons, Stone Cutters, Splitters and Carvers</t>
        </is>
      </c>
      <c r="D1203" s="17" t="inlineStr">
        <is>
          <t>1323</t>
        </is>
      </c>
      <c r="E1203" s="18" t="inlineStr">
        <is>
          <t>Construction Managers</t>
        </is>
      </c>
      <c r="F1203" s="18" t="inlineStr">
        <is>
          <t>스마트건축 / 토목 / 인프라</t>
        </is>
      </c>
      <c r="G1203" s="17" t="inlineStr">
        <is>
          <t>vertical_promotion</t>
        </is>
      </c>
      <c r="H1203" s="18" t="inlineStr">
        <is>
          <t>조직 관리 및 리더십, 예산/손익(P&amp;L) 관리, 전사 전략 수립</t>
        </is>
      </c>
      <c r="I1203" s="18" t="inlineStr">
        <is>
          <t>MBA 또는 경영학 석사, 글로벌 비즈니스 협상력</t>
        </is>
      </c>
      <c r="J1203" s="18" t="inlineStr">
        <is>
          <t>팀장/관리직 경력 3년 이상 (총 경력 7~10년+)</t>
        </is>
      </c>
      <c r="K1203" s="17" t="inlineStr">
        <is>
          <t>★★★★☆</t>
        </is>
      </c>
      <c r="L1203" s="21" t="inlineStr">
        <is>
          <t>+35.0%</t>
        </is>
      </c>
    </row>
    <row r="1204">
      <c r="A1204" s="15" t="inlineStr">
        <is>
          <t>TR-1203</t>
        </is>
      </c>
      <c r="B1204" s="15" t="inlineStr">
        <is>
          <t>7114</t>
        </is>
      </c>
      <c r="C1204" s="16" t="inlineStr">
        <is>
          <t>Concrete Placers, Concrete Finishers and Related Workers</t>
        </is>
      </c>
      <c r="D1204" s="15" t="inlineStr">
        <is>
          <t>1323</t>
        </is>
      </c>
      <c r="E1204" s="16" t="inlineStr">
        <is>
          <t>Construction Managers</t>
        </is>
      </c>
      <c r="F1204" s="16" t="inlineStr">
        <is>
          <t>스마트건축 / 토목 / 인프라</t>
        </is>
      </c>
      <c r="G1204" s="15" t="inlineStr">
        <is>
          <t>vertical_promotion</t>
        </is>
      </c>
      <c r="H1204" s="16" t="inlineStr">
        <is>
          <t>조직 관리 및 리더십, 예산/손익(P&amp;L) 관리, 전사 전략 수립</t>
        </is>
      </c>
      <c r="I1204" s="16" t="inlineStr">
        <is>
          <t>MBA 또는 경영학 석사, 글로벌 비즈니스 협상력</t>
        </is>
      </c>
      <c r="J1204" s="16" t="inlineStr">
        <is>
          <t>팀장/관리직 경력 3년 이상 (총 경력 7~10년+)</t>
        </is>
      </c>
      <c r="K1204" s="15" t="inlineStr">
        <is>
          <t>★★★★☆</t>
        </is>
      </c>
      <c r="L1204" s="20" t="inlineStr">
        <is>
          <t>+35.0%</t>
        </is>
      </c>
    </row>
    <row r="1205">
      <c r="A1205" s="17" t="inlineStr">
        <is>
          <t>TR-1204</t>
        </is>
      </c>
      <c r="B1205" s="17" t="inlineStr">
        <is>
          <t>7115</t>
        </is>
      </c>
      <c r="C1205" s="18" t="inlineStr">
        <is>
          <t>Carpenters and Joiners</t>
        </is>
      </c>
      <c r="D1205" s="17" t="inlineStr">
        <is>
          <t>1323</t>
        </is>
      </c>
      <c r="E1205" s="18" t="inlineStr">
        <is>
          <t>Construction Managers</t>
        </is>
      </c>
      <c r="F1205" s="18" t="inlineStr">
        <is>
          <t>스마트건축 / 토목 / 인프라</t>
        </is>
      </c>
      <c r="G1205" s="17" t="inlineStr">
        <is>
          <t>vertical_promotion</t>
        </is>
      </c>
      <c r="H1205" s="18" t="inlineStr">
        <is>
          <t>조직 관리 및 리더십, 예산/손익(P&amp;L) 관리, 전사 전략 수립</t>
        </is>
      </c>
      <c r="I1205" s="18" t="inlineStr">
        <is>
          <t>MBA 또는 경영학 석사, 글로벌 비즈니스 협상력</t>
        </is>
      </c>
      <c r="J1205" s="18" t="inlineStr">
        <is>
          <t>팀장/관리직 경력 3년 이상 (총 경력 7~10년+)</t>
        </is>
      </c>
      <c r="K1205" s="17" t="inlineStr">
        <is>
          <t>★★★★☆</t>
        </is>
      </c>
      <c r="L1205" s="21" t="inlineStr">
        <is>
          <t>+35.0%</t>
        </is>
      </c>
    </row>
    <row r="1206">
      <c r="A1206" s="15" t="inlineStr">
        <is>
          <t>TR-1205</t>
        </is>
      </c>
      <c r="B1206" s="15" t="inlineStr">
        <is>
          <t>7119</t>
        </is>
      </c>
      <c r="C1206" s="16" t="inlineStr">
        <is>
          <t>Building Frame and Related Trades Workers Not Elsewhere Classified</t>
        </is>
      </c>
      <c r="D1206" s="15" t="inlineStr">
        <is>
          <t>1323</t>
        </is>
      </c>
      <c r="E1206" s="16" t="inlineStr">
        <is>
          <t>Construction Managers</t>
        </is>
      </c>
      <c r="F1206" s="16" t="inlineStr">
        <is>
          <t>스마트건축 / 토목 / 인프라</t>
        </is>
      </c>
      <c r="G1206" s="15" t="inlineStr">
        <is>
          <t>vertical_promotion</t>
        </is>
      </c>
      <c r="H1206" s="16" t="inlineStr">
        <is>
          <t>조직 관리 및 리더십, 예산/손익(P&amp;L) 관리, 전사 전략 수립</t>
        </is>
      </c>
      <c r="I1206" s="16" t="inlineStr">
        <is>
          <t>MBA 또는 경영학 석사, 글로벌 비즈니스 협상력</t>
        </is>
      </c>
      <c r="J1206" s="16" t="inlineStr">
        <is>
          <t>팀장/관리직 경력 3년 이상 (총 경력 7~10년+)</t>
        </is>
      </c>
      <c r="K1206" s="15" t="inlineStr">
        <is>
          <t>★★★★☆</t>
        </is>
      </c>
      <c r="L1206" s="20" t="inlineStr">
        <is>
          <t>+35.0%</t>
        </is>
      </c>
    </row>
    <row r="1207">
      <c r="A1207" s="17" t="inlineStr">
        <is>
          <t>TR-1206</t>
        </is>
      </c>
      <c r="B1207" s="17" t="inlineStr">
        <is>
          <t>7121</t>
        </is>
      </c>
      <c r="C1207" s="18" t="inlineStr">
        <is>
          <t>Roofers</t>
        </is>
      </c>
      <c r="D1207" s="17" t="inlineStr">
        <is>
          <t>1323</t>
        </is>
      </c>
      <c r="E1207" s="18" t="inlineStr">
        <is>
          <t>Construction Managers</t>
        </is>
      </c>
      <c r="F1207" s="18" t="inlineStr">
        <is>
          <t>스마트건축 / 토목 / 인프라</t>
        </is>
      </c>
      <c r="G1207" s="17" t="inlineStr">
        <is>
          <t>vertical_promotion</t>
        </is>
      </c>
      <c r="H1207" s="18" t="inlineStr">
        <is>
          <t>조직 관리 및 리더십, 예산/손익(P&amp;L) 관리, 전사 전략 수립</t>
        </is>
      </c>
      <c r="I1207" s="18" t="inlineStr">
        <is>
          <t>MBA 또는 경영학 석사, 글로벌 비즈니스 협상력</t>
        </is>
      </c>
      <c r="J1207" s="18" t="inlineStr">
        <is>
          <t>팀장/관리직 경력 3년 이상 (총 경력 7~10년+)</t>
        </is>
      </c>
      <c r="K1207" s="17" t="inlineStr">
        <is>
          <t>★★★★☆</t>
        </is>
      </c>
      <c r="L1207" s="21" t="inlineStr">
        <is>
          <t>+35.0%</t>
        </is>
      </c>
    </row>
    <row r="1208">
      <c r="A1208" s="15" t="inlineStr">
        <is>
          <t>TR-1207</t>
        </is>
      </c>
      <c r="B1208" s="15" t="inlineStr">
        <is>
          <t>7122</t>
        </is>
      </c>
      <c r="C1208" s="16" t="inlineStr">
        <is>
          <t>Floor Layers and Tile Setters</t>
        </is>
      </c>
      <c r="D1208" s="15" t="inlineStr">
        <is>
          <t>1323</t>
        </is>
      </c>
      <c r="E1208" s="16" t="inlineStr">
        <is>
          <t>Construction Managers</t>
        </is>
      </c>
      <c r="F1208" s="16" t="inlineStr">
        <is>
          <t>스마트건축 / 토목 / 인프라</t>
        </is>
      </c>
      <c r="G1208" s="15" t="inlineStr">
        <is>
          <t>vertical_promotion</t>
        </is>
      </c>
      <c r="H1208" s="16" t="inlineStr">
        <is>
          <t>조직 관리 및 리더십, 예산/손익(P&amp;L) 관리, 전사 전략 수립</t>
        </is>
      </c>
      <c r="I1208" s="16" t="inlineStr">
        <is>
          <t>MBA 또는 경영학 석사, 글로벌 비즈니스 협상력</t>
        </is>
      </c>
      <c r="J1208" s="16" t="inlineStr">
        <is>
          <t>팀장/관리직 경력 3년 이상 (총 경력 7~10년+)</t>
        </is>
      </c>
      <c r="K1208" s="15" t="inlineStr">
        <is>
          <t>★★★★☆</t>
        </is>
      </c>
      <c r="L1208" s="20" t="inlineStr">
        <is>
          <t>+35.0%</t>
        </is>
      </c>
    </row>
    <row r="1209">
      <c r="A1209" s="17" t="inlineStr">
        <is>
          <t>TR-1208</t>
        </is>
      </c>
      <c r="B1209" s="17" t="inlineStr">
        <is>
          <t>7123</t>
        </is>
      </c>
      <c r="C1209" s="18" t="inlineStr">
        <is>
          <t>Plasterers</t>
        </is>
      </c>
      <c r="D1209" s="17" t="inlineStr">
        <is>
          <t>1323</t>
        </is>
      </c>
      <c r="E1209" s="18" t="inlineStr">
        <is>
          <t>Construction Managers</t>
        </is>
      </c>
      <c r="F1209" s="18" t="inlineStr">
        <is>
          <t>스마트건축 / 토목 / 인프라</t>
        </is>
      </c>
      <c r="G1209" s="17" t="inlineStr">
        <is>
          <t>vertical_promotion</t>
        </is>
      </c>
      <c r="H1209" s="18" t="inlineStr">
        <is>
          <t>조직 관리 및 리더십, 예산/손익(P&amp;L) 관리, 전사 전략 수립</t>
        </is>
      </c>
      <c r="I1209" s="18" t="inlineStr">
        <is>
          <t>MBA 또는 경영학 석사, 글로벌 비즈니스 협상력</t>
        </is>
      </c>
      <c r="J1209" s="18" t="inlineStr">
        <is>
          <t>팀장/관리직 경력 3년 이상 (총 경력 7~10년+)</t>
        </is>
      </c>
      <c r="K1209" s="17" t="inlineStr">
        <is>
          <t>★★★★☆</t>
        </is>
      </c>
      <c r="L1209" s="21" t="inlineStr">
        <is>
          <t>+35.0%</t>
        </is>
      </c>
    </row>
    <row r="1210">
      <c r="A1210" s="15" t="inlineStr">
        <is>
          <t>TR-1209</t>
        </is>
      </c>
      <c r="B1210" s="15" t="inlineStr">
        <is>
          <t>7124</t>
        </is>
      </c>
      <c r="C1210" s="16" t="inlineStr">
        <is>
          <t>Insulation Workers</t>
        </is>
      </c>
      <c r="D1210" s="15" t="inlineStr">
        <is>
          <t>1323</t>
        </is>
      </c>
      <c r="E1210" s="16" t="inlineStr">
        <is>
          <t>Construction Managers</t>
        </is>
      </c>
      <c r="F1210" s="16" t="inlineStr">
        <is>
          <t>스마트건축 / 토목 / 인프라</t>
        </is>
      </c>
      <c r="G1210" s="15" t="inlineStr">
        <is>
          <t>vertical_promotion</t>
        </is>
      </c>
      <c r="H1210" s="16" t="inlineStr">
        <is>
          <t>조직 관리 및 리더십, 예산/손익(P&amp;L) 관리, 전사 전략 수립</t>
        </is>
      </c>
      <c r="I1210" s="16" t="inlineStr">
        <is>
          <t>MBA 또는 경영학 석사, 글로벌 비즈니스 협상력</t>
        </is>
      </c>
      <c r="J1210" s="16" t="inlineStr">
        <is>
          <t>팀장/관리직 경력 3년 이상 (총 경력 7~10년+)</t>
        </is>
      </c>
      <c r="K1210" s="15" t="inlineStr">
        <is>
          <t>★★★★☆</t>
        </is>
      </c>
      <c r="L1210" s="20" t="inlineStr">
        <is>
          <t>+35.0%</t>
        </is>
      </c>
    </row>
    <row r="1211">
      <c r="A1211" s="17" t="inlineStr">
        <is>
          <t>TR-1210</t>
        </is>
      </c>
      <c r="B1211" s="17" t="inlineStr">
        <is>
          <t>7125</t>
        </is>
      </c>
      <c r="C1211" s="18" t="inlineStr">
        <is>
          <t>Glaziers</t>
        </is>
      </c>
      <c r="D1211" s="17" t="inlineStr">
        <is>
          <t>1323</t>
        </is>
      </c>
      <c r="E1211" s="18" t="inlineStr">
        <is>
          <t>Construction Managers</t>
        </is>
      </c>
      <c r="F1211" s="18" t="inlineStr">
        <is>
          <t>스마트건축 / 토목 / 인프라</t>
        </is>
      </c>
      <c r="G1211" s="17" t="inlineStr">
        <is>
          <t>vertical_promotion</t>
        </is>
      </c>
      <c r="H1211" s="18" t="inlineStr">
        <is>
          <t>조직 관리 및 리더십, 예산/손익(P&amp;L) 관리, 전사 전략 수립</t>
        </is>
      </c>
      <c r="I1211" s="18" t="inlineStr">
        <is>
          <t>MBA 또는 경영학 석사, 글로벌 비즈니스 협상력</t>
        </is>
      </c>
      <c r="J1211" s="18" t="inlineStr">
        <is>
          <t>팀장/관리직 경력 3년 이상 (총 경력 7~10년+)</t>
        </is>
      </c>
      <c r="K1211" s="17" t="inlineStr">
        <is>
          <t>★★★★☆</t>
        </is>
      </c>
      <c r="L1211" s="21" t="inlineStr">
        <is>
          <t>+35.0%</t>
        </is>
      </c>
    </row>
    <row r="1212">
      <c r="A1212" s="15" t="inlineStr">
        <is>
          <t>TR-1211</t>
        </is>
      </c>
      <c r="B1212" s="15" t="inlineStr">
        <is>
          <t>7126</t>
        </is>
      </c>
      <c r="C1212" s="16" t="inlineStr">
        <is>
          <t>Plumbers and Pipe Fitters</t>
        </is>
      </c>
      <c r="D1212" s="15" t="inlineStr">
        <is>
          <t>1323</t>
        </is>
      </c>
      <c r="E1212" s="16" t="inlineStr">
        <is>
          <t>Construction Managers</t>
        </is>
      </c>
      <c r="F1212" s="16" t="inlineStr">
        <is>
          <t>스마트건축 / 토목 / 인프라</t>
        </is>
      </c>
      <c r="G1212" s="15" t="inlineStr">
        <is>
          <t>vertical_promotion</t>
        </is>
      </c>
      <c r="H1212" s="16" t="inlineStr">
        <is>
          <t>조직 관리 및 리더십, 예산/손익(P&amp;L) 관리, 전사 전략 수립</t>
        </is>
      </c>
      <c r="I1212" s="16" t="inlineStr">
        <is>
          <t>MBA 또는 경영학 석사, 글로벌 비즈니스 협상력</t>
        </is>
      </c>
      <c r="J1212" s="16" t="inlineStr">
        <is>
          <t>팀장/관리직 경력 3년 이상 (총 경력 7~10년+)</t>
        </is>
      </c>
      <c r="K1212" s="15" t="inlineStr">
        <is>
          <t>★★★★☆</t>
        </is>
      </c>
      <c r="L1212" s="20" t="inlineStr">
        <is>
          <t>+35.0%</t>
        </is>
      </c>
    </row>
    <row r="1213">
      <c r="A1213" s="17" t="inlineStr">
        <is>
          <t>TR-1212</t>
        </is>
      </c>
      <c r="B1213" s="17" t="inlineStr">
        <is>
          <t>7127</t>
        </is>
      </c>
      <c r="C1213" s="18" t="inlineStr">
        <is>
          <t>Air Conditioning and Refrigeration Mechanics</t>
        </is>
      </c>
      <c r="D1213" s="17" t="inlineStr">
        <is>
          <t>1323</t>
        </is>
      </c>
      <c r="E1213" s="18" t="inlineStr">
        <is>
          <t>Construction Managers</t>
        </is>
      </c>
      <c r="F1213" s="18" t="inlineStr">
        <is>
          <t>스마트건축 / 토목 / 인프라</t>
        </is>
      </c>
      <c r="G1213" s="17" t="inlineStr">
        <is>
          <t>vertical_promotion</t>
        </is>
      </c>
      <c r="H1213" s="18" t="inlineStr">
        <is>
          <t>조직 관리 및 리더십, 예산/손익(P&amp;L) 관리, 전사 전략 수립</t>
        </is>
      </c>
      <c r="I1213" s="18" t="inlineStr">
        <is>
          <t>MBA 또는 경영학 석사, 글로벌 비즈니스 협상력</t>
        </is>
      </c>
      <c r="J1213" s="18" t="inlineStr">
        <is>
          <t>팀장/관리직 경력 3년 이상 (총 경력 7~10년+)</t>
        </is>
      </c>
      <c r="K1213" s="17" t="inlineStr">
        <is>
          <t>★★★★☆</t>
        </is>
      </c>
      <c r="L1213" s="21" t="inlineStr">
        <is>
          <t>+35.0%</t>
        </is>
      </c>
    </row>
    <row r="1214">
      <c r="A1214" s="15" t="inlineStr">
        <is>
          <t>TR-1213</t>
        </is>
      </c>
      <c r="B1214" s="15" t="inlineStr">
        <is>
          <t>7131</t>
        </is>
      </c>
      <c r="C1214" s="16" t="inlineStr">
        <is>
          <t>Painters and Related Workers</t>
        </is>
      </c>
      <c r="D1214" s="15" t="inlineStr">
        <is>
          <t>1323</t>
        </is>
      </c>
      <c r="E1214" s="16" t="inlineStr">
        <is>
          <t>Construction Managers</t>
        </is>
      </c>
      <c r="F1214" s="16" t="inlineStr">
        <is>
          <t>스마트건축 / 토목 / 인프라</t>
        </is>
      </c>
      <c r="G1214" s="15" t="inlineStr">
        <is>
          <t>vertical_promotion</t>
        </is>
      </c>
      <c r="H1214" s="16" t="inlineStr">
        <is>
          <t>조직 관리 및 리더십, 예산/손익(P&amp;L) 관리, 전사 전략 수립</t>
        </is>
      </c>
      <c r="I1214" s="16" t="inlineStr">
        <is>
          <t>MBA 또는 경영학 석사, 글로벌 비즈니스 협상력</t>
        </is>
      </c>
      <c r="J1214" s="16" t="inlineStr">
        <is>
          <t>팀장/관리직 경력 3년 이상 (총 경력 7~10년+)</t>
        </is>
      </c>
      <c r="K1214" s="15" t="inlineStr">
        <is>
          <t>★★★★☆</t>
        </is>
      </c>
      <c r="L1214" s="20" t="inlineStr">
        <is>
          <t>+35.0%</t>
        </is>
      </c>
    </row>
    <row r="1215">
      <c r="A1215" s="17" t="inlineStr">
        <is>
          <t>TR-1214</t>
        </is>
      </c>
      <c r="B1215" s="17" t="inlineStr">
        <is>
          <t>7132</t>
        </is>
      </c>
      <c r="C1215" s="18" t="inlineStr">
        <is>
          <t>Spray Painters and Varnishers</t>
        </is>
      </c>
      <c r="D1215" s="17" t="inlineStr">
        <is>
          <t>1323</t>
        </is>
      </c>
      <c r="E1215" s="18" t="inlineStr">
        <is>
          <t>Construction Managers</t>
        </is>
      </c>
      <c r="F1215" s="18" t="inlineStr">
        <is>
          <t>스마트건축 / 토목 / 인프라</t>
        </is>
      </c>
      <c r="G1215" s="17" t="inlineStr">
        <is>
          <t>vertical_promotion</t>
        </is>
      </c>
      <c r="H1215" s="18" t="inlineStr">
        <is>
          <t>조직 관리 및 리더십, 예산/손익(P&amp;L) 관리, 전사 전략 수립</t>
        </is>
      </c>
      <c r="I1215" s="18" t="inlineStr">
        <is>
          <t>MBA 또는 경영학 석사, 글로벌 비즈니스 협상력</t>
        </is>
      </c>
      <c r="J1215" s="18" t="inlineStr">
        <is>
          <t>팀장/관리직 경력 3년 이상 (총 경력 7~10년+)</t>
        </is>
      </c>
      <c r="K1215" s="17" t="inlineStr">
        <is>
          <t>★★★★☆</t>
        </is>
      </c>
      <c r="L1215" s="21" t="inlineStr">
        <is>
          <t>+35.0%</t>
        </is>
      </c>
    </row>
    <row r="1216">
      <c r="A1216" s="15" t="inlineStr">
        <is>
          <t>TR-1215</t>
        </is>
      </c>
      <c r="B1216" s="15" t="inlineStr">
        <is>
          <t>7133</t>
        </is>
      </c>
      <c r="C1216" s="16" t="inlineStr">
        <is>
          <t>Building Structure Cleaners</t>
        </is>
      </c>
      <c r="D1216" s="15" t="inlineStr">
        <is>
          <t>1323</t>
        </is>
      </c>
      <c r="E1216" s="16" t="inlineStr">
        <is>
          <t>Construction Managers</t>
        </is>
      </c>
      <c r="F1216" s="16" t="inlineStr">
        <is>
          <t>스마트건축 / 토목 / 인프라</t>
        </is>
      </c>
      <c r="G1216" s="15" t="inlineStr">
        <is>
          <t>vertical_promotion</t>
        </is>
      </c>
      <c r="H1216" s="16" t="inlineStr">
        <is>
          <t>조직 관리 및 리더십, 예산/손익(P&amp;L) 관리, 전사 전략 수립</t>
        </is>
      </c>
      <c r="I1216" s="16" t="inlineStr">
        <is>
          <t>MBA 또는 경영학 석사, 글로벌 비즈니스 협상력</t>
        </is>
      </c>
      <c r="J1216" s="16" t="inlineStr">
        <is>
          <t>팀장/관리직 경력 3년 이상 (총 경력 7~10년+)</t>
        </is>
      </c>
      <c r="K1216" s="15" t="inlineStr">
        <is>
          <t>★★★★☆</t>
        </is>
      </c>
      <c r="L1216" s="20" t="inlineStr">
        <is>
          <t>+35.0%</t>
        </is>
      </c>
    </row>
    <row r="1217">
      <c r="A1217" s="17" t="inlineStr">
        <is>
          <t>TR-1216</t>
        </is>
      </c>
      <c r="B1217" s="17" t="inlineStr">
        <is>
          <t>7211</t>
        </is>
      </c>
      <c r="C1217" s="18" t="inlineStr">
        <is>
          <t>Metal Moulders and Coremakers</t>
        </is>
      </c>
      <c r="D1217" s="17" t="inlineStr">
        <is>
          <t>1321</t>
        </is>
      </c>
      <c r="E1217" s="18" t="inlineStr">
        <is>
          <t>Manufacturing Managers</t>
        </is>
      </c>
      <c r="F1217" s="18" t="inlineStr">
        <is>
          <t>모빌리티 / 자율주행 / 로보틱스</t>
        </is>
      </c>
      <c r="G1217" s="17" t="inlineStr">
        <is>
          <t>vertical_promotion</t>
        </is>
      </c>
      <c r="H1217" s="18" t="inlineStr">
        <is>
          <t>조직 관리 및 리더십, 예산/손익(P&amp;L) 관리, 전사 전략 수립</t>
        </is>
      </c>
      <c r="I1217" s="18" t="inlineStr">
        <is>
          <t>MBA 또는 경영학 석사, 글로벌 비즈니스 협상력</t>
        </is>
      </c>
      <c r="J1217" s="18" t="inlineStr">
        <is>
          <t>팀장/관리직 경력 3년 이상 (총 경력 7~10년+)</t>
        </is>
      </c>
      <c r="K1217" s="17" t="inlineStr">
        <is>
          <t>★★★★☆</t>
        </is>
      </c>
      <c r="L1217" s="21" t="inlineStr">
        <is>
          <t>+35.0%</t>
        </is>
      </c>
    </row>
    <row r="1218">
      <c r="A1218" s="15" t="inlineStr">
        <is>
          <t>TR-1217</t>
        </is>
      </c>
      <c r="B1218" s="15" t="inlineStr">
        <is>
          <t>7212</t>
        </is>
      </c>
      <c r="C1218" s="16" t="inlineStr">
        <is>
          <t>Welders and Flame Cutters</t>
        </is>
      </c>
      <c r="D1218" s="15" t="inlineStr">
        <is>
          <t>1321</t>
        </is>
      </c>
      <c r="E1218" s="16" t="inlineStr">
        <is>
          <t>Manufacturing Managers</t>
        </is>
      </c>
      <c r="F1218" s="16" t="inlineStr">
        <is>
          <t>모빌리티 / 자율주행 / 로보틱스</t>
        </is>
      </c>
      <c r="G1218" s="15" t="inlineStr">
        <is>
          <t>vertical_promotion</t>
        </is>
      </c>
      <c r="H1218" s="16" t="inlineStr">
        <is>
          <t>조직 관리 및 리더십, 예산/손익(P&amp;L) 관리, 전사 전략 수립</t>
        </is>
      </c>
      <c r="I1218" s="16" t="inlineStr">
        <is>
          <t>MBA 또는 경영학 석사, 글로벌 비즈니스 협상력</t>
        </is>
      </c>
      <c r="J1218" s="16" t="inlineStr">
        <is>
          <t>팀장/관리직 경력 3년 이상 (총 경력 7~10년+)</t>
        </is>
      </c>
      <c r="K1218" s="15" t="inlineStr">
        <is>
          <t>★★★★☆</t>
        </is>
      </c>
      <c r="L1218" s="20" t="inlineStr">
        <is>
          <t>+35.0%</t>
        </is>
      </c>
    </row>
    <row r="1219">
      <c r="A1219" s="17" t="inlineStr">
        <is>
          <t>TR-1218</t>
        </is>
      </c>
      <c r="B1219" s="17" t="inlineStr">
        <is>
          <t>7213</t>
        </is>
      </c>
      <c r="C1219" s="18" t="inlineStr">
        <is>
          <t>Sheet Metal Workers</t>
        </is>
      </c>
      <c r="D1219" s="17" t="inlineStr">
        <is>
          <t>1321</t>
        </is>
      </c>
      <c r="E1219" s="18" t="inlineStr">
        <is>
          <t>Manufacturing Managers</t>
        </is>
      </c>
      <c r="F1219" s="18" t="inlineStr">
        <is>
          <t>모빌리티 / 자율주행 / 로보틱스</t>
        </is>
      </c>
      <c r="G1219" s="17" t="inlineStr">
        <is>
          <t>vertical_promotion</t>
        </is>
      </c>
      <c r="H1219" s="18" t="inlineStr">
        <is>
          <t>조직 관리 및 리더십, 예산/손익(P&amp;L) 관리, 전사 전략 수립</t>
        </is>
      </c>
      <c r="I1219" s="18" t="inlineStr">
        <is>
          <t>MBA 또는 경영학 석사, 글로벌 비즈니스 협상력</t>
        </is>
      </c>
      <c r="J1219" s="18" t="inlineStr">
        <is>
          <t>팀장/관리직 경력 3년 이상 (총 경력 7~10년+)</t>
        </is>
      </c>
      <c r="K1219" s="17" t="inlineStr">
        <is>
          <t>★★★★☆</t>
        </is>
      </c>
      <c r="L1219" s="21" t="inlineStr">
        <is>
          <t>+35.0%</t>
        </is>
      </c>
    </row>
    <row r="1220">
      <c r="A1220" s="15" t="inlineStr">
        <is>
          <t>TR-1219</t>
        </is>
      </c>
      <c r="B1220" s="15" t="inlineStr">
        <is>
          <t>7214</t>
        </is>
      </c>
      <c r="C1220" s="16" t="inlineStr">
        <is>
          <t>Structural Metal Preparers and Erectors</t>
        </is>
      </c>
      <c r="D1220" s="15" t="inlineStr">
        <is>
          <t>1321</t>
        </is>
      </c>
      <c r="E1220" s="16" t="inlineStr">
        <is>
          <t>Manufacturing Managers</t>
        </is>
      </c>
      <c r="F1220" s="16" t="inlineStr">
        <is>
          <t>모빌리티 / 자율주행 / 로보틱스</t>
        </is>
      </c>
      <c r="G1220" s="15" t="inlineStr">
        <is>
          <t>vertical_promotion</t>
        </is>
      </c>
      <c r="H1220" s="16" t="inlineStr">
        <is>
          <t>조직 관리 및 리더십, 예산/손익(P&amp;L) 관리, 전사 전략 수립</t>
        </is>
      </c>
      <c r="I1220" s="16" t="inlineStr">
        <is>
          <t>MBA 또는 경영학 석사, 글로벌 비즈니스 협상력</t>
        </is>
      </c>
      <c r="J1220" s="16" t="inlineStr">
        <is>
          <t>팀장/관리직 경력 3년 이상 (총 경력 7~10년+)</t>
        </is>
      </c>
      <c r="K1220" s="15" t="inlineStr">
        <is>
          <t>★★★★☆</t>
        </is>
      </c>
      <c r="L1220" s="20" t="inlineStr">
        <is>
          <t>+35.0%</t>
        </is>
      </c>
    </row>
    <row r="1221">
      <c r="A1221" s="17" t="inlineStr">
        <is>
          <t>TR-1220</t>
        </is>
      </c>
      <c r="B1221" s="17" t="inlineStr">
        <is>
          <t>7215</t>
        </is>
      </c>
      <c r="C1221" s="18" t="inlineStr">
        <is>
          <t>Riggers and Cable Splicers</t>
        </is>
      </c>
      <c r="D1221" s="17" t="inlineStr">
        <is>
          <t>1321</t>
        </is>
      </c>
      <c r="E1221" s="18" t="inlineStr">
        <is>
          <t>Manufacturing Managers</t>
        </is>
      </c>
      <c r="F1221" s="18" t="inlineStr">
        <is>
          <t>모빌리티 / 자율주행 / 로보틱스</t>
        </is>
      </c>
      <c r="G1221" s="17" t="inlineStr">
        <is>
          <t>vertical_promotion</t>
        </is>
      </c>
      <c r="H1221" s="18" t="inlineStr">
        <is>
          <t>조직 관리 및 리더십, 예산/손익(P&amp;L) 관리, 전사 전략 수립</t>
        </is>
      </c>
      <c r="I1221" s="18" t="inlineStr">
        <is>
          <t>MBA 또는 경영학 석사, 글로벌 비즈니스 협상력</t>
        </is>
      </c>
      <c r="J1221" s="18" t="inlineStr">
        <is>
          <t>팀장/관리직 경력 3년 이상 (총 경력 7~10년+)</t>
        </is>
      </c>
      <c r="K1221" s="17" t="inlineStr">
        <is>
          <t>★★★★☆</t>
        </is>
      </c>
      <c r="L1221" s="21" t="inlineStr">
        <is>
          <t>+35.0%</t>
        </is>
      </c>
    </row>
    <row r="1222">
      <c r="A1222" s="15" t="inlineStr">
        <is>
          <t>TR-1221</t>
        </is>
      </c>
      <c r="B1222" s="15" t="inlineStr">
        <is>
          <t>7221</t>
        </is>
      </c>
      <c r="C1222" s="16" t="inlineStr">
        <is>
          <t>Blacksmiths, Hammersmiths and Forging Press Workers</t>
        </is>
      </c>
      <c r="D1222" s="15" t="inlineStr">
        <is>
          <t>1321</t>
        </is>
      </c>
      <c r="E1222" s="16" t="inlineStr">
        <is>
          <t>Manufacturing Managers</t>
        </is>
      </c>
      <c r="F1222" s="16" t="inlineStr">
        <is>
          <t>모빌리티 / 자율주행 / 로보틱스</t>
        </is>
      </c>
      <c r="G1222" s="15" t="inlineStr">
        <is>
          <t>vertical_promotion</t>
        </is>
      </c>
      <c r="H1222" s="16" t="inlineStr">
        <is>
          <t>조직 관리 및 리더십, 예산/손익(P&amp;L) 관리, 전사 전략 수립</t>
        </is>
      </c>
      <c r="I1222" s="16" t="inlineStr">
        <is>
          <t>MBA 또는 경영학 석사, 글로벌 비즈니스 협상력</t>
        </is>
      </c>
      <c r="J1222" s="16" t="inlineStr">
        <is>
          <t>팀장/관리직 경력 3년 이상 (총 경력 7~10년+)</t>
        </is>
      </c>
      <c r="K1222" s="15" t="inlineStr">
        <is>
          <t>★★★★☆</t>
        </is>
      </c>
      <c r="L1222" s="20" t="inlineStr">
        <is>
          <t>+35.0%</t>
        </is>
      </c>
    </row>
    <row r="1223">
      <c r="A1223" s="17" t="inlineStr">
        <is>
          <t>TR-1222</t>
        </is>
      </c>
      <c r="B1223" s="17" t="inlineStr">
        <is>
          <t>7222</t>
        </is>
      </c>
      <c r="C1223" s="18" t="inlineStr">
        <is>
          <t>Toolmakers and Related Workers</t>
        </is>
      </c>
      <c r="D1223" s="17" t="inlineStr">
        <is>
          <t>1321</t>
        </is>
      </c>
      <c r="E1223" s="18" t="inlineStr">
        <is>
          <t>Manufacturing Managers</t>
        </is>
      </c>
      <c r="F1223" s="18" t="inlineStr">
        <is>
          <t>모빌리티 / 자율주행 / 로보틱스</t>
        </is>
      </c>
      <c r="G1223" s="17" t="inlineStr">
        <is>
          <t>vertical_promotion</t>
        </is>
      </c>
      <c r="H1223" s="18" t="inlineStr">
        <is>
          <t>조직 관리 및 리더십, 예산/손익(P&amp;L) 관리, 전사 전략 수립</t>
        </is>
      </c>
      <c r="I1223" s="18" t="inlineStr">
        <is>
          <t>MBA 또는 경영학 석사, 글로벌 비즈니스 협상력</t>
        </is>
      </c>
      <c r="J1223" s="18" t="inlineStr">
        <is>
          <t>팀장/관리직 경력 3년 이상 (총 경력 7~10년+)</t>
        </is>
      </c>
      <c r="K1223" s="17" t="inlineStr">
        <is>
          <t>★★★★☆</t>
        </is>
      </c>
      <c r="L1223" s="21" t="inlineStr">
        <is>
          <t>+35.0%</t>
        </is>
      </c>
    </row>
    <row r="1224">
      <c r="A1224" s="15" t="inlineStr">
        <is>
          <t>TR-1223</t>
        </is>
      </c>
      <c r="B1224" s="15" t="inlineStr">
        <is>
          <t>7223</t>
        </is>
      </c>
      <c r="C1224" s="16" t="inlineStr">
        <is>
          <t>Metal Working Machine Tool Setters and  Operators</t>
        </is>
      </c>
      <c r="D1224" s="15" t="inlineStr">
        <is>
          <t>1321</t>
        </is>
      </c>
      <c r="E1224" s="16" t="inlineStr">
        <is>
          <t>Manufacturing Managers</t>
        </is>
      </c>
      <c r="F1224" s="16" t="inlineStr">
        <is>
          <t>모빌리티 / 자율주행 / 로보틱스</t>
        </is>
      </c>
      <c r="G1224" s="15" t="inlineStr">
        <is>
          <t>vertical_promotion</t>
        </is>
      </c>
      <c r="H1224" s="16" t="inlineStr">
        <is>
          <t>조직 관리 및 리더십, 예산/손익(P&amp;L) 관리, 전사 전략 수립</t>
        </is>
      </c>
      <c r="I1224" s="16" t="inlineStr">
        <is>
          <t>MBA 또는 경영학 석사, 글로벌 비즈니스 협상력</t>
        </is>
      </c>
      <c r="J1224" s="16" t="inlineStr">
        <is>
          <t>팀장/관리직 경력 3년 이상 (총 경력 7~10년+)</t>
        </is>
      </c>
      <c r="K1224" s="15" t="inlineStr">
        <is>
          <t>★★★★☆</t>
        </is>
      </c>
      <c r="L1224" s="20" t="inlineStr">
        <is>
          <t>+35.0%</t>
        </is>
      </c>
    </row>
    <row r="1225">
      <c r="A1225" s="17" t="inlineStr">
        <is>
          <t>TR-1224</t>
        </is>
      </c>
      <c r="B1225" s="17" t="inlineStr">
        <is>
          <t>7224</t>
        </is>
      </c>
      <c r="C1225" s="18" t="inlineStr">
        <is>
          <t>Metal Polishers, Wheel Grinders and Tool Sharpeners</t>
        </is>
      </c>
      <c r="D1225" s="17" t="inlineStr">
        <is>
          <t>1321</t>
        </is>
      </c>
      <c r="E1225" s="18" t="inlineStr">
        <is>
          <t>Manufacturing Managers</t>
        </is>
      </c>
      <c r="F1225" s="18" t="inlineStr">
        <is>
          <t>모빌리티 / 자율주행 / 로보틱스</t>
        </is>
      </c>
      <c r="G1225" s="17" t="inlineStr">
        <is>
          <t>vertical_promotion</t>
        </is>
      </c>
      <c r="H1225" s="18" t="inlineStr">
        <is>
          <t>조직 관리 및 리더십, 예산/손익(P&amp;L) 관리, 전사 전략 수립</t>
        </is>
      </c>
      <c r="I1225" s="18" t="inlineStr">
        <is>
          <t>MBA 또는 경영학 석사, 글로벌 비즈니스 협상력</t>
        </is>
      </c>
      <c r="J1225" s="18" t="inlineStr">
        <is>
          <t>팀장/관리직 경력 3년 이상 (총 경력 7~10년+)</t>
        </is>
      </c>
      <c r="K1225" s="17" t="inlineStr">
        <is>
          <t>★★★★☆</t>
        </is>
      </c>
      <c r="L1225" s="21" t="inlineStr">
        <is>
          <t>+35.0%</t>
        </is>
      </c>
    </row>
    <row r="1226">
      <c r="A1226" s="15" t="inlineStr">
        <is>
          <t>TR-1225</t>
        </is>
      </c>
      <c r="B1226" s="15" t="inlineStr">
        <is>
          <t>7231</t>
        </is>
      </c>
      <c r="C1226" s="16" t="inlineStr">
        <is>
          <t>Motor Vehicle Mechanics and Repairers</t>
        </is>
      </c>
      <c r="D1226" s="15" t="inlineStr">
        <is>
          <t>1321</t>
        </is>
      </c>
      <c r="E1226" s="16" t="inlineStr">
        <is>
          <t>Manufacturing Managers</t>
        </is>
      </c>
      <c r="F1226" s="16" t="inlineStr">
        <is>
          <t>모빌리티 / 자율주행 / 로보틱스</t>
        </is>
      </c>
      <c r="G1226" s="15" t="inlineStr">
        <is>
          <t>vertical_promotion</t>
        </is>
      </c>
      <c r="H1226" s="16" t="inlineStr">
        <is>
          <t>조직 관리 및 리더십, 예산/손익(P&amp;L) 관리, 전사 전략 수립</t>
        </is>
      </c>
      <c r="I1226" s="16" t="inlineStr">
        <is>
          <t>MBA 또는 경영학 석사, 글로벌 비즈니스 협상력</t>
        </is>
      </c>
      <c r="J1226" s="16" t="inlineStr">
        <is>
          <t>팀장/관리직 경력 3년 이상 (총 경력 7~10년+)</t>
        </is>
      </c>
      <c r="K1226" s="15" t="inlineStr">
        <is>
          <t>★★★★☆</t>
        </is>
      </c>
      <c r="L1226" s="20" t="inlineStr">
        <is>
          <t>+35.0%</t>
        </is>
      </c>
    </row>
    <row r="1227">
      <c r="A1227" s="17" t="inlineStr">
        <is>
          <t>TR-1226</t>
        </is>
      </c>
      <c r="B1227" s="17" t="inlineStr">
        <is>
          <t>7232</t>
        </is>
      </c>
      <c r="C1227" s="18" t="inlineStr">
        <is>
          <t>Aircraft Engine Mechanics and Repairers</t>
        </is>
      </c>
      <c r="D1227" s="17" t="inlineStr">
        <is>
          <t>1321</t>
        </is>
      </c>
      <c r="E1227" s="18" t="inlineStr">
        <is>
          <t>Manufacturing Managers</t>
        </is>
      </c>
      <c r="F1227" s="18" t="inlineStr">
        <is>
          <t>모빌리티 / 자율주행 / 로보틱스</t>
        </is>
      </c>
      <c r="G1227" s="17" t="inlineStr">
        <is>
          <t>vertical_promotion</t>
        </is>
      </c>
      <c r="H1227" s="18" t="inlineStr">
        <is>
          <t>조직 관리 및 리더십, 예산/손익(P&amp;L) 관리, 전사 전략 수립</t>
        </is>
      </c>
      <c r="I1227" s="18" t="inlineStr">
        <is>
          <t>MBA 또는 경영학 석사, 글로벌 비즈니스 협상력</t>
        </is>
      </c>
      <c r="J1227" s="18" t="inlineStr">
        <is>
          <t>팀장/관리직 경력 3년 이상 (총 경력 7~10년+)</t>
        </is>
      </c>
      <c r="K1227" s="17" t="inlineStr">
        <is>
          <t>★★★★☆</t>
        </is>
      </c>
      <c r="L1227" s="21" t="inlineStr">
        <is>
          <t>+35.0%</t>
        </is>
      </c>
    </row>
    <row r="1228">
      <c r="A1228" s="15" t="inlineStr">
        <is>
          <t>TR-1227</t>
        </is>
      </c>
      <c r="B1228" s="15" t="inlineStr">
        <is>
          <t>7233</t>
        </is>
      </c>
      <c r="C1228" s="16" t="inlineStr">
        <is>
          <t>Agricultural and Industrial Machinery Mechanics and Repairers</t>
        </is>
      </c>
      <c r="D1228" s="15" t="inlineStr">
        <is>
          <t>1321</t>
        </is>
      </c>
      <c r="E1228" s="16" t="inlineStr">
        <is>
          <t>Manufacturing Managers</t>
        </is>
      </c>
      <c r="F1228" s="16" t="inlineStr">
        <is>
          <t>모빌리티 / 자율주행 / 로보틱스</t>
        </is>
      </c>
      <c r="G1228" s="15" t="inlineStr">
        <is>
          <t>vertical_promotion</t>
        </is>
      </c>
      <c r="H1228" s="16" t="inlineStr">
        <is>
          <t>조직 관리 및 리더십, 예산/손익(P&amp;L) 관리, 전사 전략 수립</t>
        </is>
      </c>
      <c r="I1228" s="16" t="inlineStr">
        <is>
          <t>MBA 또는 경영학 석사, 글로벌 비즈니스 협상력</t>
        </is>
      </c>
      <c r="J1228" s="16" t="inlineStr">
        <is>
          <t>팀장/관리직 경력 3년 이상 (총 경력 7~10년+)</t>
        </is>
      </c>
      <c r="K1228" s="15" t="inlineStr">
        <is>
          <t>★★★★☆</t>
        </is>
      </c>
      <c r="L1228" s="20" t="inlineStr">
        <is>
          <t>+35.0%</t>
        </is>
      </c>
    </row>
    <row r="1229">
      <c r="A1229" s="17" t="inlineStr">
        <is>
          <t>TR-1228</t>
        </is>
      </c>
      <c r="B1229" s="17" t="inlineStr">
        <is>
          <t>7234</t>
        </is>
      </c>
      <c r="C1229" s="18" t="inlineStr">
        <is>
          <t>Bicycle and Related Repairers</t>
        </is>
      </c>
      <c r="D1229" s="17" t="inlineStr">
        <is>
          <t>1321</t>
        </is>
      </c>
      <c r="E1229" s="18" t="inlineStr">
        <is>
          <t>Manufacturing Managers</t>
        </is>
      </c>
      <c r="F1229" s="18" t="inlineStr">
        <is>
          <t>모빌리티 / 자율주행 / 로보틱스</t>
        </is>
      </c>
      <c r="G1229" s="17" t="inlineStr">
        <is>
          <t>vertical_promotion</t>
        </is>
      </c>
      <c r="H1229" s="18" t="inlineStr">
        <is>
          <t>조직 관리 및 리더십, 예산/손익(P&amp;L) 관리, 전사 전략 수립</t>
        </is>
      </c>
      <c r="I1229" s="18" t="inlineStr">
        <is>
          <t>MBA 또는 경영학 석사, 글로벌 비즈니스 협상력</t>
        </is>
      </c>
      <c r="J1229" s="18" t="inlineStr">
        <is>
          <t>팀장/관리직 경력 3년 이상 (총 경력 7~10년+)</t>
        </is>
      </c>
      <c r="K1229" s="17" t="inlineStr">
        <is>
          <t>★★★★☆</t>
        </is>
      </c>
      <c r="L1229" s="21" t="inlineStr">
        <is>
          <t>+35.0%</t>
        </is>
      </c>
    </row>
    <row r="1230">
      <c r="A1230" s="15" t="inlineStr">
        <is>
          <t>TR-1229</t>
        </is>
      </c>
      <c r="B1230" s="15" t="inlineStr">
        <is>
          <t>7311</t>
        </is>
      </c>
      <c r="C1230" s="16" t="inlineStr">
        <is>
          <t>Precision-instrument Makers and Repairers</t>
        </is>
      </c>
      <c r="D1230" s="15" t="inlineStr">
        <is>
          <t>1321</t>
        </is>
      </c>
      <c r="E1230" s="16" t="inlineStr">
        <is>
          <t>Manufacturing Managers</t>
        </is>
      </c>
      <c r="F1230" s="16" t="inlineStr">
        <is>
          <t>디자인 / 디지털미디어 / 콘텐츠</t>
        </is>
      </c>
      <c r="G1230" s="15" t="inlineStr">
        <is>
          <t>vertical_promotion</t>
        </is>
      </c>
      <c r="H1230" s="16" t="inlineStr">
        <is>
          <t>조직 관리 및 리더십, 예산/손익(P&amp;L) 관리, 전사 전략 수립</t>
        </is>
      </c>
      <c r="I1230" s="16" t="inlineStr">
        <is>
          <t>MBA 또는 경영학 석사, 글로벌 비즈니스 협상력</t>
        </is>
      </c>
      <c r="J1230" s="16" t="inlineStr">
        <is>
          <t>팀장/관리직 경력 3년 이상 (총 경력 7~10년+)</t>
        </is>
      </c>
      <c r="K1230" s="15" t="inlineStr">
        <is>
          <t>★★★★☆</t>
        </is>
      </c>
      <c r="L1230" s="20" t="inlineStr">
        <is>
          <t>+35.0%</t>
        </is>
      </c>
    </row>
    <row r="1231">
      <c r="A1231" s="17" t="inlineStr">
        <is>
          <t>TR-1230</t>
        </is>
      </c>
      <c r="B1231" s="17" t="inlineStr">
        <is>
          <t>7312</t>
        </is>
      </c>
      <c r="C1231" s="18" t="inlineStr">
        <is>
          <t>Musical Instrument Makers and Tuners</t>
        </is>
      </c>
      <c r="D1231" s="17" t="inlineStr">
        <is>
          <t>1321</t>
        </is>
      </c>
      <c r="E1231" s="18" t="inlineStr">
        <is>
          <t>Manufacturing Managers</t>
        </is>
      </c>
      <c r="F1231" s="18" t="inlineStr">
        <is>
          <t>디자인 / 디지털미디어 / 콘텐츠</t>
        </is>
      </c>
      <c r="G1231" s="17" t="inlineStr">
        <is>
          <t>vertical_promotion</t>
        </is>
      </c>
      <c r="H1231" s="18" t="inlineStr">
        <is>
          <t>조직 관리 및 리더십, 예산/손익(P&amp;L) 관리, 전사 전략 수립</t>
        </is>
      </c>
      <c r="I1231" s="18" t="inlineStr">
        <is>
          <t>MBA 또는 경영학 석사, 글로벌 비즈니스 협상력</t>
        </is>
      </c>
      <c r="J1231" s="18" t="inlineStr">
        <is>
          <t>팀장/관리직 경력 3년 이상 (총 경력 7~10년+)</t>
        </is>
      </c>
      <c r="K1231" s="17" t="inlineStr">
        <is>
          <t>★★★★☆</t>
        </is>
      </c>
      <c r="L1231" s="21" t="inlineStr">
        <is>
          <t>+35.0%</t>
        </is>
      </c>
    </row>
    <row r="1232">
      <c r="A1232" s="15" t="inlineStr">
        <is>
          <t>TR-1231</t>
        </is>
      </c>
      <c r="B1232" s="15" t="inlineStr">
        <is>
          <t>7313</t>
        </is>
      </c>
      <c r="C1232" s="16" t="inlineStr">
        <is>
          <t>Jewellery and Precious Metal Workers</t>
        </is>
      </c>
      <c r="D1232" s="15" t="inlineStr">
        <is>
          <t>1321</t>
        </is>
      </c>
      <c r="E1232" s="16" t="inlineStr">
        <is>
          <t>Manufacturing Managers</t>
        </is>
      </c>
      <c r="F1232" s="16" t="inlineStr">
        <is>
          <t>디자인 / 디지털미디어 / 콘텐츠</t>
        </is>
      </c>
      <c r="G1232" s="15" t="inlineStr">
        <is>
          <t>vertical_promotion</t>
        </is>
      </c>
      <c r="H1232" s="16" t="inlineStr">
        <is>
          <t>조직 관리 및 리더십, 예산/손익(P&amp;L) 관리, 전사 전략 수립</t>
        </is>
      </c>
      <c r="I1232" s="16" t="inlineStr">
        <is>
          <t>MBA 또는 경영학 석사, 글로벌 비즈니스 협상력</t>
        </is>
      </c>
      <c r="J1232" s="16" t="inlineStr">
        <is>
          <t>팀장/관리직 경력 3년 이상 (총 경력 7~10년+)</t>
        </is>
      </c>
      <c r="K1232" s="15" t="inlineStr">
        <is>
          <t>★★★★☆</t>
        </is>
      </c>
      <c r="L1232" s="20" t="inlineStr">
        <is>
          <t>+35.0%</t>
        </is>
      </c>
    </row>
    <row r="1233">
      <c r="A1233" s="17" t="inlineStr">
        <is>
          <t>TR-1232</t>
        </is>
      </c>
      <c r="B1233" s="17" t="inlineStr">
        <is>
          <t>7314</t>
        </is>
      </c>
      <c r="C1233" s="18" t="inlineStr">
        <is>
          <t>Potters and Related Workers</t>
        </is>
      </c>
      <c r="D1233" s="17" t="inlineStr">
        <is>
          <t>1321</t>
        </is>
      </c>
      <c r="E1233" s="18" t="inlineStr">
        <is>
          <t>Manufacturing Managers</t>
        </is>
      </c>
      <c r="F1233" s="18" t="inlineStr">
        <is>
          <t>디자인 / 디지털미디어 / 콘텐츠</t>
        </is>
      </c>
      <c r="G1233" s="17" t="inlineStr">
        <is>
          <t>vertical_promotion</t>
        </is>
      </c>
      <c r="H1233" s="18" t="inlineStr">
        <is>
          <t>조직 관리 및 리더십, 예산/손익(P&amp;L) 관리, 전사 전략 수립</t>
        </is>
      </c>
      <c r="I1233" s="18" t="inlineStr">
        <is>
          <t>MBA 또는 경영학 석사, 글로벌 비즈니스 협상력</t>
        </is>
      </c>
      <c r="J1233" s="18" t="inlineStr">
        <is>
          <t>팀장/관리직 경력 3년 이상 (총 경력 7~10년+)</t>
        </is>
      </c>
      <c r="K1233" s="17" t="inlineStr">
        <is>
          <t>★★★★☆</t>
        </is>
      </c>
      <c r="L1233" s="21" t="inlineStr">
        <is>
          <t>+35.0%</t>
        </is>
      </c>
    </row>
    <row r="1234">
      <c r="A1234" s="15" t="inlineStr">
        <is>
          <t>TR-1233</t>
        </is>
      </c>
      <c r="B1234" s="15" t="inlineStr">
        <is>
          <t>7315</t>
        </is>
      </c>
      <c r="C1234" s="16" t="inlineStr">
        <is>
          <t>Glass Makers, Cutters, Grinders and Finishers</t>
        </is>
      </c>
      <c r="D1234" s="15" t="inlineStr">
        <is>
          <t>1321</t>
        </is>
      </c>
      <c r="E1234" s="16" t="inlineStr">
        <is>
          <t>Manufacturing Managers</t>
        </is>
      </c>
      <c r="F1234" s="16" t="inlineStr">
        <is>
          <t>디자인 / 디지털미디어 / 콘텐츠</t>
        </is>
      </c>
      <c r="G1234" s="15" t="inlineStr">
        <is>
          <t>vertical_promotion</t>
        </is>
      </c>
      <c r="H1234" s="16" t="inlineStr">
        <is>
          <t>조직 관리 및 리더십, 예산/손익(P&amp;L) 관리, 전사 전략 수립</t>
        </is>
      </c>
      <c r="I1234" s="16" t="inlineStr">
        <is>
          <t>MBA 또는 경영학 석사, 글로벌 비즈니스 협상력</t>
        </is>
      </c>
      <c r="J1234" s="16" t="inlineStr">
        <is>
          <t>팀장/관리직 경력 3년 이상 (총 경력 7~10년+)</t>
        </is>
      </c>
      <c r="K1234" s="15" t="inlineStr">
        <is>
          <t>★★★★☆</t>
        </is>
      </c>
      <c r="L1234" s="20" t="inlineStr">
        <is>
          <t>+35.0%</t>
        </is>
      </c>
    </row>
    <row r="1235">
      <c r="A1235" s="17" t="inlineStr">
        <is>
          <t>TR-1234</t>
        </is>
      </c>
      <c r="B1235" s="17" t="inlineStr">
        <is>
          <t>7316</t>
        </is>
      </c>
      <c r="C1235" s="18" t="inlineStr">
        <is>
          <t>Sign Writers, Decorative Painters, Engravers and Etchers</t>
        </is>
      </c>
      <c r="D1235" s="17" t="inlineStr">
        <is>
          <t>1321</t>
        </is>
      </c>
      <c r="E1235" s="18" t="inlineStr">
        <is>
          <t>Manufacturing Managers</t>
        </is>
      </c>
      <c r="F1235" s="18" t="inlineStr">
        <is>
          <t>디자인 / 디지털미디어 / 콘텐츠</t>
        </is>
      </c>
      <c r="G1235" s="17" t="inlineStr">
        <is>
          <t>vertical_promotion</t>
        </is>
      </c>
      <c r="H1235" s="18" t="inlineStr">
        <is>
          <t>조직 관리 및 리더십, 예산/손익(P&amp;L) 관리, 전사 전략 수립</t>
        </is>
      </c>
      <c r="I1235" s="18" t="inlineStr">
        <is>
          <t>MBA 또는 경영학 석사, 글로벌 비즈니스 협상력</t>
        </is>
      </c>
      <c r="J1235" s="18" t="inlineStr">
        <is>
          <t>팀장/관리직 경력 3년 이상 (총 경력 7~10년+)</t>
        </is>
      </c>
      <c r="K1235" s="17" t="inlineStr">
        <is>
          <t>★★★★☆</t>
        </is>
      </c>
      <c r="L1235" s="21" t="inlineStr">
        <is>
          <t>+35.0%</t>
        </is>
      </c>
    </row>
    <row r="1236">
      <c r="A1236" s="15" t="inlineStr">
        <is>
          <t>TR-1235</t>
        </is>
      </c>
      <c r="B1236" s="15" t="inlineStr">
        <is>
          <t>7317</t>
        </is>
      </c>
      <c r="C1236" s="16" t="inlineStr">
        <is>
          <t>Handicraft Workers in Wood, Basketry and Related Materials</t>
        </is>
      </c>
      <c r="D1236" s="15" t="inlineStr">
        <is>
          <t>1321</t>
        </is>
      </c>
      <c r="E1236" s="16" t="inlineStr">
        <is>
          <t>Manufacturing Managers</t>
        </is>
      </c>
      <c r="F1236" s="16" t="inlineStr">
        <is>
          <t>디자인 / 디지털미디어 / 콘텐츠</t>
        </is>
      </c>
      <c r="G1236" s="15" t="inlineStr">
        <is>
          <t>vertical_promotion</t>
        </is>
      </c>
      <c r="H1236" s="16" t="inlineStr">
        <is>
          <t>조직 관리 및 리더십, 예산/손익(P&amp;L) 관리, 전사 전략 수립</t>
        </is>
      </c>
      <c r="I1236" s="16" t="inlineStr">
        <is>
          <t>MBA 또는 경영학 석사, 글로벌 비즈니스 협상력</t>
        </is>
      </c>
      <c r="J1236" s="16" t="inlineStr">
        <is>
          <t>팀장/관리직 경력 3년 이상 (총 경력 7~10년+)</t>
        </is>
      </c>
      <c r="K1236" s="15" t="inlineStr">
        <is>
          <t>★★★★☆</t>
        </is>
      </c>
      <c r="L1236" s="20" t="inlineStr">
        <is>
          <t>+35.0%</t>
        </is>
      </c>
    </row>
    <row r="1237">
      <c r="A1237" s="17" t="inlineStr">
        <is>
          <t>TR-1236</t>
        </is>
      </c>
      <c r="B1237" s="17" t="inlineStr">
        <is>
          <t>7318</t>
        </is>
      </c>
      <c r="C1237" s="18" t="inlineStr">
        <is>
          <t>Handicraft Workers in Textile, Leather and Related Materials</t>
        </is>
      </c>
      <c r="D1237" s="17" t="inlineStr">
        <is>
          <t>1321</t>
        </is>
      </c>
      <c r="E1237" s="18" t="inlineStr">
        <is>
          <t>Manufacturing Managers</t>
        </is>
      </c>
      <c r="F1237" s="18" t="inlineStr">
        <is>
          <t>디자인 / 디지털미디어 / 콘텐츠</t>
        </is>
      </c>
      <c r="G1237" s="17" t="inlineStr">
        <is>
          <t>vertical_promotion</t>
        </is>
      </c>
      <c r="H1237" s="18" t="inlineStr">
        <is>
          <t>조직 관리 및 리더십, 예산/손익(P&amp;L) 관리, 전사 전략 수립</t>
        </is>
      </c>
      <c r="I1237" s="18" t="inlineStr">
        <is>
          <t>MBA 또는 경영학 석사, 글로벌 비즈니스 협상력</t>
        </is>
      </c>
      <c r="J1237" s="18" t="inlineStr">
        <is>
          <t>팀장/관리직 경력 3년 이상 (총 경력 7~10년+)</t>
        </is>
      </c>
      <c r="K1237" s="17" t="inlineStr">
        <is>
          <t>★★★★☆</t>
        </is>
      </c>
      <c r="L1237" s="21" t="inlineStr">
        <is>
          <t>+35.0%</t>
        </is>
      </c>
    </row>
    <row r="1238">
      <c r="A1238" s="15" t="inlineStr">
        <is>
          <t>TR-1237</t>
        </is>
      </c>
      <c r="B1238" s="15" t="inlineStr">
        <is>
          <t>7319</t>
        </is>
      </c>
      <c r="C1238" s="16" t="inlineStr">
        <is>
          <t>Handicraft Workers Not Elsewhere Classified</t>
        </is>
      </c>
      <c r="D1238" s="15" t="inlineStr">
        <is>
          <t>1321</t>
        </is>
      </c>
      <c r="E1238" s="16" t="inlineStr">
        <is>
          <t>Manufacturing Managers</t>
        </is>
      </c>
      <c r="F1238" s="16" t="inlineStr">
        <is>
          <t>디자인 / 디지털미디어 / 콘텐츠</t>
        </is>
      </c>
      <c r="G1238" s="15" t="inlineStr">
        <is>
          <t>vertical_promotion</t>
        </is>
      </c>
      <c r="H1238" s="16" t="inlineStr">
        <is>
          <t>조직 관리 및 리더십, 예산/손익(P&amp;L) 관리, 전사 전략 수립</t>
        </is>
      </c>
      <c r="I1238" s="16" t="inlineStr">
        <is>
          <t>MBA 또는 경영학 석사, 글로벌 비즈니스 협상력</t>
        </is>
      </c>
      <c r="J1238" s="16" t="inlineStr">
        <is>
          <t>팀장/관리직 경력 3년 이상 (총 경력 7~10년+)</t>
        </is>
      </c>
      <c r="K1238" s="15" t="inlineStr">
        <is>
          <t>★★★★☆</t>
        </is>
      </c>
      <c r="L1238" s="20" t="inlineStr">
        <is>
          <t>+35.0%</t>
        </is>
      </c>
    </row>
    <row r="1239">
      <c r="A1239" s="17" t="inlineStr">
        <is>
          <t>TR-1238</t>
        </is>
      </c>
      <c r="B1239" s="17" t="inlineStr">
        <is>
          <t>7321</t>
        </is>
      </c>
      <c r="C1239" s="18" t="inlineStr">
        <is>
          <t>Pre-press Technicians</t>
        </is>
      </c>
      <c r="D1239" s="17" t="inlineStr">
        <is>
          <t>1321</t>
        </is>
      </c>
      <c r="E1239" s="18" t="inlineStr">
        <is>
          <t>Manufacturing Managers</t>
        </is>
      </c>
      <c r="F1239" s="18" t="inlineStr">
        <is>
          <t>디자인 / 디지털미디어 / 콘텐츠</t>
        </is>
      </c>
      <c r="G1239" s="17" t="inlineStr">
        <is>
          <t>vertical_promotion</t>
        </is>
      </c>
      <c r="H1239" s="18" t="inlineStr">
        <is>
          <t>조직 관리 및 리더십, 예산/손익(P&amp;L) 관리, 전사 전략 수립</t>
        </is>
      </c>
      <c r="I1239" s="18" t="inlineStr">
        <is>
          <t>MBA 또는 경영학 석사, 글로벌 비즈니스 협상력</t>
        </is>
      </c>
      <c r="J1239" s="18" t="inlineStr">
        <is>
          <t>팀장/관리직 경력 3년 이상 (총 경력 7~10년+)</t>
        </is>
      </c>
      <c r="K1239" s="17" t="inlineStr">
        <is>
          <t>★★★★☆</t>
        </is>
      </c>
      <c r="L1239" s="21" t="inlineStr">
        <is>
          <t>+35.0%</t>
        </is>
      </c>
    </row>
    <row r="1240">
      <c r="A1240" s="15" t="inlineStr">
        <is>
          <t>TR-1239</t>
        </is>
      </c>
      <c r="B1240" s="15" t="inlineStr">
        <is>
          <t>7322</t>
        </is>
      </c>
      <c r="C1240" s="16" t="inlineStr">
        <is>
          <t>Printers</t>
        </is>
      </c>
      <c r="D1240" s="15" t="inlineStr">
        <is>
          <t>1321</t>
        </is>
      </c>
      <c r="E1240" s="16" t="inlineStr">
        <is>
          <t>Manufacturing Managers</t>
        </is>
      </c>
      <c r="F1240" s="16" t="inlineStr">
        <is>
          <t>디자인 / 디지털미디어 / 콘텐츠</t>
        </is>
      </c>
      <c r="G1240" s="15" t="inlineStr">
        <is>
          <t>vertical_promotion</t>
        </is>
      </c>
      <c r="H1240" s="16" t="inlineStr">
        <is>
          <t>조직 관리 및 리더십, 예산/손익(P&amp;L) 관리, 전사 전략 수립</t>
        </is>
      </c>
      <c r="I1240" s="16" t="inlineStr">
        <is>
          <t>MBA 또는 경영학 석사, 글로벌 비즈니스 협상력</t>
        </is>
      </c>
      <c r="J1240" s="16" t="inlineStr">
        <is>
          <t>팀장/관리직 경력 3년 이상 (총 경력 7~10년+)</t>
        </is>
      </c>
      <c r="K1240" s="15" t="inlineStr">
        <is>
          <t>★★★★☆</t>
        </is>
      </c>
      <c r="L1240" s="20" t="inlineStr">
        <is>
          <t>+35.0%</t>
        </is>
      </c>
    </row>
    <row r="1241">
      <c r="A1241" s="17" t="inlineStr">
        <is>
          <t>TR-1240</t>
        </is>
      </c>
      <c r="B1241" s="17" t="inlineStr">
        <is>
          <t>7323</t>
        </is>
      </c>
      <c r="C1241" s="18" t="inlineStr">
        <is>
          <t>Print Finishing and Binding Workers</t>
        </is>
      </c>
      <c r="D1241" s="17" t="inlineStr">
        <is>
          <t>1321</t>
        </is>
      </c>
      <c r="E1241" s="18" t="inlineStr">
        <is>
          <t>Manufacturing Managers</t>
        </is>
      </c>
      <c r="F1241" s="18" t="inlineStr">
        <is>
          <t>디자인 / 디지털미디어 / 콘텐츠</t>
        </is>
      </c>
      <c r="G1241" s="17" t="inlineStr">
        <is>
          <t>vertical_promotion</t>
        </is>
      </c>
      <c r="H1241" s="18" t="inlineStr">
        <is>
          <t>조직 관리 및 리더십, 예산/손익(P&amp;L) 관리, 전사 전략 수립</t>
        </is>
      </c>
      <c r="I1241" s="18" t="inlineStr">
        <is>
          <t>MBA 또는 경영학 석사, 글로벌 비즈니스 협상력</t>
        </is>
      </c>
      <c r="J1241" s="18" t="inlineStr">
        <is>
          <t>팀장/관리직 경력 3년 이상 (총 경력 7~10년+)</t>
        </is>
      </c>
      <c r="K1241" s="17" t="inlineStr">
        <is>
          <t>★★★★☆</t>
        </is>
      </c>
      <c r="L1241" s="21" t="inlineStr">
        <is>
          <t>+35.0%</t>
        </is>
      </c>
    </row>
    <row r="1242">
      <c r="A1242" s="15" t="inlineStr">
        <is>
          <t>TR-1241</t>
        </is>
      </c>
      <c r="B1242" s="15" t="inlineStr">
        <is>
          <t>7411</t>
        </is>
      </c>
      <c r="C1242" s="16" t="inlineStr">
        <is>
          <t>Building and Related Electricians</t>
        </is>
      </c>
      <c r="D1242" s="15" t="inlineStr">
        <is>
          <t>1324</t>
        </is>
      </c>
      <c r="E1242" s="16" t="inlineStr">
        <is>
          <t>Supply, Distribution and Related Managers</t>
        </is>
      </c>
      <c r="F1242" s="16" t="inlineStr">
        <is>
          <t>반도체 / 전자회로 / 하드웨어</t>
        </is>
      </c>
      <c r="G1242" s="15" t="inlineStr">
        <is>
          <t>vertical_promotion</t>
        </is>
      </c>
      <c r="H1242" s="16" t="inlineStr">
        <is>
          <t>조직 관리 및 리더십, 예산/손익(P&amp;L) 관리, 전사 전략 수립</t>
        </is>
      </c>
      <c r="I1242" s="16" t="inlineStr">
        <is>
          <t>MBA 또는 경영학 석사, 글로벌 비즈니스 협상력</t>
        </is>
      </c>
      <c r="J1242" s="16" t="inlineStr">
        <is>
          <t>팀장/관리직 경력 3년 이상 (총 경력 7~10년+)</t>
        </is>
      </c>
      <c r="K1242" s="15" t="inlineStr">
        <is>
          <t>★★★★☆</t>
        </is>
      </c>
      <c r="L1242" s="20" t="inlineStr">
        <is>
          <t>+35.0%</t>
        </is>
      </c>
    </row>
    <row r="1243">
      <c r="A1243" s="17" t="inlineStr">
        <is>
          <t>TR-1242</t>
        </is>
      </c>
      <c r="B1243" s="17" t="inlineStr">
        <is>
          <t>7412</t>
        </is>
      </c>
      <c r="C1243" s="18" t="inlineStr">
        <is>
          <t>Electrical Mechanics and Fitters</t>
        </is>
      </c>
      <c r="D1243" s="17" t="inlineStr">
        <is>
          <t>1324</t>
        </is>
      </c>
      <c r="E1243" s="18" t="inlineStr">
        <is>
          <t>Supply, Distribution and Related Managers</t>
        </is>
      </c>
      <c r="F1243" s="18" t="inlineStr">
        <is>
          <t>반도체 / 전자회로 / 하드웨어</t>
        </is>
      </c>
      <c r="G1243" s="17" t="inlineStr">
        <is>
          <t>vertical_promotion</t>
        </is>
      </c>
      <c r="H1243" s="18" t="inlineStr">
        <is>
          <t>조직 관리 및 리더십, 예산/손익(P&amp;L) 관리, 전사 전략 수립</t>
        </is>
      </c>
      <c r="I1243" s="18" t="inlineStr">
        <is>
          <t>MBA 또는 경영학 석사, 글로벌 비즈니스 협상력</t>
        </is>
      </c>
      <c r="J1243" s="18" t="inlineStr">
        <is>
          <t>팀장/관리직 경력 3년 이상 (총 경력 7~10년+)</t>
        </is>
      </c>
      <c r="K1243" s="17" t="inlineStr">
        <is>
          <t>★★★★☆</t>
        </is>
      </c>
      <c r="L1243" s="21" t="inlineStr">
        <is>
          <t>+35.0%</t>
        </is>
      </c>
    </row>
    <row r="1244">
      <c r="A1244" s="15" t="inlineStr">
        <is>
          <t>TR-1243</t>
        </is>
      </c>
      <c r="B1244" s="15" t="inlineStr">
        <is>
          <t>7413</t>
        </is>
      </c>
      <c r="C1244" s="16" t="inlineStr">
        <is>
          <t>Electrical Line Installers and Repairers</t>
        </is>
      </c>
      <c r="D1244" s="15" t="inlineStr">
        <is>
          <t>1324</t>
        </is>
      </c>
      <c r="E1244" s="16" t="inlineStr">
        <is>
          <t>Supply, Distribution and Related Managers</t>
        </is>
      </c>
      <c r="F1244" s="16" t="inlineStr">
        <is>
          <t>반도체 / 전자회로 / 하드웨어</t>
        </is>
      </c>
      <c r="G1244" s="15" t="inlineStr">
        <is>
          <t>vertical_promotion</t>
        </is>
      </c>
      <c r="H1244" s="16" t="inlineStr">
        <is>
          <t>조직 관리 및 리더십, 예산/손익(P&amp;L) 관리, 전사 전략 수립</t>
        </is>
      </c>
      <c r="I1244" s="16" t="inlineStr">
        <is>
          <t>MBA 또는 경영학 석사, 글로벌 비즈니스 협상력</t>
        </is>
      </c>
      <c r="J1244" s="16" t="inlineStr">
        <is>
          <t>팀장/관리직 경력 3년 이상 (총 경력 7~10년+)</t>
        </is>
      </c>
      <c r="K1244" s="15" t="inlineStr">
        <is>
          <t>★★★★☆</t>
        </is>
      </c>
      <c r="L1244" s="20" t="inlineStr">
        <is>
          <t>+35.0%</t>
        </is>
      </c>
    </row>
    <row r="1245">
      <c r="A1245" s="17" t="inlineStr">
        <is>
          <t>TR-1244</t>
        </is>
      </c>
      <c r="B1245" s="17" t="inlineStr">
        <is>
          <t>7421</t>
        </is>
      </c>
      <c r="C1245" s="18" t="inlineStr">
        <is>
          <t>Electronics Mechanics and Servicers</t>
        </is>
      </c>
      <c r="D1245" s="17" t="inlineStr">
        <is>
          <t>1324</t>
        </is>
      </c>
      <c r="E1245" s="18" t="inlineStr">
        <is>
          <t>Supply, Distribution and Related Managers</t>
        </is>
      </c>
      <c r="F1245" s="18" t="inlineStr">
        <is>
          <t>반도체 / 전자회로 / 하드웨어</t>
        </is>
      </c>
      <c r="G1245" s="17" t="inlineStr">
        <is>
          <t>vertical_promotion</t>
        </is>
      </c>
      <c r="H1245" s="18" t="inlineStr">
        <is>
          <t>조직 관리 및 리더십, 예산/손익(P&amp;L) 관리, 전사 전략 수립</t>
        </is>
      </c>
      <c r="I1245" s="18" t="inlineStr">
        <is>
          <t>MBA 또는 경영학 석사, 글로벌 비즈니스 협상력</t>
        </is>
      </c>
      <c r="J1245" s="18" t="inlineStr">
        <is>
          <t>팀장/관리직 경력 3년 이상 (총 경력 7~10년+)</t>
        </is>
      </c>
      <c r="K1245" s="17" t="inlineStr">
        <is>
          <t>★★★★☆</t>
        </is>
      </c>
      <c r="L1245" s="21" t="inlineStr">
        <is>
          <t>+35.0%</t>
        </is>
      </c>
    </row>
    <row r="1246">
      <c r="A1246" s="15" t="inlineStr">
        <is>
          <t>TR-1245</t>
        </is>
      </c>
      <c r="B1246" s="15" t="inlineStr">
        <is>
          <t>7422</t>
        </is>
      </c>
      <c r="C1246" s="16" t="inlineStr">
        <is>
          <t>Information and Communications Technology Installers and Servicers</t>
        </is>
      </c>
      <c r="D1246" s="15" t="inlineStr">
        <is>
          <t>1324</t>
        </is>
      </c>
      <c r="E1246" s="16" t="inlineStr">
        <is>
          <t>Supply, Distribution and Related Managers</t>
        </is>
      </c>
      <c r="F1246" s="16" t="inlineStr">
        <is>
          <t>반도체 / 전자회로 / 하드웨어</t>
        </is>
      </c>
      <c r="G1246" s="15" t="inlineStr">
        <is>
          <t>vertical_promotion</t>
        </is>
      </c>
      <c r="H1246" s="16" t="inlineStr">
        <is>
          <t>조직 관리 및 리더십, 예산/손익(P&amp;L) 관리, 전사 전략 수립</t>
        </is>
      </c>
      <c r="I1246" s="16" t="inlineStr">
        <is>
          <t>MBA 또는 경영학 석사, 글로벌 비즈니스 협상력</t>
        </is>
      </c>
      <c r="J1246" s="16" t="inlineStr">
        <is>
          <t>팀장/관리직 경력 3년 이상 (총 경력 7~10년+)</t>
        </is>
      </c>
      <c r="K1246" s="15" t="inlineStr">
        <is>
          <t>★★★★☆</t>
        </is>
      </c>
      <c r="L1246" s="20" t="inlineStr">
        <is>
          <t>+35.0%</t>
        </is>
      </c>
    </row>
    <row r="1247">
      <c r="A1247" s="17" t="inlineStr">
        <is>
          <t>TR-1246</t>
        </is>
      </c>
      <c r="B1247" s="17" t="inlineStr">
        <is>
          <t>7511</t>
        </is>
      </c>
      <c r="C1247" s="18" t="inlineStr">
        <is>
          <t>Butchers, Fishmongers and Related Food Preparers</t>
        </is>
      </c>
      <c r="D1247" s="17" t="inlineStr">
        <is>
          <t>1321</t>
        </is>
      </c>
      <c r="E1247" s="18" t="inlineStr">
        <is>
          <t>Manufacturing Managers</t>
        </is>
      </c>
      <c r="F1247" s="18" t="inlineStr">
        <is>
          <t>모빌리티 / 자율주행 / 로보틱스</t>
        </is>
      </c>
      <c r="G1247" s="17" t="inlineStr">
        <is>
          <t>vertical_promotion</t>
        </is>
      </c>
      <c r="H1247" s="18" t="inlineStr">
        <is>
          <t>조직 관리 및 리더십, 예산/손익(P&amp;L) 관리, 전사 전략 수립</t>
        </is>
      </c>
      <c r="I1247" s="18" t="inlineStr">
        <is>
          <t>MBA 또는 경영학 석사, 글로벌 비즈니스 협상력</t>
        </is>
      </c>
      <c r="J1247" s="18" t="inlineStr">
        <is>
          <t>팀장/관리직 경력 3년 이상 (총 경력 7~10년+)</t>
        </is>
      </c>
      <c r="K1247" s="17" t="inlineStr">
        <is>
          <t>★★★★☆</t>
        </is>
      </c>
      <c r="L1247" s="21" t="inlineStr">
        <is>
          <t>+35.0%</t>
        </is>
      </c>
    </row>
    <row r="1248">
      <c r="A1248" s="15" t="inlineStr">
        <is>
          <t>TR-1247</t>
        </is>
      </c>
      <c r="B1248" s="15" t="inlineStr">
        <is>
          <t>7512</t>
        </is>
      </c>
      <c r="C1248" s="16" t="inlineStr">
        <is>
          <t>Bakers, Pastry-cooks and Confectionery Makers</t>
        </is>
      </c>
      <c r="D1248" s="15" t="inlineStr">
        <is>
          <t>1321</t>
        </is>
      </c>
      <c r="E1248" s="16" t="inlineStr">
        <is>
          <t>Manufacturing Managers</t>
        </is>
      </c>
      <c r="F1248" s="16" t="inlineStr">
        <is>
          <t>모빌리티 / 자율주행 / 로보틱스</t>
        </is>
      </c>
      <c r="G1248" s="15" t="inlineStr">
        <is>
          <t>vertical_promotion</t>
        </is>
      </c>
      <c r="H1248" s="16" t="inlineStr">
        <is>
          <t>조직 관리 및 리더십, 예산/손익(P&amp;L) 관리, 전사 전략 수립</t>
        </is>
      </c>
      <c r="I1248" s="16" t="inlineStr">
        <is>
          <t>MBA 또는 경영학 석사, 글로벌 비즈니스 협상력</t>
        </is>
      </c>
      <c r="J1248" s="16" t="inlineStr">
        <is>
          <t>팀장/관리직 경력 3년 이상 (총 경력 7~10년+)</t>
        </is>
      </c>
      <c r="K1248" s="15" t="inlineStr">
        <is>
          <t>★★★★☆</t>
        </is>
      </c>
      <c r="L1248" s="20" t="inlineStr">
        <is>
          <t>+35.0%</t>
        </is>
      </c>
    </row>
    <row r="1249">
      <c r="A1249" s="17" t="inlineStr">
        <is>
          <t>TR-1248</t>
        </is>
      </c>
      <c r="B1249" s="17" t="inlineStr">
        <is>
          <t>7513</t>
        </is>
      </c>
      <c r="C1249" s="18" t="inlineStr">
        <is>
          <t>Dairy Products Makers</t>
        </is>
      </c>
      <c r="D1249" s="17" t="inlineStr">
        <is>
          <t>1321</t>
        </is>
      </c>
      <c r="E1249" s="18" t="inlineStr">
        <is>
          <t>Manufacturing Managers</t>
        </is>
      </c>
      <c r="F1249" s="18" t="inlineStr">
        <is>
          <t>모빌리티 / 자율주행 / 로보틱스</t>
        </is>
      </c>
      <c r="G1249" s="17" t="inlineStr">
        <is>
          <t>vertical_promotion</t>
        </is>
      </c>
      <c r="H1249" s="18" t="inlineStr">
        <is>
          <t>조직 관리 및 리더십, 예산/손익(P&amp;L) 관리, 전사 전략 수립</t>
        </is>
      </c>
      <c r="I1249" s="18" t="inlineStr">
        <is>
          <t>MBA 또는 경영학 석사, 글로벌 비즈니스 협상력</t>
        </is>
      </c>
      <c r="J1249" s="18" t="inlineStr">
        <is>
          <t>팀장/관리직 경력 3년 이상 (총 경력 7~10년+)</t>
        </is>
      </c>
      <c r="K1249" s="17" t="inlineStr">
        <is>
          <t>★★★★☆</t>
        </is>
      </c>
      <c r="L1249" s="21" t="inlineStr">
        <is>
          <t>+35.0%</t>
        </is>
      </c>
    </row>
    <row r="1250">
      <c r="A1250" s="15" t="inlineStr">
        <is>
          <t>TR-1249</t>
        </is>
      </c>
      <c r="B1250" s="15" t="inlineStr">
        <is>
          <t>7514</t>
        </is>
      </c>
      <c r="C1250" s="16" t="inlineStr">
        <is>
          <t>Fruit, Vegetable and Related Preservers</t>
        </is>
      </c>
      <c r="D1250" s="15" t="inlineStr">
        <is>
          <t>1321</t>
        </is>
      </c>
      <c r="E1250" s="16" t="inlineStr">
        <is>
          <t>Manufacturing Managers</t>
        </is>
      </c>
      <c r="F1250" s="16" t="inlineStr">
        <is>
          <t>모빌리티 / 자율주행 / 로보틱스</t>
        </is>
      </c>
      <c r="G1250" s="15" t="inlineStr">
        <is>
          <t>vertical_promotion</t>
        </is>
      </c>
      <c r="H1250" s="16" t="inlineStr">
        <is>
          <t>조직 관리 및 리더십, 예산/손익(P&amp;L) 관리, 전사 전략 수립</t>
        </is>
      </c>
      <c r="I1250" s="16" t="inlineStr">
        <is>
          <t>MBA 또는 경영학 석사, 글로벌 비즈니스 협상력</t>
        </is>
      </c>
      <c r="J1250" s="16" t="inlineStr">
        <is>
          <t>팀장/관리직 경력 3년 이상 (총 경력 7~10년+)</t>
        </is>
      </c>
      <c r="K1250" s="15" t="inlineStr">
        <is>
          <t>★★★★☆</t>
        </is>
      </c>
      <c r="L1250" s="20" t="inlineStr">
        <is>
          <t>+35.0%</t>
        </is>
      </c>
    </row>
    <row r="1251">
      <c r="A1251" s="17" t="inlineStr">
        <is>
          <t>TR-1250</t>
        </is>
      </c>
      <c r="B1251" s="17" t="inlineStr">
        <is>
          <t>7515</t>
        </is>
      </c>
      <c r="C1251" s="18" t="inlineStr">
        <is>
          <t>Food and Beverage Tasters and Graders</t>
        </is>
      </c>
      <c r="D1251" s="17" t="inlineStr">
        <is>
          <t>1321</t>
        </is>
      </c>
      <c r="E1251" s="18" t="inlineStr">
        <is>
          <t>Manufacturing Managers</t>
        </is>
      </c>
      <c r="F1251" s="18" t="inlineStr">
        <is>
          <t>모빌리티 / 자율주행 / 로보틱스</t>
        </is>
      </c>
      <c r="G1251" s="17" t="inlineStr">
        <is>
          <t>vertical_promotion</t>
        </is>
      </c>
      <c r="H1251" s="18" t="inlineStr">
        <is>
          <t>조직 관리 및 리더십, 예산/손익(P&amp;L) 관리, 전사 전략 수립</t>
        </is>
      </c>
      <c r="I1251" s="18" t="inlineStr">
        <is>
          <t>MBA 또는 경영학 석사, 글로벌 비즈니스 협상력</t>
        </is>
      </c>
      <c r="J1251" s="18" t="inlineStr">
        <is>
          <t>팀장/관리직 경력 3년 이상 (총 경력 7~10년+)</t>
        </is>
      </c>
      <c r="K1251" s="17" t="inlineStr">
        <is>
          <t>★★★★☆</t>
        </is>
      </c>
      <c r="L1251" s="21" t="inlineStr">
        <is>
          <t>+35.0%</t>
        </is>
      </c>
    </row>
    <row r="1252">
      <c r="A1252" s="15" t="inlineStr">
        <is>
          <t>TR-1251</t>
        </is>
      </c>
      <c r="B1252" s="15" t="inlineStr">
        <is>
          <t>7516</t>
        </is>
      </c>
      <c r="C1252" s="16" t="inlineStr">
        <is>
          <t>Tobacco Preparers and Tobacco Products Makers</t>
        </is>
      </c>
      <c r="D1252" s="15" t="inlineStr">
        <is>
          <t>1321</t>
        </is>
      </c>
      <c r="E1252" s="16" t="inlineStr">
        <is>
          <t>Manufacturing Managers</t>
        </is>
      </c>
      <c r="F1252" s="16" t="inlineStr">
        <is>
          <t>모빌리티 / 자율주행 / 로보틱스</t>
        </is>
      </c>
      <c r="G1252" s="15" t="inlineStr">
        <is>
          <t>vertical_promotion</t>
        </is>
      </c>
      <c r="H1252" s="16" t="inlineStr">
        <is>
          <t>조직 관리 및 리더십, 예산/손익(P&amp;L) 관리, 전사 전략 수립</t>
        </is>
      </c>
      <c r="I1252" s="16" t="inlineStr">
        <is>
          <t>MBA 또는 경영학 석사, 글로벌 비즈니스 협상력</t>
        </is>
      </c>
      <c r="J1252" s="16" t="inlineStr">
        <is>
          <t>팀장/관리직 경력 3년 이상 (총 경력 7~10년+)</t>
        </is>
      </c>
      <c r="K1252" s="15" t="inlineStr">
        <is>
          <t>★★★★☆</t>
        </is>
      </c>
      <c r="L1252" s="20" t="inlineStr">
        <is>
          <t>+35.0%</t>
        </is>
      </c>
    </row>
    <row r="1253">
      <c r="A1253" s="17" t="inlineStr">
        <is>
          <t>TR-1252</t>
        </is>
      </c>
      <c r="B1253" s="17" t="inlineStr">
        <is>
          <t>7521</t>
        </is>
      </c>
      <c r="C1253" s="18" t="inlineStr">
        <is>
          <t>Wood Treaters</t>
        </is>
      </c>
      <c r="D1253" s="17" t="inlineStr">
        <is>
          <t>1321</t>
        </is>
      </c>
      <c r="E1253" s="18" t="inlineStr">
        <is>
          <t>Manufacturing Managers</t>
        </is>
      </c>
      <c r="F1253" s="18" t="inlineStr">
        <is>
          <t>모빌리티 / 자율주행 / 로보틱스</t>
        </is>
      </c>
      <c r="G1253" s="17" t="inlineStr">
        <is>
          <t>vertical_promotion</t>
        </is>
      </c>
      <c r="H1253" s="18" t="inlineStr">
        <is>
          <t>조직 관리 및 리더십, 예산/손익(P&amp;L) 관리, 전사 전략 수립</t>
        </is>
      </c>
      <c r="I1253" s="18" t="inlineStr">
        <is>
          <t>MBA 또는 경영학 석사, 글로벌 비즈니스 협상력</t>
        </is>
      </c>
      <c r="J1253" s="18" t="inlineStr">
        <is>
          <t>팀장/관리직 경력 3년 이상 (총 경력 7~10년+)</t>
        </is>
      </c>
      <c r="K1253" s="17" t="inlineStr">
        <is>
          <t>★★★★☆</t>
        </is>
      </c>
      <c r="L1253" s="21" t="inlineStr">
        <is>
          <t>+35.0%</t>
        </is>
      </c>
    </row>
    <row r="1254">
      <c r="A1254" s="15" t="inlineStr">
        <is>
          <t>TR-1253</t>
        </is>
      </c>
      <c r="B1254" s="15" t="inlineStr">
        <is>
          <t>7522</t>
        </is>
      </c>
      <c r="C1254" s="16" t="inlineStr">
        <is>
          <t>Cabinet-makers and Related Workers</t>
        </is>
      </c>
      <c r="D1254" s="15" t="inlineStr">
        <is>
          <t>1321</t>
        </is>
      </c>
      <c r="E1254" s="16" t="inlineStr">
        <is>
          <t>Manufacturing Managers</t>
        </is>
      </c>
      <c r="F1254" s="16" t="inlineStr">
        <is>
          <t>모빌리티 / 자율주행 / 로보틱스</t>
        </is>
      </c>
      <c r="G1254" s="15" t="inlineStr">
        <is>
          <t>vertical_promotion</t>
        </is>
      </c>
      <c r="H1254" s="16" t="inlineStr">
        <is>
          <t>조직 관리 및 리더십, 예산/손익(P&amp;L) 관리, 전사 전략 수립</t>
        </is>
      </c>
      <c r="I1254" s="16" t="inlineStr">
        <is>
          <t>MBA 또는 경영학 석사, 글로벌 비즈니스 협상력</t>
        </is>
      </c>
      <c r="J1254" s="16" t="inlineStr">
        <is>
          <t>팀장/관리직 경력 3년 이상 (총 경력 7~10년+)</t>
        </is>
      </c>
      <c r="K1254" s="15" t="inlineStr">
        <is>
          <t>★★★★☆</t>
        </is>
      </c>
      <c r="L1254" s="20" t="inlineStr">
        <is>
          <t>+35.0%</t>
        </is>
      </c>
    </row>
    <row r="1255">
      <c r="A1255" s="17" t="inlineStr">
        <is>
          <t>TR-1254</t>
        </is>
      </c>
      <c r="B1255" s="17" t="inlineStr">
        <is>
          <t>7523</t>
        </is>
      </c>
      <c r="C1255" s="18" t="inlineStr">
        <is>
          <t>Woodworking Machine Tool Setters and Operators</t>
        </is>
      </c>
      <c r="D1255" s="17" t="inlineStr">
        <is>
          <t>1321</t>
        </is>
      </c>
      <c r="E1255" s="18" t="inlineStr">
        <is>
          <t>Manufacturing Managers</t>
        </is>
      </c>
      <c r="F1255" s="18" t="inlineStr">
        <is>
          <t>모빌리티 / 자율주행 / 로보틱스</t>
        </is>
      </c>
      <c r="G1255" s="17" t="inlineStr">
        <is>
          <t>vertical_promotion</t>
        </is>
      </c>
      <c r="H1255" s="18" t="inlineStr">
        <is>
          <t>조직 관리 및 리더십, 예산/손익(P&amp;L) 관리, 전사 전략 수립</t>
        </is>
      </c>
      <c r="I1255" s="18" t="inlineStr">
        <is>
          <t>MBA 또는 경영학 석사, 글로벌 비즈니스 협상력</t>
        </is>
      </c>
      <c r="J1255" s="18" t="inlineStr">
        <is>
          <t>팀장/관리직 경력 3년 이상 (총 경력 7~10년+)</t>
        </is>
      </c>
      <c r="K1255" s="17" t="inlineStr">
        <is>
          <t>★★★★☆</t>
        </is>
      </c>
      <c r="L1255" s="21" t="inlineStr">
        <is>
          <t>+35.0%</t>
        </is>
      </c>
    </row>
    <row r="1256">
      <c r="A1256" s="15" t="inlineStr">
        <is>
          <t>TR-1255</t>
        </is>
      </c>
      <c r="B1256" s="15" t="inlineStr">
        <is>
          <t>7531</t>
        </is>
      </c>
      <c r="C1256" s="16" t="inlineStr">
        <is>
          <t>Tailors, Dressmakers, Furriers and Hatters</t>
        </is>
      </c>
      <c r="D1256" s="15" t="inlineStr">
        <is>
          <t>1321</t>
        </is>
      </c>
      <c r="E1256" s="16" t="inlineStr">
        <is>
          <t>Manufacturing Managers</t>
        </is>
      </c>
      <c r="F1256" s="16" t="inlineStr">
        <is>
          <t>모빌리티 / 자율주행 / 로보틱스</t>
        </is>
      </c>
      <c r="G1256" s="15" t="inlineStr">
        <is>
          <t>vertical_promotion</t>
        </is>
      </c>
      <c r="H1256" s="16" t="inlineStr">
        <is>
          <t>조직 관리 및 리더십, 예산/손익(P&amp;L) 관리, 전사 전략 수립</t>
        </is>
      </c>
      <c r="I1256" s="16" t="inlineStr">
        <is>
          <t>MBA 또는 경영학 석사, 글로벌 비즈니스 협상력</t>
        </is>
      </c>
      <c r="J1256" s="16" t="inlineStr">
        <is>
          <t>팀장/관리직 경력 3년 이상 (총 경력 7~10년+)</t>
        </is>
      </c>
      <c r="K1256" s="15" t="inlineStr">
        <is>
          <t>★★★★☆</t>
        </is>
      </c>
      <c r="L1256" s="20" t="inlineStr">
        <is>
          <t>+35.0%</t>
        </is>
      </c>
    </row>
    <row r="1257">
      <c r="A1257" s="17" t="inlineStr">
        <is>
          <t>TR-1256</t>
        </is>
      </c>
      <c r="B1257" s="17" t="inlineStr">
        <is>
          <t>7532</t>
        </is>
      </c>
      <c r="C1257" s="18" t="inlineStr">
        <is>
          <t>Garment and Related Patternmakers and Cutters</t>
        </is>
      </c>
      <c r="D1257" s="17" t="inlineStr">
        <is>
          <t>1321</t>
        </is>
      </c>
      <c r="E1257" s="18" t="inlineStr">
        <is>
          <t>Manufacturing Managers</t>
        </is>
      </c>
      <c r="F1257" s="18" t="inlineStr">
        <is>
          <t>모빌리티 / 자율주행 / 로보틱스</t>
        </is>
      </c>
      <c r="G1257" s="17" t="inlineStr">
        <is>
          <t>vertical_promotion</t>
        </is>
      </c>
      <c r="H1257" s="18" t="inlineStr">
        <is>
          <t>조직 관리 및 리더십, 예산/손익(P&amp;L) 관리, 전사 전략 수립</t>
        </is>
      </c>
      <c r="I1257" s="18" t="inlineStr">
        <is>
          <t>MBA 또는 경영학 석사, 글로벌 비즈니스 협상력</t>
        </is>
      </c>
      <c r="J1257" s="18" t="inlineStr">
        <is>
          <t>팀장/관리직 경력 3년 이상 (총 경력 7~10년+)</t>
        </is>
      </c>
      <c r="K1257" s="17" t="inlineStr">
        <is>
          <t>★★★★☆</t>
        </is>
      </c>
      <c r="L1257" s="21" t="inlineStr">
        <is>
          <t>+35.0%</t>
        </is>
      </c>
    </row>
    <row r="1258">
      <c r="A1258" s="15" t="inlineStr">
        <is>
          <t>TR-1257</t>
        </is>
      </c>
      <c r="B1258" s="15" t="inlineStr">
        <is>
          <t>7533</t>
        </is>
      </c>
      <c r="C1258" s="16" t="inlineStr">
        <is>
          <t>Sewing, Embroidery and Related Workers</t>
        </is>
      </c>
      <c r="D1258" s="15" t="inlineStr">
        <is>
          <t>1321</t>
        </is>
      </c>
      <c r="E1258" s="16" t="inlineStr">
        <is>
          <t>Manufacturing Managers</t>
        </is>
      </c>
      <c r="F1258" s="16" t="inlineStr">
        <is>
          <t>모빌리티 / 자율주행 / 로보틱스</t>
        </is>
      </c>
      <c r="G1258" s="15" t="inlineStr">
        <is>
          <t>vertical_promotion</t>
        </is>
      </c>
      <c r="H1258" s="16" t="inlineStr">
        <is>
          <t>조직 관리 및 리더십, 예산/손익(P&amp;L) 관리, 전사 전략 수립</t>
        </is>
      </c>
      <c r="I1258" s="16" t="inlineStr">
        <is>
          <t>MBA 또는 경영학 석사, 글로벌 비즈니스 협상력</t>
        </is>
      </c>
      <c r="J1258" s="16" t="inlineStr">
        <is>
          <t>팀장/관리직 경력 3년 이상 (총 경력 7~10년+)</t>
        </is>
      </c>
      <c r="K1258" s="15" t="inlineStr">
        <is>
          <t>★★★★☆</t>
        </is>
      </c>
      <c r="L1258" s="20" t="inlineStr">
        <is>
          <t>+35.0%</t>
        </is>
      </c>
    </row>
    <row r="1259">
      <c r="A1259" s="17" t="inlineStr">
        <is>
          <t>TR-1258</t>
        </is>
      </c>
      <c r="B1259" s="17" t="inlineStr">
        <is>
          <t>7534</t>
        </is>
      </c>
      <c r="C1259" s="18" t="inlineStr">
        <is>
          <t>Upholsterers and Related Workers</t>
        </is>
      </c>
      <c r="D1259" s="17" t="inlineStr">
        <is>
          <t>1321</t>
        </is>
      </c>
      <c r="E1259" s="18" t="inlineStr">
        <is>
          <t>Manufacturing Managers</t>
        </is>
      </c>
      <c r="F1259" s="18" t="inlineStr">
        <is>
          <t>모빌리티 / 자율주행 / 로보틱스</t>
        </is>
      </c>
      <c r="G1259" s="17" t="inlineStr">
        <is>
          <t>vertical_promotion</t>
        </is>
      </c>
      <c r="H1259" s="18" t="inlineStr">
        <is>
          <t>조직 관리 및 리더십, 예산/손익(P&amp;L) 관리, 전사 전략 수립</t>
        </is>
      </c>
      <c r="I1259" s="18" t="inlineStr">
        <is>
          <t>MBA 또는 경영학 석사, 글로벌 비즈니스 협상력</t>
        </is>
      </c>
      <c r="J1259" s="18" t="inlineStr">
        <is>
          <t>팀장/관리직 경력 3년 이상 (총 경력 7~10년+)</t>
        </is>
      </c>
      <c r="K1259" s="17" t="inlineStr">
        <is>
          <t>★★★★☆</t>
        </is>
      </c>
      <c r="L1259" s="21" t="inlineStr">
        <is>
          <t>+35.0%</t>
        </is>
      </c>
    </row>
    <row r="1260">
      <c r="A1260" s="15" t="inlineStr">
        <is>
          <t>TR-1259</t>
        </is>
      </c>
      <c r="B1260" s="15" t="inlineStr">
        <is>
          <t>7535</t>
        </is>
      </c>
      <c r="C1260" s="16" t="inlineStr">
        <is>
          <t>Pelt Dressers, Tanners and Fellmongers</t>
        </is>
      </c>
      <c r="D1260" s="15" t="inlineStr">
        <is>
          <t>1321</t>
        </is>
      </c>
      <c r="E1260" s="16" t="inlineStr">
        <is>
          <t>Manufacturing Managers</t>
        </is>
      </c>
      <c r="F1260" s="16" t="inlineStr">
        <is>
          <t>모빌리티 / 자율주행 / 로보틱스</t>
        </is>
      </c>
      <c r="G1260" s="15" t="inlineStr">
        <is>
          <t>vertical_promotion</t>
        </is>
      </c>
      <c r="H1260" s="16" t="inlineStr">
        <is>
          <t>조직 관리 및 리더십, 예산/손익(P&amp;L) 관리, 전사 전략 수립</t>
        </is>
      </c>
      <c r="I1260" s="16" t="inlineStr">
        <is>
          <t>MBA 또는 경영학 석사, 글로벌 비즈니스 협상력</t>
        </is>
      </c>
      <c r="J1260" s="16" t="inlineStr">
        <is>
          <t>팀장/관리직 경력 3년 이상 (총 경력 7~10년+)</t>
        </is>
      </c>
      <c r="K1260" s="15" t="inlineStr">
        <is>
          <t>★★★★☆</t>
        </is>
      </c>
      <c r="L1260" s="20" t="inlineStr">
        <is>
          <t>+35.0%</t>
        </is>
      </c>
    </row>
    <row r="1261">
      <c r="A1261" s="17" t="inlineStr">
        <is>
          <t>TR-1260</t>
        </is>
      </c>
      <c r="B1261" s="17" t="inlineStr">
        <is>
          <t>7536</t>
        </is>
      </c>
      <c r="C1261" s="18" t="inlineStr">
        <is>
          <t>Shoemakers and Related Workers</t>
        </is>
      </c>
      <c r="D1261" s="17" t="inlineStr">
        <is>
          <t>1321</t>
        </is>
      </c>
      <c r="E1261" s="18" t="inlineStr">
        <is>
          <t>Manufacturing Managers</t>
        </is>
      </c>
      <c r="F1261" s="18" t="inlineStr">
        <is>
          <t>모빌리티 / 자율주행 / 로보틱스</t>
        </is>
      </c>
      <c r="G1261" s="17" t="inlineStr">
        <is>
          <t>vertical_promotion</t>
        </is>
      </c>
      <c r="H1261" s="18" t="inlineStr">
        <is>
          <t>조직 관리 및 리더십, 예산/손익(P&amp;L) 관리, 전사 전략 수립</t>
        </is>
      </c>
      <c r="I1261" s="18" t="inlineStr">
        <is>
          <t>MBA 또는 경영학 석사, 글로벌 비즈니스 협상력</t>
        </is>
      </c>
      <c r="J1261" s="18" t="inlineStr">
        <is>
          <t>팀장/관리직 경력 3년 이상 (총 경력 7~10년+)</t>
        </is>
      </c>
      <c r="K1261" s="17" t="inlineStr">
        <is>
          <t>★★★★☆</t>
        </is>
      </c>
      <c r="L1261" s="21" t="inlineStr">
        <is>
          <t>+35.0%</t>
        </is>
      </c>
    </row>
    <row r="1262">
      <c r="A1262" s="15" t="inlineStr">
        <is>
          <t>TR-1261</t>
        </is>
      </c>
      <c r="B1262" s="15" t="inlineStr">
        <is>
          <t>7541</t>
        </is>
      </c>
      <c r="C1262" s="16" t="inlineStr">
        <is>
          <t>Underwater Divers</t>
        </is>
      </c>
      <c r="D1262" s="15" t="inlineStr">
        <is>
          <t>1321</t>
        </is>
      </c>
      <c r="E1262" s="16" t="inlineStr">
        <is>
          <t>Manufacturing Managers</t>
        </is>
      </c>
      <c r="F1262" s="16" t="inlineStr">
        <is>
          <t>모빌리티 / 자율주행 / 로보틱스</t>
        </is>
      </c>
      <c r="G1262" s="15" t="inlineStr">
        <is>
          <t>vertical_promotion</t>
        </is>
      </c>
      <c r="H1262" s="16" t="inlineStr">
        <is>
          <t>조직 관리 및 리더십, 예산/손익(P&amp;L) 관리, 전사 전략 수립</t>
        </is>
      </c>
      <c r="I1262" s="16" t="inlineStr">
        <is>
          <t>MBA 또는 경영학 석사, 글로벌 비즈니스 협상력</t>
        </is>
      </c>
      <c r="J1262" s="16" t="inlineStr">
        <is>
          <t>팀장/관리직 경력 3년 이상 (총 경력 7~10년+)</t>
        </is>
      </c>
      <c r="K1262" s="15" t="inlineStr">
        <is>
          <t>★★★★☆</t>
        </is>
      </c>
      <c r="L1262" s="20" t="inlineStr">
        <is>
          <t>+35.0%</t>
        </is>
      </c>
    </row>
    <row r="1263">
      <c r="A1263" s="17" t="inlineStr">
        <is>
          <t>TR-1262</t>
        </is>
      </c>
      <c r="B1263" s="17" t="inlineStr">
        <is>
          <t>7542</t>
        </is>
      </c>
      <c r="C1263" s="18" t="inlineStr">
        <is>
          <t>Shotfirers and Blasters</t>
        </is>
      </c>
      <c r="D1263" s="17" t="inlineStr">
        <is>
          <t>1321</t>
        </is>
      </c>
      <c r="E1263" s="18" t="inlineStr">
        <is>
          <t>Manufacturing Managers</t>
        </is>
      </c>
      <c r="F1263" s="18" t="inlineStr">
        <is>
          <t>모빌리티 / 자율주행 / 로보틱스</t>
        </is>
      </c>
      <c r="G1263" s="17" t="inlineStr">
        <is>
          <t>vertical_promotion</t>
        </is>
      </c>
      <c r="H1263" s="18" t="inlineStr">
        <is>
          <t>조직 관리 및 리더십, 예산/손익(P&amp;L) 관리, 전사 전략 수립</t>
        </is>
      </c>
      <c r="I1263" s="18" t="inlineStr">
        <is>
          <t>MBA 또는 경영학 석사, 글로벌 비즈니스 협상력</t>
        </is>
      </c>
      <c r="J1263" s="18" t="inlineStr">
        <is>
          <t>팀장/관리직 경력 3년 이상 (총 경력 7~10년+)</t>
        </is>
      </c>
      <c r="K1263" s="17" t="inlineStr">
        <is>
          <t>★★★★☆</t>
        </is>
      </c>
      <c r="L1263" s="21" t="inlineStr">
        <is>
          <t>+35.0%</t>
        </is>
      </c>
    </row>
    <row r="1264">
      <c r="A1264" s="15" t="inlineStr">
        <is>
          <t>TR-1263</t>
        </is>
      </c>
      <c r="B1264" s="15" t="inlineStr">
        <is>
          <t>7543</t>
        </is>
      </c>
      <c r="C1264" s="16" t="inlineStr">
        <is>
          <t>Product Graders and Testers (except Foods and Beverages)</t>
        </is>
      </c>
      <c r="D1264" s="15" t="inlineStr">
        <is>
          <t>1321</t>
        </is>
      </c>
      <c r="E1264" s="16" t="inlineStr">
        <is>
          <t>Manufacturing Managers</t>
        </is>
      </c>
      <c r="F1264" s="16" t="inlineStr">
        <is>
          <t>모빌리티 / 자율주행 / 로보틱스</t>
        </is>
      </c>
      <c r="G1264" s="15" t="inlineStr">
        <is>
          <t>vertical_promotion</t>
        </is>
      </c>
      <c r="H1264" s="16" t="inlineStr">
        <is>
          <t>조직 관리 및 리더십, 예산/손익(P&amp;L) 관리, 전사 전략 수립</t>
        </is>
      </c>
      <c r="I1264" s="16" t="inlineStr">
        <is>
          <t>MBA 또는 경영학 석사, 글로벌 비즈니스 협상력</t>
        </is>
      </c>
      <c r="J1264" s="16" t="inlineStr">
        <is>
          <t>팀장/관리직 경력 3년 이상 (총 경력 7~10년+)</t>
        </is>
      </c>
      <c r="K1264" s="15" t="inlineStr">
        <is>
          <t>★★★★☆</t>
        </is>
      </c>
      <c r="L1264" s="20" t="inlineStr">
        <is>
          <t>+35.0%</t>
        </is>
      </c>
    </row>
    <row r="1265">
      <c r="A1265" s="17" t="inlineStr">
        <is>
          <t>TR-1264</t>
        </is>
      </c>
      <c r="B1265" s="17" t="inlineStr">
        <is>
          <t>7544</t>
        </is>
      </c>
      <c r="C1265" s="18" t="inlineStr">
        <is>
          <t>Fumigators and Other Pest and Weed Controllers</t>
        </is>
      </c>
      <c r="D1265" s="17" t="inlineStr">
        <is>
          <t>1321</t>
        </is>
      </c>
      <c r="E1265" s="18" t="inlineStr">
        <is>
          <t>Manufacturing Managers</t>
        </is>
      </c>
      <c r="F1265" s="18" t="inlineStr">
        <is>
          <t>모빌리티 / 자율주행 / 로보틱스</t>
        </is>
      </c>
      <c r="G1265" s="17" t="inlineStr">
        <is>
          <t>vertical_promotion</t>
        </is>
      </c>
      <c r="H1265" s="18" t="inlineStr">
        <is>
          <t>조직 관리 및 리더십, 예산/손익(P&amp;L) 관리, 전사 전략 수립</t>
        </is>
      </c>
      <c r="I1265" s="18" t="inlineStr">
        <is>
          <t>MBA 또는 경영학 석사, 글로벌 비즈니스 협상력</t>
        </is>
      </c>
      <c r="J1265" s="18" t="inlineStr">
        <is>
          <t>팀장/관리직 경력 3년 이상 (총 경력 7~10년+)</t>
        </is>
      </c>
      <c r="K1265" s="17" t="inlineStr">
        <is>
          <t>★★★★☆</t>
        </is>
      </c>
      <c r="L1265" s="21" t="inlineStr">
        <is>
          <t>+35.0%</t>
        </is>
      </c>
    </row>
    <row r="1266">
      <c r="A1266" s="15" t="inlineStr">
        <is>
          <t>TR-1265</t>
        </is>
      </c>
      <c r="B1266" s="15" t="inlineStr">
        <is>
          <t>7549</t>
        </is>
      </c>
      <c r="C1266" s="16" t="inlineStr">
        <is>
          <t>Craft and Related Workers not Elsewhere Classified</t>
        </is>
      </c>
      <c r="D1266" s="15" t="inlineStr">
        <is>
          <t>1321</t>
        </is>
      </c>
      <c r="E1266" s="16" t="inlineStr">
        <is>
          <t>Manufacturing Managers</t>
        </is>
      </c>
      <c r="F1266" s="16" t="inlineStr">
        <is>
          <t>모빌리티 / 자율주행 / 로보틱스</t>
        </is>
      </c>
      <c r="G1266" s="15" t="inlineStr">
        <is>
          <t>vertical_promotion</t>
        </is>
      </c>
      <c r="H1266" s="16" t="inlineStr">
        <is>
          <t>조직 관리 및 리더십, 예산/손익(P&amp;L) 관리, 전사 전략 수립</t>
        </is>
      </c>
      <c r="I1266" s="16" t="inlineStr">
        <is>
          <t>MBA 또는 경영학 석사, 글로벌 비즈니스 협상력</t>
        </is>
      </c>
      <c r="J1266" s="16" t="inlineStr">
        <is>
          <t>팀장/관리직 경력 3년 이상 (총 경력 7~10년+)</t>
        </is>
      </c>
      <c r="K1266" s="15" t="inlineStr">
        <is>
          <t>★★★★☆</t>
        </is>
      </c>
      <c r="L1266" s="20" t="inlineStr">
        <is>
          <t>+35.0%</t>
        </is>
      </c>
    </row>
    <row r="1267">
      <c r="A1267" s="17" t="inlineStr">
        <is>
          <t>TR-1266</t>
        </is>
      </c>
      <c r="B1267" s="17" t="inlineStr">
        <is>
          <t>8111</t>
        </is>
      </c>
      <c r="C1267" s="18" t="inlineStr">
        <is>
          <t>Miners and Quarriers</t>
        </is>
      </c>
      <c r="D1267" s="17" t="inlineStr">
        <is>
          <t>1321</t>
        </is>
      </c>
      <c r="E1267" s="18" t="inlineStr">
        <is>
          <t>Manufacturing Managers</t>
        </is>
      </c>
      <c r="F1267" s="18" t="inlineStr">
        <is>
          <t>배터리 / 신소재 / 에너지</t>
        </is>
      </c>
      <c r="G1267" s="17" t="inlineStr">
        <is>
          <t>vertical_promotion</t>
        </is>
      </c>
      <c r="H1267" s="18" t="inlineStr">
        <is>
          <t>조직 관리 및 리더십, 예산/손익(P&amp;L) 관리, 전사 전략 수립</t>
        </is>
      </c>
      <c r="I1267" s="18" t="inlineStr">
        <is>
          <t>MBA 또는 경영학 석사, 글로벌 비즈니스 협상력</t>
        </is>
      </c>
      <c r="J1267" s="18" t="inlineStr">
        <is>
          <t>팀장/관리직 경력 3년 이상 (총 경력 7~10년+)</t>
        </is>
      </c>
      <c r="K1267" s="17" t="inlineStr">
        <is>
          <t>★★★★☆</t>
        </is>
      </c>
      <c r="L1267" s="21" t="inlineStr">
        <is>
          <t>+35.0%</t>
        </is>
      </c>
    </row>
    <row r="1268">
      <c r="A1268" s="15" t="inlineStr">
        <is>
          <t>TR-1267</t>
        </is>
      </c>
      <c r="B1268" s="15" t="inlineStr">
        <is>
          <t>8112</t>
        </is>
      </c>
      <c r="C1268" s="16" t="inlineStr">
        <is>
          <t>Mineral and Stone Processing Plant Operators</t>
        </is>
      </c>
      <c r="D1268" s="15" t="inlineStr">
        <is>
          <t>1321</t>
        </is>
      </c>
      <c r="E1268" s="16" t="inlineStr">
        <is>
          <t>Manufacturing Managers</t>
        </is>
      </c>
      <c r="F1268" s="16" t="inlineStr">
        <is>
          <t>배터리 / 신소재 / 에너지</t>
        </is>
      </c>
      <c r="G1268" s="15" t="inlineStr">
        <is>
          <t>vertical_promotion</t>
        </is>
      </c>
      <c r="H1268" s="16" t="inlineStr">
        <is>
          <t>조직 관리 및 리더십, 예산/손익(P&amp;L) 관리, 전사 전략 수립</t>
        </is>
      </c>
      <c r="I1268" s="16" t="inlineStr">
        <is>
          <t>MBA 또는 경영학 석사, 글로벌 비즈니스 협상력</t>
        </is>
      </c>
      <c r="J1268" s="16" t="inlineStr">
        <is>
          <t>팀장/관리직 경력 3년 이상 (총 경력 7~10년+)</t>
        </is>
      </c>
      <c r="K1268" s="15" t="inlineStr">
        <is>
          <t>★★★★☆</t>
        </is>
      </c>
      <c r="L1268" s="20" t="inlineStr">
        <is>
          <t>+35.0%</t>
        </is>
      </c>
    </row>
    <row r="1269">
      <c r="A1269" s="17" t="inlineStr">
        <is>
          <t>TR-1268</t>
        </is>
      </c>
      <c r="B1269" s="17" t="inlineStr">
        <is>
          <t>8113</t>
        </is>
      </c>
      <c r="C1269" s="18" t="inlineStr">
        <is>
          <t>Well Drillers and Borers and Related Workers</t>
        </is>
      </c>
      <c r="D1269" s="17" t="inlineStr">
        <is>
          <t>1321</t>
        </is>
      </c>
      <c r="E1269" s="18" t="inlineStr">
        <is>
          <t>Manufacturing Managers</t>
        </is>
      </c>
      <c r="F1269" s="18" t="inlineStr">
        <is>
          <t>배터리 / 신소재 / 에너지</t>
        </is>
      </c>
      <c r="G1269" s="17" t="inlineStr">
        <is>
          <t>vertical_promotion</t>
        </is>
      </c>
      <c r="H1269" s="18" t="inlineStr">
        <is>
          <t>조직 관리 및 리더십, 예산/손익(P&amp;L) 관리, 전사 전략 수립</t>
        </is>
      </c>
      <c r="I1269" s="18" t="inlineStr">
        <is>
          <t>MBA 또는 경영학 석사, 글로벌 비즈니스 협상력</t>
        </is>
      </c>
      <c r="J1269" s="18" t="inlineStr">
        <is>
          <t>팀장/관리직 경력 3년 이상 (총 경력 7~10년+)</t>
        </is>
      </c>
      <c r="K1269" s="17" t="inlineStr">
        <is>
          <t>★★★★☆</t>
        </is>
      </c>
      <c r="L1269" s="21" t="inlineStr">
        <is>
          <t>+35.0%</t>
        </is>
      </c>
    </row>
    <row r="1270">
      <c r="A1270" s="15" t="inlineStr">
        <is>
          <t>TR-1269</t>
        </is>
      </c>
      <c r="B1270" s="15" t="inlineStr">
        <is>
          <t>8114</t>
        </is>
      </c>
      <c r="C1270" s="16" t="inlineStr">
        <is>
          <t>Cement, Stone and Other Mineral Products Machine Operators</t>
        </is>
      </c>
      <c r="D1270" s="15" t="inlineStr">
        <is>
          <t>1321</t>
        </is>
      </c>
      <c r="E1270" s="16" t="inlineStr">
        <is>
          <t>Manufacturing Managers</t>
        </is>
      </c>
      <c r="F1270" s="16" t="inlineStr">
        <is>
          <t>배터리 / 신소재 / 에너지</t>
        </is>
      </c>
      <c r="G1270" s="15" t="inlineStr">
        <is>
          <t>vertical_promotion</t>
        </is>
      </c>
      <c r="H1270" s="16" t="inlineStr">
        <is>
          <t>조직 관리 및 리더십, 예산/손익(P&amp;L) 관리, 전사 전략 수립</t>
        </is>
      </c>
      <c r="I1270" s="16" t="inlineStr">
        <is>
          <t>MBA 또는 경영학 석사, 글로벌 비즈니스 협상력</t>
        </is>
      </c>
      <c r="J1270" s="16" t="inlineStr">
        <is>
          <t>팀장/관리직 경력 3년 이상 (총 경력 7~10년+)</t>
        </is>
      </c>
      <c r="K1270" s="15" t="inlineStr">
        <is>
          <t>★★★★☆</t>
        </is>
      </c>
      <c r="L1270" s="20" t="inlineStr">
        <is>
          <t>+35.0%</t>
        </is>
      </c>
    </row>
    <row r="1271">
      <c r="A1271" s="17" t="inlineStr">
        <is>
          <t>TR-1270</t>
        </is>
      </c>
      <c r="B1271" s="17" t="inlineStr">
        <is>
          <t>8121</t>
        </is>
      </c>
      <c r="C1271" s="18" t="inlineStr">
        <is>
          <t>Metal Processing Plant Operators</t>
        </is>
      </c>
      <c r="D1271" s="17" t="inlineStr">
        <is>
          <t>1321</t>
        </is>
      </c>
      <c r="E1271" s="18" t="inlineStr">
        <is>
          <t>Manufacturing Managers</t>
        </is>
      </c>
      <c r="F1271" s="18" t="inlineStr">
        <is>
          <t>배터리 / 신소재 / 에너지</t>
        </is>
      </c>
      <c r="G1271" s="17" t="inlineStr">
        <is>
          <t>vertical_promotion</t>
        </is>
      </c>
      <c r="H1271" s="18" t="inlineStr">
        <is>
          <t>조직 관리 및 리더십, 예산/손익(P&amp;L) 관리, 전사 전략 수립</t>
        </is>
      </c>
      <c r="I1271" s="18" t="inlineStr">
        <is>
          <t>MBA 또는 경영학 석사, 글로벌 비즈니스 협상력</t>
        </is>
      </c>
      <c r="J1271" s="18" t="inlineStr">
        <is>
          <t>팀장/관리직 경력 3년 이상 (총 경력 7~10년+)</t>
        </is>
      </c>
      <c r="K1271" s="17" t="inlineStr">
        <is>
          <t>★★★★☆</t>
        </is>
      </c>
      <c r="L1271" s="21" t="inlineStr">
        <is>
          <t>+35.0%</t>
        </is>
      </c>
    </row>
    <row r="1272">
      <c r="A1272" s="15" t="inlineStr">
        <is>
          <t>TR-1271</t>
        </is>
      </c>
      <c r="B1272" s="15" t="inlineStr">
        <is>
          <t>8122</t>
        </is>
      </c>
      <c r="C1272" s="16" t="inlineStr">
        <is>
          <t>Metal Finishing, Plating and Coating Machine Operators</t>
        </is>
      </c>
      <c r="D1272" s="15" t="inlineStr">
        <is>
          <t>1321</t>
        </is>
      </c>
      <c r="E1272" s="16" t="inlineStr">
        <is>
          <t>Manufacturing Managers</t>
        </is>
      </c>
      <c r="F1272" s="16" t="inlineStr">
        <is>
          <t>배터리 / 신소재 / 에너지</t>
        </is>
      </c>
      <c r="G1272" s="15" t="inlineStr">
        <is>
          <t>vertical_promotion</t>
        </is>
      </c>
      <c r="H1272" s="16" t="inlineStr">
        <is>
          <t>조직 관리 및 리더십, 예산/손익(P&amp;L) 관리, 전사 전략 수립</t>
        </is>
      </c>
      <c r="I1272" s="16" t="inlineStr">
        <is>
          <t>MBA 또는 경영학 석사, 글로벌 비즈니스 협상력</t>
        </is>
      </c>
      <c r="J1272" s="16" t="inlineStr">
        <is>
          <t>팀장/관리직 경력 3년 이상 (총 경력 7~10년+)</t>
        </is>
      </c>
      <c r="K1272" s="15" t="inlineStr">
        <is>
          <t>★★★★☆</t>
        </is>
      </c>
      <c r="L1272" s="20" t="inlineStr">
        <is>
          <t>+35.0%</t>
        </is>
      </c>
    </row>
    <row r="1273">
      <c r="A1273" s="17" t="inlineStr">
        <is>
          <t>TR-1272</t>
        </is>
      </c>
      <c r="B1273" s="17" t="inlineStr">
        <is>
          <t>8131</t>
        </is>
      </c>
      <c r="C1273" s="18" t="inlineStr">
        <is>
          <t>Chemical Products Plant and Machine Operators</t>
        </is>
      </c>
      <c r="D1273" s="17" t="inlineStr">
        <is>
          <t>1321</t>
        </is>
      </c>
      <c r="E1273" s="18" t="inlineStr">
        <is>
          <t>Manufacturing Managers</t>
        </is>
      </c>
      <c r="F1273" s="18" t="inlineStr">
        <is>
          <t>배터리 / 신소재 / 에너지</t>
        </is>
      </c>
      <c r="G1273" s="17" t="inlineStr">
        <is>
          <t>vertical_promotion</t>
        </is>
      </c>
      <c r="H1273" s="18" t="inlineStr">
        <is>
          <t>조직 관리 및 리더십, 예산/손익(P&amp;L) 관리, 전사 전략 수립</t>
        </is>
      </c>
      <c r="I1273" s="18" t="inlineStr">
        <is>
          <t>MBA 또는 경영학 석사, 글로벌 비즈니스 협상력</t>
        </is>
      </c>
      <c r="J1273" s="18" t="inlineStr">
        <is>
          <t>팀장/관리직 경력 3년 이상 (총 경력 7~10년+)</t>
        </is>
      </c>
      <c r="K1273" s="17" t="inlineStr">
        <is>
          <t>★★★★☆</t>
        </is>
      </c>
      <c r="L1273" s="21" t="inlineStr">
        <is>
          <t>+35.0%</t>
        </is>
      </c>
    </row>
    <row r="1274">
      <c r="A1274" s="15" t="inlineStr">
        <is>
          <t>TR-1273</t>
        </is>
      </c>
      <c r="B1274" s="15" t="inlineStr">
        <is>
          <t>8132</t>
        </is>
      </c>
      <c r="C1274" s="16" t="inlineStr">
        <is>
          <t>Photographic Products Machine Operators</t>
        </is>
      </c>
      <c r="D1274" s="15" t="inlineStr">
        <is>
          <t>1321</t>
        </is>
      </c>
      <c r="E1274" s="16" t="inlineStr">
        <is>
          <t>Manufacturing Managers</t>
        </is>
      </c>
      <c r="F1274" s="16" t="inlineStr">
        <is>
          <t>배터리 / 신소재 / 에너지</t>
        </is>
      </c>
      <c r="G1274" s="15" t="inlineStr">
        <is>
          <t>vertical_promotion</t>
        </is>
      </c>
      <c r="H1274" s="16" t="inlineStr">
        <is>
          <t>조직 관리 및 리더십, 예산/손익(P&amp;L) 관리, 전사 전략 수립</t>
        </is>
      </c>
      <c r="I1274" s="16" t="inlineStr">
        <is>
          <t>MBA 또는 경영학 석사, 글로벌 비즈니스 협상력</t>
        </is>
      </c>
      <c r="J1274" s="16" t="inlineStr">
        <is>
          <t>팀장/관리직 경력 3년 이상 (총 경력 7~10년+)</t>
        </is>
      </c>
      <c r="K1274" s="15" t="inlineStr">
        <is>
          <t>★★★★☆</t>
        </is>
      </c>
      <c r="L1274" s="20" t="inlineStr">
        <is>
          <t>+35.0%</t>
        </is>
      </c>
    </row>
    <row r="1275">
      <c r="A1275" s="17" t="inlineStr">
        <is>
          <t>TR-1274</t>
        </is>
      </c>
      <c r="B1275" s="17" t="inlineStr">
        <is>
          <t>8141</t>
        </is>
      </c>
      <c r="C1275" s="18" t="inlineStr">
        <is>
          <t>Rubber Products Machine Operators</t>
        </is>
      </c>
      <c r="D1275" s="17" t="inlineStr">
        <is>
          <t>1321</t>
        </is>
      </c>
      <c r="E1275" s="18" t="inlineStr">
        <is>
          <t>Manufacturing Managers</t>
        </is>
      </c>
      <c r="F1275" s="18" t="inlineStr">
        <is>
          <t>배터리 / 신소재 / 에너지</t>
        </is>
      </c>
      <c r="G1275" s="17" t="inlineStr">
        <is>
          <t>vertical_promotion</t>
        </is>
      </c>
      <c r="H1275" s="18" t="inlineStr">
        <is>
          <t>조직 관리 및 리더십, 예산/손익(P&amp;L) 관리, 전사 전략 수립</t>
        </is>
      </c>
      <c r="I1275" s="18" t="inlineStr">
        <is>
          <t>MBA 또는 경영학 석사, 글로벌 비즈니스 협상력</t>
        </is>
      </c>
      <c r="J1275" s="18" t="inlineStr">
        <is>
          <t>팀장/관리직 경력 3년 이상 (총 경력 7~10년+)</t>
        </is>
      </c>
      <c r="K1275" s="17" t="inlineStr">
        <is>
          <t>★★★★☆</t>
        </is>
      </c>
      <c r="L1275" s="21" t="inlineStr">
        <is>
          <t>+35.0%</t>
        </is>
      </c>
    </row>
    <row r="1276">
      <c r="A1276" s="15" t="inlineStr">
        <is>
          <t>TR-1275</t>
        </is>
      </c>
      <c r="B1276" s="15" t="inlineStr">
        <is>
          <t>8142</t>
        </is>
      </c>
      <c r="C1276" s="16" t="inlineStr">
        <is>
          <t>Plastic Products Machine Operators</t>
        </is>
      </c>
      <c r="D1276" s="15" t="inlineStr">
        <is>
          <t>1321</t>
        </is>
      </c>
      <c r="E1276" s="16" t="inlineStr">
        <is>
          <t>Manufacturing Managers</t>
        </is>
      </c>
      <c r="F1276" s="16" t="inlineStr">
        <is>
          <t>배터리 / 신소재 / 에너지</t>
        </is>
      </c>
      <c r="G1276" s="15" t="inlineStr">
        <is>
          <t>vertical_promotion</t>
        </is>
      </c>
      <c r="H1276" s="16" t="inlineStr">
        <is>
          <t>조직 관리 및 리더십, 예산/손익(P&amp;L) 관리, 전사 전략 수립</t>
        </is>
      </c>
      <c r="I1276" s="16" t="inlineStr">
        <is>
          <t>MBA 또는 경영학 석사, 글로벌 비즈니스 협상력</t>
        </is>
      </c>
      <c r="J1276" s="16" t="inlineStr">
        <is>
          <t>팀장/관리직 경력 3년 이상 (총 경력 7~10년+)</t>
        </is>
      </c>
      <c r="K1276" s="15" t="inlineStr">
        <is>
          <t>★★★★☆</t>
        </is>
      </c>
      <c r="L1276" s="20" t="inlineStr">
        <is>
          <t>+35.0%</t>
        </is>
      </c>
    </row>
    <row r="1277">
      <c r="A1277" s="17" t="inlineStr">
        <is>
          <t>TR-1276</t>
        </is>
      </c>
      <c r="B1277" s="17" t="inlineStr">
        <is>
          <t>8143</t>
        </is>
      </c>
      <c r="C1277" s="18" t="inlineStr">
        <is>
          <t>Paper Products Machine Operators</t>
        </is>
      </c>
      <c r="D1277" s="17" t="inlineStr">
        <is>
          <t>1321</t>
        </is>
      </c>
      <c r="E1277" s="18" t="inlineStr">
        <is>
          <t>Manufacturing Managers</t>
        </is>
      </c>
      <c r="F1277" s="18" t="inlineStr">
        <is>
          <t>배터리 / 신소재 / 에너지</t>
        </is>
      </c>
      <c r="G1277" s="17" t="inlineStr">
        <is>
          <t>vertical_promotion</t>
        </is>
      </c>
      <c r="H1277" s="18" t="inlineStr">
        <is>
          <t>조직 관리 및 리더십, 예산/손익(P&amp;L) 관리, 전사 전략 수립</t>
        </is>
      </c>
      <c r="I1277" s="18" t="inlineStr">
        <is>
          <t>MBA 또는 경영학 석사, 글로벌 비즈니스 협상력</t>
        </is>
      </c>
      <c r="J1277" s="18" t="inlineStr">
        <is>
          <t>팀장/관리직 경력 3년 이상 (총 경력 7~10년+)</t>
        </is>
      </c>
      <c r="K1277" s="17" t="inlineStr">
        <is>
          <t>★★★★☆</t>
        </is>
      </c>
      <c r="L1277" s="21" t="inlineStr">
        <is>
          <t>+35.0%</t>
        </is>
      </c>
    </row>
    <row r="1278">
      <c r="A1278" s="15" t="inlineStr">
        <is>
          <t>TR-1277</t>
        </is>
      </c>
      <c r="B1278" s="15" t="inlineStr">
        <is>
          <t>8151</t>
        </is>
      </c>
      <c r="C1278" s="16" t="inlineStr">
        <is>
          <t>Fibre Preparing, Spinning and Winding Machine Operators</t>
        </is>
      </c>
      <c r="D1278" s="15" t="inlineStr">
        <is>
          <t>1321</t>
        </is>
      </c>
      <c r="E1278" s="16" t="inlineStr">
        <is>
          <t>Manufacturing Managers</t>
        </is>
      </c>
      <c r="F1278" s="16" t="inlineStr">
        <is>
          <t>배터리 / 신소재 / 에너지</t>
        </is>
      </c>
      <c r="G1278" s="15" t="inlineStr">
        <is>
          <t>vertical_promotion</t>
        </is>
      </c>
      <c r="H1278" s="16" t="inlineStr">
        <is>
          <t>조직 관리 및 리더십, 예산/손익(P&amp;L) 관리, 전사 전략 수립</t>
        </is>
      </c>
      <c r="I1278" s="16" t="inlineStr">
        <is>
          <t>MBA 또는 경영학 석사, 글로벌 비즈니스 협상력</t>
        </is>
      </c>
      <c r="J1278" s="16" t="inlineStr">
        <is>
          <t>팀장/관리직 경력 3년 이상 (총 경력 7~10년+)</t>
        </is>
      </c>
      <c r="K1278" s="15" t="inlineStr">
        <is>
          <t>★★★★☆</t>
        </is>
      </c>
      <c r="L1278" s="20" t="inlineStr">
        <is>
          <t>+35.0%</t>
        </is>
      </c>
    </row>
    <row r="1279">
      <c r="A1279" s="17" t="inlineStr">
        <is>
          <t>TR-1278</t>
        </is>
      </c>
      <c r="B1279" s="17" t="inlineStr">
        <is>
          <t>8152</t>
        </is>
      </c>
      <c r="C1279" s="18" t="inlineStr">
        <is>
          <t>Weaving and Knitting Machine Operators</t>
        </is>
      </c>
      <c r="D1279" s="17" t="inlineStr">
        <is>
          <t>1321</t>
        </is>
      </c>
      <c r="E1279" s="18" t="inlineStr">
        <is>
          <t>Manufacturing Managers</t>
        </is>
      </c>
      <c r="F1279" s="18" t="inlineStr">
        <is>
          <t>배터리 / 신소재 / 에너지</t>
        </is>
      </c>
      <c r="G1279" s="17" t="inlineStr">
        <is>
          <t>vertical_promotion</t>
        </is>
      </c>
      <c r="H1279" s="18" t="inlineStr">
        <is>
          <t>조직 관리 및 리더십, 예산/손익(P&amp;L) 관리, 전사 전략 수립</t>
        </is>
      </c>
      <c r="I1279" s="18" t="inlineStr">
        <is>
          <t>MBA 또는 경영학 석사, 글로벌 비즈니스 협상력</t>
        </is>
      </c>
      <c r="J1279" s="18" t="inlineStr">
        <is>
          <t>팀장/관리직 경력 3년 이상 (총 경력 7~10년+)</t>
        </is>
      </c>
      <c r="K1279" s="17" t="inlineStr">
        <is>
          <t>★★★★☆</t>
        </is>
      </c>
      <c r="L1279" s="21" t="inlineStr">
        <is>
          <t>+35.0%</t>
        </is>
      </c>
    </row>
    <row r="1280">
      <c r="A1280" s="15" t="inlineStr">
        <is>
          <t>TR-1279</t>
        </is>
      </c>
      <c r="B1280" s="15" t="inlineStr">
        <is>
          <t>8153</t>
        </is>
      </c>
      <c r="C1280" s="16" t="inlineStr">
        <is>
          <t>Sewing Machine Operators</t>
        </is>
      </c>
      <c r="D1280" s="15" t="inlineStr">
        <is>
          <t>1321</t>
        </is>
      </c>
      <c r="E1280" s="16" t="inlineStr">
        <is>
          <t>Manufacturing Managers</t>
        </is>
      </c>
      <c r="F1280" s="16" t="inlineStr">
        <is>
          <t>배터리 / 신소재 / 에너지</t>
        </is>
      </c>
      <c r="G1280" s="15" t="inlineStr">
        <is>
          <t>vertical_promotion</t>
        </is>
      </c>
      <c r="H1280" s="16" t="inlineStr">
        <is>
          <t>조직 관리 및 리더십, 예산/손익(P&amp;L) 관리, 전사 전략 수립</t>
        </is>
      </c>
      <c r="I1280" s="16" t="inlineStr">
        <is>
          <t>MBA 또는 경영학 석사, 글로벌 비즈니스 협상력</t>
        </is>
      </c>
      <c r="J1280" s="16" t="inlineStr">
        <is>
          <t>팀장/관리직 경력 3년 이상 (총 경력 7~10년+)</t>
        </is>
      </c>
      <c r="K1280" s="15" t="inlineStr">
        <is>
          <t>★★★★☆</t>
        </is>
      </c>
      <c r="L1280" s="20" t="inlineStr">
        <is>
          <t>+35.0%</t>
        </is>
      </c>
    </row>
    <row r="1281">
      <c r="A1281" s="17" t="inlineStr">
        <is>
          <t>TR-1280</t>
        </is>
      </c>
      <c r="B1281" s="17" t="inlineStr">
        <is>
          <t>8154</t>
        </is>
      </c>
      <c r="C1281" s="18" t="inlineStr">
        <is>
          <t>Bleaching, Dyeing and Fabric Cleaning Machine Operators</t>
        </is>
      </c>
      <c r="D1281" s="17" t="inlineStr">
        <is>
          <t>1321</t>
        </is>
      </c>
      <c r="E1281" s="18" t="inlineStr">
        <is>
          <t>Manufacturing Managers</t>
        </is>
      </c>
      <c r="F1281" s="18" t="inlineStr">
        <is>
          <t>배터리 / 신소재 / 에너지</t>
        </is>
      </c>
      <c r="G1281" s="17" t="inlineStr">
        <is>
          <t>vertical_promotion</t>
        </is>
      </c>
      <c r="H1281" s="18" t="inlineStr">
        <is>
          <t>조직 관리 및 리더십, 예산/손익(P&amp;L) 관리, 전사 전략 수립</t>
        </is>
      </c>
      <c r="I1281" s="18" t="inlineStr">
        <is>
          <t>MBA 또는 경영학 석사, 글로벌 비즈니스 협상력</t>
        </is>
      </c>
      <c r="J1281" s="18" t="inlineStr">
        <is>
          <t>팀장/관리직 경력 3년 이상 (총 경력 7~10년+)</t>
        </is>
      </c>
      <c r="K1281" s="17" t="inlineStr">
        <is>
          <t>★★★★☆</t>
        </is>
      </c>
      <c r="L1281" s="21" t="inlineStr">
        <is>
          <t>+35.0%</t>
        </is>
      </c>
    </row>
    <row r="1282">
      <c r="A1282" s="15" t="inlineStr">
        <is>
          <t>TR-1281</t>
        </is>
      </c>
      <c r="B1282" s="15" t="inlineStr">
        <is>
          <t>8155</t>
        </is>
      </c>
      <c r="C1282" s="16" t="inlineStr">
        <is>
          <t>Fur and Leather Preparing Machine Operators</t>
        </is>
      </c>
      <c r="D1282" s="15" t="inlineStr">
        <is>
          <t>1321</t>
        </is>
      </c>
      <c r="E1282" s="16" t="inlineStr">
        <is>
          <t>Manufacturing Managers</t>
        </is>
      </c>
      <c r="F1282" s="16" t="inlineStr">
        <is>
          <t>배터리 / 신소재 / 에너지</t>
        </is>
      </c>
      <c r="G1282" s="15" t="inlineStr">
        <is>
          <t>vertical_promotion</t>
        </is>
      </c>
      <c r="H1282" s="16" t="inlineStr">
        <is>
          <t>조직 관리 및 리더십, 예산/손익(P&amp;L) 관리, 전사 전략 수립</t>
        </is>
      </c>
      <c r="I1282" s="16" t="inlineStr">
        <is>
          <t>MBA 또는 경영학 석사, 글로벌 비즈니스 협상력</t>
        </is>
      </c>
      <c r="J1282" s="16" t="inlineStr">
        <is>
          <t>팀장/관리직 경력 3년 이상 (총 경력 7~10년+)</t>
        </is>
      </c>
      <c r="K1282" s="15" t="inlineStr">
        <is>
          <t>★★★★☆</t>
        </is>
      </c>
      <c r="L1282" s="20" t="inlineStr">
        <is>
          <t>+35.0%</t>
        </is>
      </c>
    </row>
    <row r="1283">
      <c r="A1283" s="17" t="inlineStr">
        <is>
          <t>TR-1282</t>
        </is>
      </c>
      <c r="B1283" s="17" t="inlineStr">
        <is>
          <t>8156</t>
        </is>
      </c>
      <c r="C1283" s="18" t="inlineStr">
        <is>
          <t>Shoemaking and Related Machine Operators</t>
        </is>
      </c>
      <c r="D1283" s="17" t="inlineStr">
        <is>
          <t>1321</t>
        </is>
      </c>
      <c r="E1283" s="18" t="inlineStr">
        <is>
          <t>Manufacturing Managers</t>
        </is>
      </c>
      <c r="F1283" s="18" t="inlineStr">
        <is>
          <t>배터리 / 신소재 / 에너지</t>
        </is>
      </c>
      <c r="G1283" s="17" t="inlineStr">
        <is>
          <t>vertical_promotion</t>
        </is>
      </c>
      <c r="H1283" s="18" t="inlineStr">
        <is>
          <t>조직 관리 및 리더십, 예산/손익(P&amp;L) 관리, 전사 전략 수립</t>
        </is>
      </c>
      <c r="I1283" s="18" t="inlineStr">
        <is>
          <t>MBA 또는 경영학 석사, 글로벌 비즈니스 협상력</t>
        </is>
      </c>
      <c r="J1283" s="18" t="inlineStr">
        <is>
          <t>팀장/관리직 경력 3년 이상 (총 경력 7~10년+)</t>
        </is>
      </c>
      <c r="K1283" s="17" t="inlineStr">
        <is>
          <t>★★★★☆</t>
        </is>
      </c>
      <c r="L1283" s="21" t="inlineStr">
        <is>
          <t>+35.0%</t>
        </is>
      </c>
    </row>
    <row r="1284">
      <c r="A1284" s="15" t="inlineStr">
        <is>
          <t>TR-1283</t>
        </is>
      </c>
      <c r="B1284" s="15" t="inlineStr">
        <is>
          <t>8157</t>
        </is>
      </c>
      <c r="C1284" s="16" t="inlineStr">
        <is>
          <t>Laundry Machine Operators</t>
        </is>
      </c>
      <c r="D1284" s="15" t="inlineStr">
        <is>
          <t>1321</t>
        </is>
      </c>
      <c r="E1284" s="16" t="inlineStr">
        <is>
          <t>Manufacturing Managers</t>
        </is>
      </c>
      <c r="F1284" s="16" t="inlineStr">
        <is>
          <t>배터리 / 신소재 / 에너지</t>
        </is>
      </c>
      <c r="G1284" s="15" t="inlineStr">
        <is>
          <t>vertical_promotion</t>
        </is>
      </c>
      <c r="H1284" s="16" t="inlineStr">
        <is>
          <t>조직 관리 및 리더십, 예산/손익(P&amp;L) 관리, 전사 전략 수립</t>
        </is>
      </c>
      <c r="I1284" s="16" t="inlineStr">
        <is>
          <t>MBA 또는 경영학 석사, 글로벌 비즈니스 협상력</t>
        </is>
      </c>
      <c r="J1284" s="16" t="inlineStr">
        <is>
          <t>팀장/관리직 경력 3년 이상 (총 경력 7~10년+)</t>
        </is>
      </c>
      <c r="K1284" s="15" t="inlineStr">
        <is>
          <t>★★★★☆</t>
        </is>
      </c>
      <c r="L1284" s="20" t="inlineStr">
        <is>
          <t>+35.0%</t>
        </is>
      </c>
    </row>
    <row r="1285">
      <c r="A1285" s="17" t="inlineStr">
        <is>
          <t>TR-1284</t>
        </is>
      </c>
      <c r="B1285" s="17" t="inlineStr">
        <is>
          <t>8159</t>
        </is>
      </c>
      <c r="C1285" s="18" t="inlineStr">
        <is>
          <t>Textile, Fur and Leather Products Machine Operators Not Elsewhere Classified</t>
        </is>
      </c>
      <c r="D1285" s="17" t="inlineStr">
        <is>
          <t>1321</t>
        </is>
      </c>
      <c r="E1285" s="18" t="inlineStr">
        <is>
          <t>Manufacturing Managers</t>
        </is>
      </c>
      <c r="F1285" s="18" t="inlineStr">
        <is>
          <t>배터리 / 신소재 / 에너지</t>
        </is>
      </c>
      <c r="G1285" s="17" t="inlineStr">
        <is>
          <t>vertical_promotion</t>
        </is>
      </c>
      <c r="H1285" s="18" t="inlineStr">
        <is>
          <t>조직 관리 및 리더십, 예산/손익(P&amp;L) 관리, 전사 전략 수립</t>
        </is>
      </c>
      <c r="I1285" s="18" t="inlineStr">
        <is>
          <t>MBA 또는 경영학 석사, 글로벌 비즈니스 협상력</t>
        </is>
      </c>
      <c r="J1285" s="18" t="inlineStr">
        <is>
          <t>팀장/관리직 경력 3년 이상 (총 경력 7~10년+)</t>
        </is>
      </c>
      <c r="K1285" s="17" t="inlineStr">
        <is>
          <t>★★★★☆</t>
        </is>
      </c>
      <c r="L1285" s="21" t="inlineStr">
        <is>
          <t>+35.0%</t>
        </is>
      </c>
    </row>
    <row r="1286">
      <c r="A1286" s="15" t="inlineStr">
        <is>
          <t>TR-1285</t>
        </is>
      </c>
      <c r="B1286" s="15" t="inlineStr">
        <is>
          <t>8160</t>
        </is>
      </c>
      <c r="C1286" s="16" t="inlineStr">
        <is>
          <t>Food and Related Products Machine Operators</t>
        </is>
      </c>
      <c r="D1286" s="15" t="inlineStr">
        <is>
          <t>1321</t>
        </is>
      </c>
      <c r="E1286" s="16" t="inlineStr">
        <is>
          <t>Manufacturing Managers</t>
        </is>
      </c>
      <c r="F1286" s="16" t="inlineStr">
        <is>
          <t>배터리 / 신소재 / 에너지</t>
        </is>
      </c>
      <c r="G1286" s="15" t="inlineStr">
        <is>
          <t>vertical_promotion</t>
        </is>
      </c>
      <c r="H1286" s="16" t="inlineStr">
        <is>
          <t>조직 관리 및 리더십, 예산/손익(P&amp;L) 관리, 전사 전략 수립</t>
        </is>
      </c>
      <c r="I1286" s="16" t="inlineStr">
        <is>
          <t>MBA 또는 경영학 석사, 글로벌 비즈니스 협상력</t>
        </is>
      </c>
      <c r="J1286" s="16" t="inlineStr">
        <is>
          <t>팀장/관리직 경력 3년 이상 (총 경력 7~10년+)</t>
        </is>
      </c>
      <c r="K1286" s="15" t="inlineStr">
        <is>
          <t>★★★★☆</t>
        </is>
      </c>
      <c r="L1286" s="20" t="inlineStr">
        <is>
          <t>+35.0%</t>
        </is>
      </c>
    </row>
    <row r="1287">
      <c r="A1287" s="17" t="inlineStr">
        <is>
          <t>TR-1286</t>
        </is>
      </c>
      <c r="B1287" s="17" t="inlineStr">
        <is>
          <t>8171</t>
        </is>
      </c>
      <c r="C1287" s="18" t="inlineStr">
        <is>
          <t>Pulp and Papermaking Plant Operators</t>
        </is>
      </c>
      <c r="D1287" s="17" t="inlineStr">
        <is>
          <t>1321</t>
        </is>
      </c>
      <c r="E1287" s="18" t="inlineStr">
        <is>
          <t>Manufacturing Managers</t>
        </is>
      </c>
      <c r="F1287" s="18" t="inlineStr">
        <is>
          <t>배터리 / 신소재 / 에너지</t>
        </is>
      </c>
      <c r="G1287" s="17" t="inlineStr">
        <is>
          <t>vertical_promotion</t>
        </is>
      </c>
      <c r="H1287" s="18" t="inlineStr">
        <is>
          <t>조직 관리 및 리더십, 예산/손익(P&amp;L) 관리, 전사 전략 수립</t>
        </is>
      </c>
      <c r="I1287" s="18" t="inlineStr">
        <is>
          <t>MBA 또는 경영학 석사, 글로벌 비즈니스 협상력</t>
        </is>
      </c>
      <c r="J1287" s="18" t="inlineStr">
        <is>
          <t>팀장/관리직 경력 3년 이상 (총 경력 7~10년+)</t>
        </is>
      </c>
      <c r="K1287" s="17" t="inlineStr">
        <is>
          <t>★★★★☆</t>
        </is>
      </c>
      <c r="L1287" s="21" t="inlineStr">
        <is>
          <t>+35.0%</t>
        </is>
      </c>
    </row>
    <row r="1288">
      <c r="A1288" s="15" t="inlineStr">
        <is>
          <t>TR-1287</t>
        </is>
      </c>
      <c r="B1288" s="15" t="inlineStr">
        <is>
          <t>8172</t>
        </is>
      </c>
      <c r="C1288" s="16" t="inlineStr">
        <is>
          <t>Wood Processing Plant Operators</t>
        </is>
      </c>
      <c r="D1288" s="15" t="inlineStr">
        <is>
          <t>1321</t>
        </is>
      </c>
      <c r="E1288" s="16" t="inlineStr">
        <is>
          <t>Manufacturing Managers</t>
        </is>
      </c>
      <c r="F1288" s="16" t="inlineStr">
        <is>
          <t>배터리 / 신소재 / 에너지</t>
        </is>
      </c>
      <c r="G1288" s="15" t="inlineStr">
        <is>
          <t>vertical_promotion</t>
        </is>
      </c>
      <c r="H1288" s="16" t="inlineStr">
        <is>
          <t>조직 관리 및 리더십, 예산/손익(P&amp;L) 관리, 전사 전략 수립</t>
        </is>
      </c>
      <c r="I1288" s="16" t="inlineStr">
        <is>
          <t>MBA 또는 경영학 석사, 글로벌 비즈니스 협상력</t>
        </is>
      </c>
      <c r="J1288" s="16" t="inlineStr">
        <is>
          <t>팀장/관리직 경력 3년 이상 (총 경력 7~10년+)</t>
        </is>
      </c>
      <c r="K1288" s="15" t="inlineStr">
        <is>
          <t>★★★★☆</t>
        </is>
      </c>
      <c r="L1288" s="20" t="inlineStr">
        <is>
          <t>+35.0%</t>
        </is>
      </c>
    </row>
    <row r="1289">
      <c r="A1289" s="17" t="inlineStr">
        <is>
          <t>TR-1288</t>
        </is>
      </c>
      <c r="B1289" s="17" t="inlineStr">
        <is>
          <t>8181</t>
        </is>
      </c>
      <c r="C1289" s="18" t="inlineStr">
        <is>
          <t>Glass and Ceramics Plant Operators</t>
        </is>
      </c>
      <c r="D1289" s="17" t="inlineStr">
        <is>
          <t>1321</t>
        </is>
      </c>
      <c r="E1289" s="18" t="inlineStr">
        <is>
          <t>Manufacturing Managers</t>
        </is>
      </c>
      <c r="F1289" s="18" t="inlineStr">
        <is>
          <t>배터리 / 신소재 / 에너지</t>
        </is>
      </c>
      <c r="G1289" s="17" t="inlineStr">
        <is>
          <t>vertical_promotion</t>
        </is>
      </c>
      <c r="H1289" s="18" t="inlineStr">
        <is>
          <t>조직 관리 및 리더십, 예산/손익(P&amp;L) 관리, 전사 전략 수립</t>
        </is>
      </c>
      <c r="I1289" s="18" t="inlineStr">
        <is>
          <t>MBA 또는 경영학 석사, 글로벌 비즈니스 협상력</t>
        </is>
      </c>
      <c r="J1289" s="18" t="inlineStr">
        <is>
          <t>팀장/관리직 경력 3년 이상 (총 경력 7~10년+)</t>
        </is>
      </c>
      <c r="K1289" s="17" t="inlineStr">
        <is>
          <t>★★★★☆</t>
        </is>
      </c>
      <c r="L1289" s="21" t="inlineStr">
        <is>
          <t>+35.0%</t>
        </is>
      </c>
    </row>
    <row r="1290">
      <c r="A1290" s="15" t="inlineStr">
        <is>
          <t>TR-1289</t>
        </is>
      </c>
      <c r="B1290" s="15" t="inlineStr">
        <is>
          <t>8182</t>
        </is>
      </c>
      <c r="C1290" s="16" t="inlineStr">
        <is>
          <t>Steam Engine and Boiler Operators</t>
        </is>
      </c>
      <c r="D1290" s="15" t="inlineStr">
        <is>
          <t>1321</t>
        </is>
      </c>
      <c r="E1290" s="16" t="inlineStr">
        <is>
          <t>Manufacturing Managers</t>
        </is>
      </c>
      <c r="F1290" s="16" t="inlineStr">
        <is>
          <t>배터리 / 신소재 / 에너지</t>
        </is>
      </c>
      <c r="G1290" s="15" t="inlineStr">
        <is>
          <t>vertical_promotion</t>
        </is>
      </c>
      <c r="H1290" s="16" t="inlineStr">
        <is>
          <t>조직 관리 및 리더십, 예산/손익(P&amp;L) 관리, 전사 전략 수립</t>
        </is>
      </c>
      <c r="I1290" s="16" t="inlineStr">
        <is>
          <t>MBA 또는 경영학 석사, 글로벌 비즈니스 협상력</t>
        </is>
      </c>
      <c r="J1290" s="16" t="inlineStr">
        <is>
          <t>팀장/관리직 경력 3년 이상 (총 경력 7~10년+)</t>
        </is>
      </c>
      <c r="K1290" s="15" t="inlineStr">
        <is>
          <t>★★★★☆</t>
        </is>
      </c>
      <c r="L1290" s="20" t="inlineStr">
        <is>
          <t>+35.0%</t>
        </is>
      </c>
    </row>
    <row r="1291">
      <c r="A1291" s="17" t="inlineStr">
        <is>
          <t>TR-1290</t>
        </is>
      </c>
      <c r="B1291" s="17" t="inlineStr">
        <is>
          <t>8183</t>
        </is>
      </c>
      <c r="C1291" s="18" t="inlineStr">
        <is>
          <t>Packing, Bottling and Labelling Machine Operators</t>
        </is>
      </c>
      <c r="D1291" s="17" t="inlineStr">
        <is>
          <t>1321</t>
        </is>
      </c>
      <c r="E1291" s="18" t="inlineStr">
        <is>
          <t>Manufacturing Managers</t>
        </is>
      </c>
      <c r="F1291" s="18" t="inlineStr">
        <is>
          <t>배터리 / 신소재 / 에너지</t>
        </is>
      </c>
      <c r="G1291" s="17" t="inlineStr">
        <is>
          <t>vertical_promotion</t>
        </is>
      </c>
      <c r="H1291" s="18" t="inlineStr">
        <is>
          <t>조직 관리 및 리더십, 예산/손익(P&amp;L) 관리, 전사 전략 수립</t>
        </is>
      </c>
      <c r="I1291" s="18" t="inlineStr">
        <is>
          <t>MBA 또는 경영학 석사, 글로벌 비즈니스 협상력</t>
        </is>
      </c>
      <c r="J1291" s="18" t="inlineStr">
        <is>
          <t>팀장/관리직 경력 3년 이상 (총 경력 7~10년+)</t>
        </is>
      </c>
      <c r="K1291" s="17" t="inlineStr">
        <is>
          <t>★★★★☆</t>
        </is>
      </c>
      <c r="L1291" s="21" t="inlineStr">
        <is>
          <t>+35.0%</t>
        </is>
      </c>
    </row>
    <row r="1292">
      <c r="A1292" s="15" t="inlineStr">
        <is>
          <t>TR-1291</t>
        </is>
      </c>
      <c r="B1292" s="15" t="inlineStr">
        <is>
          <t>8189</t>
        </is>
      </c>
      <c r="C1292" s="16" t="inlineStr">
        <is>
          <t>Stationary Plant and Machine Operators Not Elsewhere Classified</t>
        </is>
      </c>
      <c r="D1292" s="15" t="inlineStr">
        <is>
          <t>1321</t>
        </is>
      </c>
      <c r="E1292" s="16" t="inlineStr">
        <is>
          <t>Manufacturing Managers</t>
        </is>
      </c>
      <c r="F1292" s="16" t="inlineStr">
        <is>
          <t>배터리 / 신소재 / 에너지</t>
        </is>
      </c>
      <c r="G1292" s="15" t="inlineStr">
        <is>
          <t>vertical_promotion</t>
        </is>
      </c>
      <c r="H1292" s="16" t="inlineStr">
        <is>
          <t>조직 관리 및 리더십, 예산/손익(P&amp;L) 관리, 전사 전략 수립</t>
        </is>
      </c>
      <c r="I1292" s="16" t="inlineStr">
        <is>
          <t>MBA 또는 경영학 석사, 글로벌 비즈니스 협상력</t>
        </is>
      </c>
      <c r="J1292" s="16" t="inlineStr">
        <is>
          <t>팀장/관리직 경력 3년 이상 (총 경력 7~10년+)</t>
        </is>
      </c>
      <c r="K1292" s="15" t="inlineStr">
        <is>
          <t>★★★★☆</t>
        </is>
      </c>
      <c r="L1292" s="20" t="inlineStr">
        <is>
          <t>+35.0%</t>
        </is>
      </c>
    </row>
    <row r="1293">
      <c r="A1293" s="17" t="inlineStr">
        <is>
          <t>TR-1292</t>
        </is>
      </c>
      <c r="B1293" s="17" t="inlineStr">
        <is>
          <t>8211</t>
        </is>
      </c>
      <c r="C1293" s="18" t="inlineStr">
        <is>
          <t>Mechanical Machinery Assemblers</t>
        </is>
      </c>
      <c r="D1293" s="17" t="inlineStr">
        <is>
          <t>1321</t>
        </is>
      </c>
      <c r="E1293" s="18" t="inlineStr">
        <is>
          <t>Manufacturing Managers</t>
        </is>
      </c>
      <c r="F1293" s="18" t="inlineStr">
        <is>
          <t>배터리 / 신소재 / 에너지</t>
        </is>
      </c>
      <c r="G1293" s="17" t="inlineStr">
        <is>
          <t>vertical_promotion</t>
        </is>
      </c>
      <c r="H1293" s="18" t="inlineStr">
        <is>
          <t>조직 관리 및 리더십, 예산/손익(P&amp;L) 관리, 전사 전략 수립</t>
        </is>
      </c>
      <c r="I1293" s="18" t="inlineStr">
        <is>
          <t>MBA 또는 경영학 석사, 글로벌 비즈니스 협상력</t>
        </is>
      </c>
      <c r="J1293" s="18" t="inlineStr">
        <is>
          <t>팀장/관리직 경력 3년 이상 (총 경력 7~10년+)</t>
        </is>
      </c>
      <c r="K1293" s="17" t="inlineStr">
        <is>
          <t>★★★★☆</t>
        </is>
      </c>
      <c r="L1293" s="21" t="inlineStr">
        <is>
          <t>+35.0%</t>
        </is>
      </c>
    </row>
    <row r="1294">
      <c r="A1294" s="15" t="inlineStr">
        <is>
          <t>TR-1293</t>
        </is>
      </c>
      <c r="B1294" s="15" t="inlineStr">
        <is>
          <t>8212</t>
        </is>
      </c>
      <c r="C1294" s="16" t="inlineStr">
        <is>
          <t>Electrical and Electronic Equipment Assemblers</t>
        </is>
      </c>
      <c r="D1294" s="15" t="inlineStr">
        <is>
          <t>1321</t>
        </is>
      </c>
      <c r="E1294" s="16" t="inlineStr">
        <is>
          <t>Manufacturing Managers</t>
        </is>
      </c>
      <c r="F1294" s="16" t="inlineStr">
        <is>
          <t>배터리 / 신소재 / 에너지</t>
        </is>
      </c>
      <c r="G1294" s="15" t="inlineStr">
        <is>
          <t>vertical_promotion</t>
        </is>
      </c>
      <c r="H1294" s="16" t="inlineStr">
        <is>
          <t>조직 관리 및 리더십, 예산/손익(P&amp;L) 관리, 전사 전략 수립</t>
        </is>
      </c>
      <c r="I1294" s="16" t="inlineStr">
        <is>
          <t>MBA 또는 경영학 석사, 글로벌 비즈니스 협상력</t>
        </is>
      </c>
      <c r="J1294" s="16" t="inlineStr">
        <is>
          <t>팀장/관리직 경력 3년 이상 (총 경력 7~10년+)</t>
        </is>
      </c>
      <c r="K1294" s="15" t="inlineStr">
        <is>
          <t>★★★★☆</t>
        </is>
      </c>
      <c r="L1294" s="20" t="inlineStr">
        <is>
          <t>+35.0%</t>
        </is>
      </c>
    </row>
    <row r="1295">
      <c r="A1295" s="17" t="inlineStr">
        <is>
          <t>TR-1294</t>
        </is>
      </c>
      <c r="B1295" s="17" t="inlineStr">
        <is>
          <t>8219</t>
        </is>
      </c>
      <c r="C1295" s="18" t="inlineStr">
        <is>
          <t>Assemblers Not Elsewhere Classified</t>
        </is>
      </c>
      <c r="D1295" s="17" t="inlineStr">
        <is>
          <t>1321</t>
        </is>
      </c>
      <c r="E1295" s="18" t="inlineStr">
        <is>
          <t>Manufacturing Managers</t>
        </is>
      </c>
      <c r="F1295" s="18" t="inlineStr">
        <is>
          <t>배터리 / 신소재 / 에너지</t>
        </is>
      </c>
      <c r="G1295" s="17" t="inlineStr">
        <is>
          <t>vertical_promotion</t>
        </is>
      </c>
      <c r="H1295" s="18" t="inlineStr">
        <is>
          <t>조직 관리 및 리더십, 예산/손익(P&amp;L) 관리, 전사 전략 수립</t>
        </is>
      </c>
      <c r="I1295" s="18" t="inlineStr">
        <is>
          <t>MBA 또는 경영학 석사, 글로벌 비즈니스 협상력</t>
        </is>
      </c>
      <c r="J1295" s="18" t="inlineStr">
        <is>
          <t>팀장/관리직 경력 3년 이상 (총 경력 7~10년+)</t>
        </is>
      </c>
      <c r="K1295" s="17" t="inlineStr">
        <is>
          <t>★★★★☆</t>
        </is>
      </c>
      <c r="L1295" s="21" t="inlineStr">
        <is>
          <t>+35.0%</t>
        </is>
      </c>
    </row>
    <row r="1296">
      <c r="A1296" s="15" t="inlineStr">
        <is>
          <t>TR-1295</t>
        </is>
      </c>
      <c r="B1296" s="15" t="inlineStr">
        <is>
          <t>8311</t>
        </is>
      </c>
      <c r="C1296" s="16" t="inlineStr">
        <is>
          <t>Locomotive Engine Drivers</t>
        </is>
      </c>
      <c r="D1296" s="15" t="inlineStr">
        <is>
          <t>1324</t>
        </is>
      </c>
      <c r="E1296" s="16" t="inlineStr">
        <is>
          <t>Supply, Distribution and Related Managers</t>
        </is>
      </c>
      <c r="F1296" s="16" t="inlineStr">
        <is>
          <t>모빌리티 / 자율주행 / 로보틱스</t>
        </is>
      </c>
      <c r="G1296" s="15" t="inlineStr">
        <is>
          <t>vertical_promotion</t>
        </is>
      </c>
      <c r="H1296" s="16" t="inlineStr">
        <is>
          <t>조직 관리 및 리더십, 예산/손익(P&amp;L) 관리, 전사 전략 수립</t>
        </is>
      </c>
      <c r="I1296" s="16" t="inlineStr">
        <is>
          <t>MBA 또는 경영학 석사, 글로벌 비즈니스 협상력</t>
        </is>
      </c>
      <c r="J1296" s="16" t="inlineStr">
        <is>
          <t>팀장/관리직 경력 3년 이상 (총 경력 7~10년+)</t>
        </is>
      </c>
      <c r="K1296" s="15" t="inlineStr">
        <is>
          <t>★★★★☆</t>
        </is>
      </c>
      <c r="L1296" s="20" t="inlineStr">
        <is>
          <t>+35.0%</t>
        </is>
      </c>
    </row>
    <row r="1297">
      <c r="A1297" s="17" t="inlineStr">
        <is>
          <t>TR-1296</t>
        </is>
      </c>
      <c r="B1297" s="17" t="inlineStr">
        <is>
          <t>8312</t>
        </is>
      </c>
      <c r="C1297" s="18" t="inlineStr">
        <is>
          <t>Railway Brake, Signal and Switch Operators</t>
        </is>
      </c>
      <c r="D1297" s="17" t="inlineStr">
        <is>
          <t>1324</t>
        </is>
      </c>
      <c r="E1297" s="18" t="inlineStr">
        <is>
          <t>Supply, Distribution and Related Managers</t>
        </is>
      </c>
      <c r="F1297" s="18" t="inlineStr">
        <is>
          <t>모빌리티 / 자율주행 / 로보틱스</t>
        </is>
      </c>
      <c r="G1297" s="17" t="inlineStr">
        <is>
          <t>vertical_promotion</t>
        </is>
      </c>
      <c r="H1297" s="18" t="inlineStr">
        <is>
          <t>조직 관리 및 리더십, 예산/손익(P&amp;L) 관리, 전사 전략 수립</t>
        </is>
      </c>
      <c r="I1297" s="18" t="inlineStr">
        <is>
          <t>MBA 또는 경영학 석사, 글로벌 비즈니스 협상력</t>
        </is>
      </c>
      <c r="J1297" s="18" t="inlineStr">
        <is>
          <t>팀장/관리직 경력 3년 이상 (총 경력 7~10년+)</t>
        </is>
      </c>
      <c r="K1297" s="17" t="inlineStr">
        <is>
          <t>★★★★☆</t>
        </is>
      </c>
      <c r="L1297" s="21" t="inlineStr">
        <is>
          <t>+35.0%</t>
        </is>
      </c>
    </row>
    <row r="1298">
      <c r="A1298" s="15" t="inlineStr">
        <is>
          <t>TR-1297</t>
        </is>
      </c>
      <c r="B1298" s="15" t="inlineStr">
        <is>
          <t>8321</t>
        </is>
      </c>
      <c r="C1298" s="16" t="inlineStr">
        <is>
          <t>Motorcycle Drivers</t>
        </is>
      </c>
      <c r="D1298" s="15" t="inlineStr">
        <is>
          <t>1324</t>
        </is>
      </c>
      <c r="E1298" s="16" t="inlineStr">
        <is>
          <t>Supply, Distribution and Related Managers</t>
        </is>
      </c>
      <c r="F1298" s="16" t="inlineStr">
        <is>
          <t>모빌리티 / 자율주행 / 로보틱스</t>
        </is>
      </c>
      <c r="G1298" s="15" t="inlineStr">
        <is>
          <t>vertical_promotion</t>
        </is>
      </c>
      <c r="H1298" s="16" t="inlineStr">
        <is>
          <t>조직 관리 및 리더십, 예산/손익(P&amp;L) 관리, 전사 전략 수립</t>
        </is>
      </c>
      <c r="I1298" s="16" t="inlineStr">
        <is>
          <t>MBA 또는 경영학 석사, 글로벌 비즈니스 협상력</t>
        </is>
      </c>
      <c r="J1298" s="16" t="inlineStr">
        <is>
          <t>팀장/관리직 경력 3년 이상 (총 경력 7~10년+)</t>
        </is>
      </c>
      <c r="K1298" s="15" t="inlineStr">
        <is>
          <t>★★★★☆</t>
        </is>
      </c>
      <c r="L1298" s="20" t="inlineStr">
        <is>
          <t>+35.0%</t>
        </is>
      </c>
    </row>
    <row r="1299">
      <c r="A1299" s="17" t="inlineStr">
        <is>
          <t>TR-1298</t>
        </is>
      </c>
      <c r="B1299" s="17" t="inlineStr">
        <is>
          <t>8322</t>
        </is>
      </c>
      <c r="C1299" s="18" t="inlineStr">
        <is>
          <t>Car, Taxi and Van Drivers</t>
        </is>
      </c>
      <c r="D1299" s="17" t="inlineStr">
        <is>
          <t>1324</t>
        </is>
      </c>
      <c r="E1299" s="18" t="inlineStr">
        <is>
          <t>Supply, Distribution and Related Managers</t>
        </is>
      </c>
      <c r="F1299" s="18" t="inlineStr">
        <is>
          <t>모빌리티 / 자율주행 / 로보틱스</t>
        </is>
      </c>
      <c r="G1299" s="17" t="inlineStr">
        <is>
          <t>vertical_promotion</t>
        </is>
      </c>
      <c r="H1299" s="18" t="inlineStr">
        <is>
          <t>조직 관리 및 리더십, 예산/손익(P&amp;L) 관리, 전사 전략 수립</t>
        </is>
      </c>
      <c r="I1299" s="18" t="inlineStr">
        <is>
          <t>MBA 또는 경영학 석사, 글로벌 비즈니스 협상력</t>
        </is>
      </c>
      <c r="J1299" s="18" t="inlineStr">
        <is>
          <t>팀장/관리직 경력 3년 이상 (총 경력 7~10년+)</t>
        </is>
      </c>
      <c r="K1299" s="17" t="inlineStr">
        <is>
          <t>★★★★☆</t>
        </is>
      </c>
      <c r="L1299" s="21" t="inlineStr">
        <is>
          <t>+35.0%</t>
        </is>
      </c>
    </row>
    <row r="1300">
      <c r="A1300" s="15" t="inlineStr">
        <is>
          <t>TR-1299</t>
        </is>
      </c>
      <c r="B1300" s="15" t="inlineStr">
        <is>
          <t>8331</t>
        </is>
      </c>
      <c r="C1300" s="16" t="inlineStr">
        <is>
          <t>Bus and Tram Drivers</t>
        </is>
      </c>
      <c r="D1300" s="15" t="inlineStr">
        <is>
          <t>1324</t>
        </is>
      </c>
      <c r="E1300" s="16" t="inlineStr">
        <is>
          <t>Supply, Distribution and Related Managers</t>
        </is>
      </c>
      <c r="F1300" s="16" t="inlineStr">
        <is>
          <t>모빌리티 / 자율주행 / 로보틱스</t>
        </is>
      </c>
      <c r="G1300" s="15" t="inlineStr">
        <is>
          <t>vertical_promotion</t>
        </is>
      </c>
      <c r="H1300" s="16" t="inlineStr">
        <is>
          <t>조직 관리 및 리더십, 예산/손익(P&amp;L) 관리, 전사 전략 수립</t>
        </is>
      </c>
      <c r="I1300" s="16" t="inlineStr">
        <is>
          <t>MBA 또는 경영학 석사, 글로벌 비즈니스 협상력</t>
        </is>
      </c>
      <c r="J1300" s="16" t="inlineStr">
        <is>
          <t>팀장/관리직 경력 3년 이상 (총 경력 7~10년+)</t>
        </is>
      </c>
      <c r="K1300" s="15" t="inlineStr">
        <is>
          <t>★★★★☆</t>
        </is>
      </c>
      <c r="L1300" s="20" t="inlineStr">
        <is>
          <t>+35.0%</t>
        </is>
      </c>
    </row>
    <row r="1301">
      <c r="A1301" s="17" t="inlineStr">
        <is>
          <t>TR-1300</t>
        </is>
      </c>
      <c r="B1301" s="17" t="inlineStr">
        <is>
          <t>8332</t>
        </is>
      </c>
      <c r="C1301" s="18" t="inlineStr">
        <is>
          <t>Heavy Truck and Lorry Drivers</t>
        </is>
      </c>
      <c r="D1301" s="17" t="inlineStr">
        <is>
          <t>1324</t>
        </is>
      </c>
      <c r="E1301" s="18" t="inlineStr">
        <is>
          <t>Supply, Distribution and Related Managers</t>
        </is>
      </c>
      <c r="F1301" s="18" t="inlineStr">
        <is>
          <t>모빌리티 / 자율주행 / 로보틱스</t>
        </is>
      </c>
      <c r="G1301" s="17" t="inlineStr">
        <is>
          <t>vertical_promotion</t>
        </is>
      </c>
      <c r="H1301" s="18" t="inlineStr">
        <is>
          <t>조직 관리 및 리더십, 예산/손익(P&amp;L) 관리, 전사 전략 수립</t>
        </is>
      </c>
      <c r="I1301" s="18" t="inlineStr">
        <is>
          <t>MBA 또는 경영학 석사, 글로벌 비즈니스 협상력</t>
        </is>
      </c>
      <c r="J1301" s="18" t="inlineStr">
        <is>
          <t>팀장/관리직 경력 3년 이상 (총 경력 7~10년+)</t>
        </is>
      </c>
      <c r="K1301" s="17" t="inlineStr">
        <is>
          <t>★★★★☆</t>
        </is>
      </c>
      <c r="L1301" s="21" t="inlineStr">
        <is>
          <t>+35.0%</t>
        </is>
      </c>
    </row>
    <row r="1302">
      <c r="A1302" s="15" t="inlineStr">
        <is>
          <t>TR-1301</t>
        </is>
      </c>
      <c r="B1302" s="15" t="inlineStr">
        <is>
          <t>8341</t>
        </is>
      </c>
      <c r="C1302" s="16" t="inlineStr">
        <is>
          <t>Mobile Farm and Forestry Plant Operators</t>
        </is>
      </c>
      <c r="D1302" s="15" t="inlineStr">
        <is>
          <t>1324</t>
        </is>
      </c>
      <c r="E1302" s="16" t="inlineStr">
        <is>
          <t>Supply, Distribution and Related Managers</t>
        </is>
      </c>
      <c r="F1302" s="16" t="inlineStr">
        <is>
          <t>모빌리티 / 자율주행 / 로보틱스</t>
        </is>
      </c>
      <c r="G1302" s="15" t="inlineStr">
        <is>
          <t>vertical_promotion</t>
        </is>
      </c>
      <c r="H1302" s="16" t="inlineStr">
        <is>
          <t>조직 관리 및 리더십, 예산/손익(P&amp;L) 관리, 전사 전략 수립</t>
        </is>
      </c>
      <c r="I1302" s="16" t="inlineStr">
        <is>
          <t>MBA 또는 경영학 석사, 글로벌 비즈니스 협상력</t>
        </is>
      </c>
      <c r="J1302" s="16" t="inlineStr">
        <is>
          <t>팀장/관리직 경력 3년 이상 (총 경력 7~10년+)</t>
        </is>
      </c>
      <c r="K1302" s="15" t="inlineStr">
        <is>
          <t>★★★★☆</t>
        </is>
      </c>
      <c r="L1302" s="20" t="inlineStr">
        <is>
          <t>+35.0%</t>
        </is>
      </c>
    </row>
    <row r="1303">
      <c r="A1303" s="17" t="inlineStr">
        <is>
          <t>TR-1302</t>
        </is>
      </c>
      <c r="B1303" s="17" t="inlineStr">
        <is>
          <t>8342</t>
        </is>
      </c>
      <c r="C1303" s="18" t="inlineStr">
        <is>
          <t>Earthmoving and Related Plant Operators</t>
        </is>
      </c>
      <c r="D1303" s="17" t="inlineStr">
        <is>
          <t>1324</t>
        </is>
      </c>
      <c r="E1303" s="18" t="inlineStr">
        <is>
          <t>Supply, Distribution and Related Managers</t>
        </is>
      </c>
      <c r="F1303" s="18" t="inlineStr">
        <is>
          <t>모빌리티 / 자율주행 / 로보틱스</t>
        </is>
      </c>
      <c r="G1303" s="17" t="inlineStr">
        <is>
          <t>vertical_promotion</t>
        </is>
      </c>
      <c r="H1303" s="18" t="inlineStr">
        <is>
          <t>조직 관리 및 리더십, 예산/손익(P&amp;L) 관리, 전사 전략 수립</t>
        </is>
      </c>
      <c r="I1303" s="18" t="inlineStr">
        <is>
          <t>MBA 또는 경영학 석사, 글로벌 비즈니스 협상력</t>
        </is>
      </c>
      <c r="J1303" s="18" t="inlineStr">
        <is>
          <t>팀장/관리직 경력 3년 이상 (총 경력 7~10년+)</t>
        </is>
      </c>
      <c r="K1303" s="17" t="inlineStr">
        <is>
          <t>★★★★☆</t>
        </is>
      </c>
      <c r="L1303" s="21" t="inlineStr">
        <is>
          <t>+35.0%</t>
        </is>
      </c>
    </row>
    <row r="1304">
      <c r="A1304" s="15" t="inlineStr">
        <is>
          <t>TR-1303</t>
        </is>
      </c>
      <c r="B1304" s="15" t="inlineStr">
        <is>
          <t>8343</t>
        </is>
      </c>
      <c r="C1304" s="16" t="inlineStr">
        <is>
          <t>Crane, hoist and related plant operators</t>
        </is>
      </c>
      <c r="D1304" s="15" t="inlineStr">
        <is>
          <t>1324</t>
        </is>
      </c>
      <c r="E1304" s="16" t="inlineStr">
        <is>
          <t>Supply, Distribution and Related Managers</t>
        </is>
      </c>
      <c r="F1304" s="16" t="inlineStr">
        <is>
          <t>모빌리티 / 자율주행 / 로보틱스</t>
        </is>
      </c>
      <c r="G1304" s="15" t="inlineStr">
        <is>
          <t>vertical_promotion</t>
        </is>
      </c>
      <c r="H1304" s="16" t="inlineStr">
        <is>
          <t>조직 관리 및 리더십, 예산/손익(P&amp;L) 관리, 전사 전략 수립</t>
        </is>
      </c>
      <c r="I1304" s="16" t="inlineStr">
        <is>
          <t>MBA 또는 경영학 석사, 글로벌 비즈니스 협상력</t>
        </is>
      </c>
      <c r="J1304" s="16" t="inlineStr">
        <is>
          <t>팀장/관리직 경력 3년 이상 (총 경력 7~10년+)</t>
        </is>
      </c>
      <c r="K1304" s="15" t="inlineStr">
        <is>
          <t>★★★★☆</t>
        </is>
      </c>
      <c r="L1304" s="20" t="inlineStr">
        <is>
          <t>+35.0%</t>
        </is>
      </c>
    </row>
    <row r="1305">
      <c r="A1305" s="17" t="inlineStr">
        <is>
          <t>TR-1304</t>
        </is>
      </c>
      <c r="B1305" s="17" t="inlineStr">
        <is>
          <t>8344</t>
        </is>
      </c>
      <c r="C1305" s="18" t="inlineStr">
        <is>
          <t>Lifting Truck Operators</t>
        </is>
      </c>
      <c r="D1305" s="17" t="inlineStr">
        <is>
          <t>1324</t>
        </is>
      </c>
      <c r="E1305" s="18" t="inlineStr">
        <is>
          <t>Supply, Distribution and Related Managers</t>
        </is>
      </c>
      <c r="F1305" s="18" t="inlineStr">
        <is>
          <t>모빌리티 / 자율주행 / 로보틱스</t>
        </is>
      </c>
      <c r="G1305" s="17" t="inlineStr">
        <is>
          <t>vertical_promotion</t>
        </is>
      </c>
      <c r="H1305" s="18" t="inlineStr">
        <is>
          <t>조직 관리 및 리더십, 예산/손익(P&amp;L) 관리, 전사 전략 수립</t>
        </is>
      </c>
      <c r="I1305" s="18" t="inlineStr">
        <is>
          <t>MBA 또는 경영학 석사, 글로벌 비즈니스 협상력</t>
        </is>
      </c>
      <c r="J1305" s="18" t="inlineStr">
        <is>
          <t>팀장/관리직 경력 3년 이상 (총 경력 7~10년+)</t>
        </is>
      </c>
      <c r="K1305" s="17" t="inlineStr">
        <is>
          <t>★★★★☆</t>
        </is>
      </c>
      <c r="L1305" s="21" t="inlineStr">
        <is>
          <t>+35.0%</t>
        </is>
      </c>
    </row>
    <row r="1306">
      <c r="A1306" s="15" t="inlineStr">
        <is>
          <t>TR-1305</t>
        </is>
      </c>
      <c r="B1306" s="15" t="inlineStr">
        <is>
          <t>8350</t>
        </is>
      </c>
      <c r="C1306" s="16" t="inlineStr">
        <is>
          <t>Ships' Deck Crews and Related Workers</t>
        </is>
      </c>
      <c r="D1306" s="15" t="inlineStr">
        <is>
          <t>1324</t>
        </is>
      </c>
      <c r="E1306" s="16" t="inlineStr">
        <is>
          <t>Supply, Distribution and Related Managers</t>
        </is>
      </c>
      <c r="F1306" s="16" t="inlineStr">
        <is>
          <t>모빌리티 / 자율주행 / 로보틱스</t>
        </is>
      </c>
      <c r="G1306" s="15" t="inlineStr">
        <is>
          <t>vertical_promotion</t>
        </is>
      </c>
      <c r="H1306" s="16" t="inlineStr">
        <is>
          <t>조직 관리 및 리더십, 예산/손익(P&amp;L) 관리, 전사 전략 수립</t>
        </is>
      </c>
      <c r="I1306" s="16" t="inlineStr">
        <is>
          <t>MBA 또는 경영학 석사, 글로벌 비즈니스 협상력</t>
        </is>
      </c>
      <c r="J1306" s="16" t="inlineStr">
        <is>
          <t>팀장/관리직 경력 3년 이상 (총 경력 7~10년+)</t>
        </is>
      </c>
      <c r="K1306" s="15" t="inlineStr">
        <is>
          <t>★★★★☆</t>
        </is>
      </c>
      <c r="L1306" s="20" t="inlineStr">
        <is>
          <t>+35.0%</t>
        </is>
      </c>
    </row>
    <row r="1307">
      <c r="A1307" s="17" t="inlineStr">
        <is>
          <t>TR-1306</t>
        </is>
      </c>
      <c r="B1307" s="17" t="inlineStr">
        <is>
          <t>9111</t>
        </is>
      </c>
      <c r="C1307" s="18" t="inlineStr">
        <is>
          <t>Domestic Cleaners and Helpers</t>
        </is>
      </c>
      <c r="D1307" s="17" t="inlineStr">
        <is>
          <t>1412</t>
        </is>
      </c>
      <c r="E1307" s="18" t="inlineStr">
        <is>
          <t>Restaurant Managers</t>
        </is>
      </c>
      <c r="F1307" s="18" t="inlineStr">
        <is>
          <t>탄소중립 / 산업안전 / ESG</t>
        </is>
      </c>
      <c r="G1307" s="17" t="inlineStr">
        <is>
          <t>vertical_promotion</t>
        </is>
      </c>
      <c r="H1307" s="18" t="inlineStr">
        <is>
          <t>조직 관리 및 리더십, 예산/손익(P&amp;L) 관리, 전사 전략 수립</t>
        </is>
      </c>
      <c r="I1307" s="18" t="inlineStr">
        <is>
          <t>MBA 또는 경영학 석사, 글로벌 비즈니스 협상력</t>
        </is>
      </c>
      <c r="J1307" s="18" t="inlineStr">
        <is>
          <t>팀장/관리직 경력 3년 이상 (총 경력 7~10년+)</t>
        </is>
      </c>
      <c r="K1307" s="17" t="inlineStr">
        <is>
          <t>★★★★☆</t>
        </is>
      </c>
      <c r="L1307" s="21" t="inlineStr">
        <is>
          <t>+35.0%</t>
        </is>
      </c>
    </row>
    <row r="1308">
      <c r="A1308" s="15" t="inlineStr">
        <is>
          <t>TR-1307</t>
        </is>
      </c>
      <c r="B1308" s="15" t="inlineStr">
        <is>
          <t>9112</t>
        </is>
      </c>
      <c r="C1308" s="16" t="inlineStr">
        <is>
          <t>Cleaners and Helpers in Offices, Hotels and Other Establishments</t>
        </is>
      </c>
      <c r="D1308" s="15" t="inlineStr">
        <is>
          <t>1412</t>
        </is>
      </c>
      <c r="E1308" s="16" t="inlineStr">
        <is>
          <t>Restaurant Managers</t>
        </is>
      </c>
      <c r="F1308" s="16" t="inlineStr">
        <is>
          <t>탄소중립 / 산업안전 / ESG</t>
        </is>
      </c>
      <c r="G1308" s="15" t="inlineStr">
        <is>
          <t>vertical_promotion</t>
        </is>
      </c>
      <c r="H1308" s="16" t="inlineStr">
        <is>
          <t>조직 관리 및 리더십, 예산/손익(P&amp;L) 관리, 전사 전략 수립</t>
        </is>
      </c>
      <c r="I1308" s="16" t="inlineStr">
        <is>
          <t>MBA 또는 경영학 석사, 글로벌 비즈니스 협상력</t>
        </is>
      </c>
      <c r="J1308" s="16" t="inlineStr">
        <is>
          <t>팀장/관리직 경력 3년 이상 (총 경력 7~10년+)</t>
        </is>
      </c>
      <c r="K1308" s="15" t="inlineStr">
        <is>
          <t>★★★★☆</t>
        </is>
      </c>
      <c r="L1308" s="20" t="inlineStr">
        <is>
          <t>+35.0%</t>
        </is>
      </c>
    </row>
    <row r="1309">
      <c r="A1309" s="17" t="inlineStr">
        <is>
          <t>TR-1308</t>
        </is>
      </c>
      <c r="B1309" s="17" t="inlineStr">
        <is>
          <t>9121</t>
        </is>
      </c>
      <c r="C1309" s="18" t="inlineStr">
        <is>
          <t>Hand Launderers and Pressers</t>
        </is>
      </c>
      <c r="D1309" s="17" t="inlineStr">
        <is>
          <t>1412</t>
        </is>
      </c>
      <c r="E1309" s="18" t="inlineStr">
        <is>
          <t>Restaurant Managers</t>
        </is>
      </c>
      <c r="F1309" s="18" t="inlineStr">
        <is>
          <t>탄소중립 / 산업안전 / ESG</t>
        </is>
      </c>
      <c r="G1309" s="17" t="inlineStr">
        <is>
          <t>vertical_promotion</t>
        </is>
      </c>
      <c r="H1309" s="18" t="inlineStr">
        <is>
          <t>조직 관리 및 리더십, 예산/손익(P&amp;L) 관리, 전사 전략 수립</t>
        </is>
      </c>
      <c r="I1309" s="18" t="inlineStr">
        <is>
          <t>MBA 또는 경영학 석사, 글로벌 비즈니스 협상력</t>
        </is>
      </c>
      <c r="J1309" s="18" t="inlineStr">
        <is>
          <t>팀장/관리직 경력 3년 이상 (총 경력 7~10년+)</t>
        </is>
      </c>
      <c r="K1309" s="17" t="inlineStr">
        <is>
          <t>★★★★☆</t>
        </is>
      </c>
      <c r="L1309" s="21" t="inlineStr">
        <is>
          <t>+35.0%</t>
        </is>
      </c>
    </row>
    <row r="1310">
      <c r="A1310" s="15" t="inlineStr">
        <is>
          <t>TR-1309</t>
        </is>
      </c>
      <c r="B1310" s="15" t="inlineStr">
        <is>
          <t>9122</t>
        </is>
      </c>
      <c r="C1310" s="16" t="inlineStr">
        <is>
          <t>Vehicle Cleaners</t>
        </is>
      </c>
      <c r="D1310" s="15" t="inlineStr">
        <is>
          <t>1412</t>
        </is>
      </c>
      <c r="E1310" s="16" t="inlineStr">
        <is>
          <t>Restaurant Managers</t>
        </is>
      </c>
      <c r="F1310" s="16" t="inlineStr">
        <is>
          <t>탄소중립 / 산업안전 / ESG</t>
        </is>
      </c>
      <c r="G1310" s="15" t="inlineStr">
        <is>
          <t>vertical_promotion</t>
        </is>
      </c>
      <c r="H1310" s="16" t="inlineStr">
        <is>
          <t>조직 관리 및 리더십, 예산/손익(P&amp;L) 관리, 전사 전략 수립</t>
        </is>
      </c>
      <c r="I1310" s="16" t="inlineStr">
        <is>
          <t>MBA 또는 경영학 석사, 글로벌 비즈니스 협상력</t>
        </is>
      </c>
      <c r="J1310" s="16" t="inlineStr">
        <is>
          <t>팀장/관리직 경력 3년 이상 (총 경력 7~10년+)</t>
        </is>
      </c>
      <c r="K1310" s="15" t="inlineStr">
        <is>
          <t>★★★★☆</t>
        </is>
      </c>
      <c r="L1310" s="20" t="inlineStr">
        <is>
          <t>+35.0%</t>
        </is>
      </c>
    </row>
    <row r="1311">
      <c r="A1311" s="17" t="inlineStr">
        <is>
          <t>TR-1310</t>
        </is>
      </c>
      <c r="B1311" s="17" t="inlineStr">
        <is>
          <t>9123</t>
        </is>
      </c>
      <c r="C1311" s="18" t="inlineStr">
        <is>
          <t>Window Cleaners</t>
        </is>
      </c>
      <c r="D1311" s="17" t="inlineStr">
        <is>
          <t>1412</t>
        </is>
      </c>
      <c r="E1311" s="18" t="inlineStr">
        <is>
          <t>Restaurant Managers</t>
        </is>
      </c>
      <c r="F1311" s="18" t="inlineStr">
        <is>
          <t>탄소중립 / 산업안전 / ESG</t>
        </is>
      </c>
      <c r="G1311" s="17" t="inlineStr">
        <is>
          <t>vertical_promotion</t>
        </is>
      </c>
      <c r="H1311" s="18" t="inlineStr">
        <is>
          <t>조직 관리 및 리더십, 예산/손익(P&amp;L) 관리, 전사 전략 수립</t>
        </is>
      </c>
      <c r="I1311" s="18" t="inlineStr">
        <is>
          <t>MBA 또는 경영학 석사, 글로벌 비즈니스 협상력</t>
        </is>
      </c>
      <c r="J1311" s="18" t="inlineStr">
        <is>
          <t>팀장/관리직 경력 3년 이상 (총 경력 7~10년+)</t>
        </is>
      </c>
      <c r="K1311" s="17" t="inlineStr">
        <is>
          <t>★★★★☆</t>
        </is>
      </c>
      <c r="L1311" s="21" t="inlineStr">
        <is>
          <t>+35.0%</t>
        </is>
      </c>
    </row>
    <row r="1312">
      <c r="A1312" s="15" t="inlineStr">
        <is>
          <t>TR-1311</t>
        </is>
      </c>
      <c r="B1312" s="15" t="inlineStr">
        <is>
          <t>9129</t>
        </is>
      </c>
      <c r="C1312" s="16" t="inlineStr">
        <is>
          <t>Other Cleaning Workers</t>
        </is>
      </c>
      <c r="D1312" s="15" t="inlineStr">
        <is>
          <t>1412</t>
        </is>
      </c>
      <c r="E1312" s="16" t="inlineStr">
        <is>
          <t>Restaurant Managers</t>
        </is>
      </c>
      <c r="F1312" s="16" t="inlineStr">
        <is>
          <t>탄소중립 / 산업안전 / ESG</t>
        </is>
      </c>
      <c r="G1312" s="15" t="inlineStr">
        <is>
          <t>vertical_promotion</t>
        </is>
      </c>
      <c r="H1312" s="16" t="inlineStr">
        <is>
          <t>조직 관리 및 리더십, 예산/손익(P&amp;L) 관리, 전사 전략 수립</t>
        </is>
      </c>
      <c r="I1312" s="16" t="inlineStr">
        <is>
          <t>MBA 또는 경영학 석사, 글로벌 비즈니스 협상력</t>
        </is>
      </c>
      <c r="J1312" s="16" t="inlineStr">
        <is>
          <t>팀장/관리직 경력 3년 이상 (총 경력 7~10년+)</t>
        </is>
      </c>
      <c r="K1312" s="15" t="inlineStr">
        <is>
          <t>★★★★☆</t>
        </is>
      </c>
      <c r="L1312" s="20" t="inlineStr">
        <is>
          <t>+35.0%</t>
        </is>
      </c>
    </row>
    <row r="1313">
      <c r="A1313" s="17" t="inlineStr">
        <is>
          <t>TR-1312</t>
        </is>
      </c>
      <c r="B1313" s="17" t="inlineStr">
        <is>
          <t>9211</t>
        </is>
      </c>
      <c r="C1313" s="18" t="inlineStr">
        <is>
          <t>Crop Farm Labourers</t>
        </is>
      </c>
      <c r="D1313" s="17" t="inlineStr">
        <is>
          <t>1311</t>
        </is>
      </c>
      <c r="E1313" s="18" t="inlineStr">
        <is>
          <t>Agricultural and Forestry Production Managers</t>
        </is>
      </c>
      <c r="F1313" s="18" t="inlineStr">
        <is>
          <t>탄소중립 / 산업안전 / ESG</t>
        </is>
      </c>
      <c r="G1313" s="17" t="inlineStr">
        <is>
          <t>vertical_promotion</t>
        </is>
      </c>
      <c r="H1313" s="18" t="inlineStr">
        <is>
          <t>조직 관리 및 리더십, 예산/손익(P&amp;L) 관리, 전사 전략 수립</t>
        </is>
      </c>
      <c r="I1313" s="18" t="inlineStr">
        <is>
          <t>MBA 또는 경영학 석사, 글로벌 비즈니스 협상력</t>
        </is>
      </c>
      <c r="J1313" s="18" t="inlineStr">
        <is>
          <t>팀장/관리직 경력 3년 이상 (총 경력 7~10년+)</t>
        </is>
      </c>
      <c r="K1313" s="17" t="inlineStr">
        <is>
          <t>★★★★☆</t>
        </is>
      </c>
      <c r="L1313" s="21" t="inlineStr">
        <is>
          <t>+35.0%</t>
        </is>
      </c>
    </row>
    <row r="1314">
      <c r="A1314" s="15" t="inlineStr">
        <is>
          <t>TR-1313</t>
        </is>
      </c>
      <c r="B1314" s="15" t="inlineStr">
        <is>
          <t>9212</t>
        </is>
      </c>
      <c r="C1314" s="16" t="inlineStr">
        <is>
          <t>Livestock Farm Labourers</t>
        </is>
      </c>
      <c r="D1314" s="15" t="inlineStr">
        <is>
          <t>1311</t>
        </is>
      </c>
      <c r="E1314" s="16" t="inlineStr">
        <is>
          <t>Agricultural and Forestry Production Managers</t>
        </is>
      </c>
      <c r="F1314" s="16" t="inlineStr">
        <is>
          <t>탄소중립 / 산업안전 / ESG</t>
        </is>
      </c>
      <c r="G1314" s="15" t="inlineStr">
        <is>
          <t>vertical_promotion</t>
        </is>
      </c>
      <c r="H1314" s="16" t="inlineStr">
        <is>
          <t>조직 관리 및 리더십, 예산/손익(P&amp;L) 관리, 전사 전략 수립</t>
        </is>
      </c>
      <c r="I1314" s="16" t="inlineStr">
        <is>
          <t>MBA 또는 경영학 석사, 글로벌 비즈니스 협상력</t>
        </is>
      </c>
      <c r="J1314" s="16" t="inlineStr">
        <is>
          <t>팀장/관리직 경력 3년 이상 (총 경력 7~10년+)</t>
        </is>
      </c>
      <c r="K1314" s="15" t="inlineStr">
        <is>
          <t>★★★★☆</t>
        </is>
      </c>
      <c r="L1314" s="20" t="inlineStr">
        <is>
          <t>+35.0%</t>
        </is>
      </c>
    </row>
    <row r="1315">
      <c r="A1315" s="17" t="inlineStr">
        <is>
          <t>TR-1314</t>
        </is>
      </c>
      <c r="B1315" s="17" t="inlineStr">
        <is>
          <t>9213</t>
        </is>
      </c>
      <c r="C1315" s="18" t="inlineStr">
        <is>
          <t>Mixed Crop and Livestock Farm Labourers</t>
        </is>
      </c>
      <c r="D1315" s="17" t="inlineStr">
        <is>
          <t>1311</t>
        </is>
      </c>
      <c r="E1315" s="18" t="inlineStr">
        <is>
          <t>Agricultural and Forestry Production Managers</t>
        </is>
      </c>
      <c r="F1315" s="18" t="inlineStr">
        <is>
          <t>탄소중립 / 산업안전 / ESG</t>
        </is>
      </c>
      <c r="G1315" s="17" t="inlineStr">
        <is>
          <t>vertical_promotion</t>
        </is>
      </c>
      <c r="H1315" s="18" t="inlineStr">
        <is>
          <t>조직 관리 및 리더십, 예산/손익(P&amp;L) 관리, 전사 전략 수립</t>
        </is>
      </c>
      <c r="I1315" s="18" t="inlineStr">
        <is>
          <t>MBA 또는 경영학 석사, 글로벌 비즈니스 협상력</t>
        </is>
      </c>
      <c r="J1315" s="18" t="inlineStr">
        <is>
          <t>팀장/관리직 경력 3년 이상 (총 경력 7~10년+)</t>
        </is>
      </c>
      <c r="K1315" s="17" t="inlineStr">
        <is>
          <t>★★★★☆</t>
        </is>
      </c>
      <c r="L1315" s="21" t="inlineStr">
        <is>
          <t>+35.0%</t>
        </is>
      </c>
    </row>
    <row r="1316">
      <c r="A1316" s="15" t="inlineStr">
        <is>
          <t>TR-1315</t>
        </is>
      </c>
      <c r="B1316" s="15" t="inlineStr">
        <is>
          <t>9214</t>
        </is>
      </c>
      <c r="C1316" s="16" t="inlineStr">
        <is>
          <t>Garden and Horticultural Labourers</t>
        </is>
      </c>
      <c r="D1316" s="15" t="inlineStr">
        <is>
          <t>1311</t>
        </is>
      </c>
      <c r="E1316" s="16" t="inlineStr">
        <is>
          <t>Agricultural and Forestry Production Managers</t>
        </is>
      </c>
      <c r="F1316" s="16" t="inlineStr">
        <is>
          <t>탄소중립 / 산업안전 / ESG</t>
        </is>
      </c>
      <c r="G1316" s="15" t="inlineStr">
        <is>
          <t>vertical_promotion</t>
        </is>
      </c>
      <c r="H1316" s="16" t="inlineStr">
        <is>
          <t>조직 관리 및 리더십, 예산/손익(P&amp;L) 관리, 전사 전략 수립</t>
        </is>
      </c>
      <c r="I1316" s="16" t="inlineStr">
        <is>
          <t>MBA 또는 경영학 석사, 글로벌 비즈니스 협상력</t>
        </is>
      </c>
      <c r="J1316" s="16" t="inlineStr">
        <is>
          <t>팀장/관리직 경력 3년 이상 (총 경력 7~10년+)</t>
        </is>
      </c>
      <c r="K1316" s="15" t="inlineStr">
        <is>
          <t>★★★★☆</t>
        </is>
      </c>
      <c r="L1316" s="20" t="inlineStr">
        <is>
          <t>+35.0%</t>
        </is>
      </c>
    </row>
    <row r="1317">
      <c r="A1317" s="17" t="inlineStr">
        <is>
          <t>TR-1316</t>
        </is>
      </c>
      <c r="B1317" s="17" t="inlineStr">
        <is>
          <t>9215</t>
        </is>
      </c>
      <c r="C1317" s="18" t="inlineStr">
        <is>
          <t>Forestry Labourers</t>
        </is>
      </c>
      <c r="D1317" s="17" t="inlineStr">
        <is>
          <t>1311</t>
        </is>
      </c>
      <c r="E1317" s="18" t="inlineStr">
        <is>
          <t>Agricultural and Forestry Production Managers</t>
        </is>
      </c>
      <c r="F1317" s="18" t="inlineStr">
        <is>
          <t>탄소중립 / 산업안전 / ESG</t>
        </is>
      </c>
      <c r="G1317" s="17" t="inlineStr">
        <is>
          <t>vertical_promotion</t>
        </is>
      </c>
      <c r="H1317" s="18" t="inlineStr">
        <is>
          <t>조직 관리 및 리더십, 예산/손익(P&amp;L) 관리, 전사 전략 수립</t>
        </is>
      </c>
      <c r="I1317" s="18" t="inlineStr">
        <is>
          <t>MBA 또는 경영학 석사, 글로벌 비즈니스 협상력</t>
        </is>
      </c>
      <c r="J1317" s="18" t="inlineStr">
        <is>
          <t>팀장/관리직 경력 3년 이상 (총 경력 7~10년+)</t>
        </is>
      </c>
      <c r="K1317" s="17" t="inlineStr">
        <is>
          <t>★★★★☆</t>
        </is>
      </c>
      <c r="L1317" s="21" t="inlineStr">
        <is>
          <t>+35.0%</t>
        </is>
      </c>
    </row>
    <row r="1318">
      <c r="A1318" s="15" t="inlineStr">
        <is>
          <t>TR-1317</t>
        </is>
      </c>
      <c r="B1318" s="15" t="inlineStr">
        <is>
          <t>9216</t>
        </is>
      </c>
      <c r="C1318" s="16" t="inlineStr">
        <is>
          <t>Fishery and Aquaculture Labourers</t>
        </is>
      </c>
      <c r="D1318" s="15" t="inlineStr">
        <is>
          <t>1311</t>
        </is>
      </c>
      <c r="E1318" s="16" t="inlineStr">
        <is>
          <t>Agricultural and Forestry Production Managers</t>
        </is>
      </c>
      <c r="F1318" s="16" t="inlineStr">
        <is>
          <t>탄소중립 / 산업안전 / ESG</t>
        </is>
      </c>
      <c r="G1318" s="15" t="inlineStr">
        <is>
          <t>vertical_promotion</t>
        </is>
      </c>
      <c r="H1318" s="16" t="inlineStr">
        <is>
          <t>조직 관리 및 리더십, 예산/손익(P&amp;L) 관리, 전사 전략 수립</t>
        </is>
      </c>
      <c r="I1318" s="16" t="inlineStr">
        <is>
          <t>MBA 또는 경영학 석사, 글로벌 비즈니스 협상력</t>
        </is>
      </c>
      <c r="J1318" s="16" t="inlineStr">
        <is>
          <t>팀장/관리직 경력 3년 이상 (총 경력 7~10년+)</t>
        </is>
      </c>
      <c r="K1318" s="15" t="inlineStr">
        <is>
          <t>★★★★☆</t>
        </is>
      </c>
      <c r="L1318" s="20" t="inlineStr">
        <is>
          <t>+35.0%</t>
        </is>
      </c>
    </row>
    <row r="1319">
      <c r="A1319" s="17" t="inlineStr">
        <is>
          <t>TR-1318</t>
        </is>
      </c>
      <c r="B1319" s="17" t="inlineStr">
        <is>
          <t>9311</t>
        </is>
      </c>
      <c r="C1319" s="18" t="inlineStr">
        <is>
          <t>Mining and Quarrying Labourers</t>
        </is>
      </c>
      <c r="D1319" s="17" t="inlineStr">
        <is>
          <t>1321</t>
        </is>
      </c>
      <c r="E1319" s="18" t="inlineStr">
        <is>
          <t>Manufacturing Managers</t>
        </is>
      </c>
      <c r="F1319" s="18" t="inlineStr">
        <is>
          <t>모빌리티 / 자율주행 / 로보틱스</t>
        </is>
      </c>
      <c r="G1319" s="17" t="inlineStr">
        <is>
          <t>vertical_promotion</t>
        </is>
      </c>
      <c r="H1319" s="18" t="inlineStr">
        <is>
          <t>조직 관리 및 리더십, 예산/손익(P&amp;L) 관리, 전사 전략 수립</t>
        </is>
      </c>
      <c r="I1319" s="18" t="inlineStr">
        <is>
          <t>MBA 또는 경영학 석사, 글로벌 비즈니스 협상력</t>
        </is>
      </c>
      <c r="J1319" s="18" t="inlineStr">
        <is>
          <t>팀장/관리직 경력 3년 이상 (총 경력 7~10년+)</t>
        </is>
      </c>
      <c r="K1319" s="17" t="inlineStr">
        <is>
          <t>★★★★☆</t>
        </is>
      </c>
      <c r="L1319" s="21" t="inlineStr">
        <is>
          <t>+35.0%</t>
        </is>
      </c>
    </row>
    <row r="1320">
      <c r="A1320" s="15" t="inlineStr">
        <is>
          <t>TR-1319</t>
        </is>
      </c>
      <c r="B1320" s="15" t="inlineStr">
        <is>
          <t>9312</t>
        </is>
      </c>
      <c r="C1320" s="16" t="inlineStr">
        <is>
          <t>Civil Engineering Labourers</t>
        </is>
      </c>
      <c r="D1320" s="15" t="inlineStr">
        <is>
          <t>1321</t>
        </is>
      </c>
      <c r="E1320" s="16" t="inlineStr">
        <is>
          <t>Manufacturing Managers</t>
        </is>
      </c>
      <c r="F1320" s="16" t="inlineStr">
        <is>
          <t>모빌리티 / 자율주행 / 로보틱스</t>
        </is>
      </c>
      <c r="G1320" s="15" t="inlineStr">
        <is>
          <t>vertical_promotion</t>
        </is>
      </c>
      <c r="H1320" s="16" t="inlineStr">
        <is>
          <t>조직 관리 및 리더십, 예산/손익(P&amp;L) 관리, 전사 전략 수립</t>
        </is>
      </c>
      <c r="I1320" s="16" t="inlineStr">
        <is>
          <t>MBA 또는 경영학 석사, 글로벌 비즈니스 협상력</t>
        </is>
      </c>
      <c r="J1320" s="16" t="inlineStr">
        <is>
          <t>팀장/관리직 경력 3년 이상 (총 경력 7~10년+)</t>
        </is>
      </c>
      <c r="K1320" s="15" t="inlineStr">
        <is>
          <t>★★★★☆</t>
        </is>
      </c>
      <c r="L1320" s="20" t="inlineStr">
        <is>
          <t>+35.0%</t>
        </is>
      </c>
    </row>
    <row r="1321">
      <c r="A1321" s="17" t="inlineStr">
        <is>
          <t>TR-1320</t>
        </is>
      </c>
      <c r="B1321" s="17" t="inlineStr">
        <is>
          <t>9313</t>
        </is>
      </c>
      <c r="C1321" s="18" t="inlineStr">
        <is>
          <t>Building Construction Labourers</t>
        </is>
      </c>
      <c r="D1321" s="17" t="inlineStr">
        <is>
          <t>1321</t>
        </is>
      </c>
      <c r="E1321" s="18" t="inlineStr">
        <is>
          <t>Manufacturing Managers</t>
        </is>
      </c>
      <c r="F1321" s="18" t="inlineStr">
        <is>
          <t>모빌리티 / 자율주행 / 로보틱스</t>
        </is>
      </c>
      <c r="G1321" s="17" t="inlineStr">
        <is>
          <t>vertical_promotion</t>
        </is>
      </c>
      <c r="H1321" s="18" t="inlineStr">
        <is>
          <t>조직 관리 및 리더십, 예산/손익(P&amp;L) 관리, 전사 전략 수립</t>
        </is>
      </c>
      <c r="I1321" s="18" t="inlineStr">
        <is>
          <t>MBA 또는 경영학 석사, 글로벌 비즈니스 협상력</t>
        </is>
      </c>
      <c r="J1321" s="18" t="inlineStr">
        <is>
          <t>팀장/관리직 경력 3년 이상 (총 경력 7~10년+)</t>
        </is>
      </c>
      <c r="K1321" s="17" t="inlineStr">
        <is>
          <t>★★★★☆</t>
        </is>
      </c>
      <c r="L1321" s="21" t="inlineStr">
        <is>
          <t>+35.0%</t>
        </is>
      </c>
    </row>
    <row r="1322">
      <c r="A1322" s="15" t="inlineStr">
        <is>
          <t>TR-1321</t>
        </is>
      </c>
      <c r="B1322" s="15" t="inlineStr">
        <is>
          <t>9321</t>
        </is>
      </c>
      <c r="C1322" s="16" t="inlineStr">
        <is>
          <t>Hand Packers</t>
        </is>
      </c>
      <c r="D1322" s="15" t="inlineStr">
        <is>
          <t>1321</t>
        </is>
      </c>
      <c r="E1322" s="16" t="inlineStr">
        <is>
          <t>Manufacturing Managers</t>
        </is>
      </c>
      <c r="F1322" s="16" t="inlineStr">
        <is>
          <t>모빌리티 / 자율주행 / 로보틱스</t>
        </is>
      </c>
      <c r="G1322" s="15" t="inlineStr">
        <is>
          <t>vertical_promotion</t>
        </is>
      </c>
      <c r="H1322" s="16" t="inlineStr">
        <is>
          <t>조직 관리 및 리더십, 예산/손익(P&amp;L) 관리, 전사 전략 수립</t>
        </is>
      </c>
      <c r="I1322" s="16" t="inlineStr">
        <is>
          <t>MBA 또는 경영학 석사, 글로벌 비즈니스 협상력</t>
        </is>
      </c>
      <c r="J1322" s="16" t="inlineStr">
        <is>
          <t>팀장/관리직 경력 3년 이상 (총 경력 7~10년+)</t>
        </is>
      </c>
      <c r="K1322" s="15" t="inlineStr">
        <is>
          <t>★★★★☆</t>
        </is>
      </c>
      <c r="L1322" s="20" t="inlineStr">
        <is>
          <t>+35.0%</t>
        </is>
      </c>
    </row>
    <row r="1323">
      <c r="A1323" s="17" t="inlineStr">
        <is>
          <t>TR-1322</t>
        </is>
      </c>
      <c r="B1323" s="17" t="inlineStr">
        <is>
          <t>9329</t>
        </is>
      </c>
      <c r="C1323" s="18" t="inlineStr">
        <is>
          <t>Manufacturing Labourers Not Elsewhere Classified</t>
        </is>
      </c>
      <c r="D1323" s="17" t="inlineStr">
        <is>
          <t>1321</t>
        </is>
      </c>
      <c r="E1323" s="18" t="inlineStr">
        <is>
          <t>Manufacturing Managers</t>
        </is>
      </c>
      <c r="F1323" s="18" t="inlineStr">
        <is>
          <t>모빌리티 / 자율주행 / 로보틱스</t>
        </is>
      </c>
      <c r="G1323" s="17" t="inlineStr">
        <is>
          <t>vertical_promotion</t>
        </is>
      </c>
      <c r="H1323" s="18" t="inlineStr">
        <is>
          <t>조직 관리 및 리더십, 예산/손익(P&amp;L) 관리, 전사 전략 수립</t>
        </is>
      </c>
      <c r="I1323" s="18" t="inlineStr">
        <is>
          <t>MBA 또는 경영학 석사, 글로벌 비즈니스 협상력</t>
        </is>
      </c>
      <c r="J1323" s="18" t="inlineStr">
        <is>
          <t>팀장/관리직 경력 3년 이상 (총 경력 7~10년+)</t>
        </is>
      </c>
      <c r="K1323" s="17" t="inlineStr">
        <is>
          <t>★★★★☆</t>
        </is>
      </c>
      <c r="L1323" s="21" t="inlineStr">
        <is>
          <t>+35.0%</t>
        </is>
      </c>
    </row>
    <row r="1324">
      <c r="A1324" s="15" t="inlineStr">
        <is>
          <t>TR-1323</t>
        </is>
      </c>
      <c r="B1324" s="15" t="inlineStr">
        <is>
          <t>9331</t>
        </is>
      </c>
      <c r="C1324" s="16" t="inlineStr">
        <is>
          <t>Hand and Pedal Vehicle Drivers</t>
        </is>
      </c>
      <c r="D1324" s="15" t="inlineStr">
        <is>
          <t>1321</t>
        </is>
      </c>
      <c r="E1324" s="16" t="inlineStr">
        <is>
          <t>Manufacturing Managers</t>
        </is>
      </c>
      <c r="F1324" s="16" t="inlineStr">
        <is>
          <t>모빌리티 / 자율주행 / 로보틱스</t>
        </is>
      </c>
      <c r="G1324" s="15" t="inlineStr">
        <is>
          <t>vertical_promotion</t>
        </is>
      </c>
      <c r="H1324" s="16" t="inlineStr">
        <is>
          <t>조직 관리 및 리더십, 예산/손익(P&amp;L) 관리, 전사 전략 수립</t>
        </is>
      </c>
      <c r="I1324" s="16" t="inlineStr">
        <is>
          <t>MBA 또는 경영학 석사, 글로벌 비즈니스 협상력</t>
        </is>
      </c>
      <c r="J1324" s="16" t="inlineStr">
        <is>
          <t>팀장/관리직 경력 3년 이상 (총 경력 7~10년+)</t>
        </is>
      </c>
      <c r="K1324" s="15" t="inlineStr">
        <is>
          <t>★★★★☆</t>
        </is>
      </c>
      <c r="L1324" s="20" t="inlineStr">
        <is>
          <t>+35.0%</t>
        </is>
      </c>
    </row>
    <row r="1325">
      <c r="A1325" s="17" t="inlineStr">
        <is>
          <t>TR-1324</t>
        </is>
      </c>
      <c r="B1325" s="17" t="inlineStr">
        <is>
          <t>9332</t>
        </is>
      </c>
      <c r="C1325" s="18" t="inlineStr">
        <is>
          <t>Drivers of Animal-drawn Vehicles and Machinery</t>
        </is>
      </c>
      <c r="D1325" s="17" t="inlineStr">
        <is>
          <t>1321</t>
        </is>
      </c>
      <c r="E1325" s="18" t="inlineStr">
        <is>
          <t>Manufacturing Managers</t>
        </is>
      </c>
      <c r="F1325" s="18" t="inlineStr">
        <is>
          <t>모빌리티 / 자율주행 / 로보틱스</t>
        </is>
      </c>
      <c r="G1325" s="17" t="inlineStr">
        <is>
          <t>vertical_promotion</t>
        </is>
      </c>
      <c r="H1325" s="18" t="inlineStr">
        <is>
          <t>조직 관리 및 리더십, 예산/손익(P&amp;L) 관리, 전사 전략 수립</t>
        </is>
      </c>
      <c r="I1325" s="18" t="inlineStr">
        <is>
          <t>MBA 또는 경영학 석사, 글로벌 비즈니스 협상력</t>
        </is>
      </c>
      <c r="J1325" s="18" t="inlineStr">
        <is>
          <t>팀장/관리직 경력 3년 이상 (총 경력 7~10년+)</t>
        </is>
      </c>
      <c r="K1325" s="17" t="inlineStr">
        <is>
          <t>★★★★☆</t>
        </is>
      </c>
      <c r="L1325" s="21" t="inlineStr">
        <is>
          <t>+35.0%</t>
        </is>
      </c>
    </row>
    <row r="1326">
      <c r="A1326" s="15" t="inlineStr">
        <is>
          <t>TR-1325</t>
        </is>
      </c>
      <c r="B1326" s="15" t="inlineStr">
        <is>
          <t>9333</t>
        </is>
      </c>
      <c r="C1326" s="16" t="inlineStr">
        <is>
          <t>Freight Handlers</t>
        </is>
      </c>
      <c r="D1326" s="15" t="inlineStr">
        <is>
          <t>1321</t>
        </is>
      </c>
      <c r="E1326" s="16" t="inlineStr">
        <is>
          <t>Manufacturing Managers</t>
        </is>
      </c>
      <c r="F1326" s="16" t="inlineStr">
        <is>
          <t>모빌리티 / 자율주행 / 로보틱스</t>
        </is>
      </c>
      <c r="G1326" s="15" t="inlineStr">
        <is>
          <t>vertical_promotion</t>
        </is>
      </c>
      <c r="H1326" s="16" t="inlineStr">
        <is>
          <t>조직 관리 및 리더십, 예산/손익(P&amp;L) 관리, 전사 전략 수립</t>
        </is>
      </c>
      <c r="I1326" s="16" t="inlineStr">
        <is>
          <t>MBA 또는 경영학 석사, 글로벌 비즈니스 협상력</t>
        </is>
      </c>
      <c r="J1326" s="16" t="inlineStr">
        <is>
          <t>팀장/관리직 경력 3년 이상 (총 경력 7~10년+)</t>
        </is>
      </c>
      <c r="K1326" s="15" t="inlineStr">
        <is>
          <t>★★★★☆</t>
        </is>
      </c>
      <c r="L1326" s="20" t="inlineStr">
        <is>
          <t>+35.0%</t>
        </is>
      </c>
    </row>
    <row r="1327">
      <c r="A1327" s="17" t="inlineStr">
        <is>
          <t>TR-1326</t>
        </is>
      </c>
      <c r="B1327" s="17" t="inlineStr">
        <is>
          <t>9334</t>
        </is>
      </c>
      <c r="C1327" s="18" t="inlineStr">
        <is>
          <t>Shelf Fillers</t>
        </is>
      </c>
      <c r="D1327" s="17" t="inlineStr">
        <is>
          <t>1321</t>
        </is>
      </c>
      <c r="E1327" s="18" t="inlineStr">
        <is>
          <t>Manufacturing Managers</t>
        </is>
      </c>
      <c r="F1327" s="18" t="inlineStr">
        <is>
          <t>모빌리티 / 자율주행 / 로보틱스</t>
        </is>
      </c>
      <c r="G1327" s="17" t="inlineStr">
        <is>
          <t>vertical_promotion</t>
        </is>
      </c>
      <c r="H1327" s="18" t="inlineStr">
        <is>
          <t>조직 관리 및 리더십, 예산/손익(P&amp;L) 관리, 전사 전략 수립</t>
        </is>
      </c>
      <c r="I1327" s="18" t="inlineStr">
        <is>
          <t>MBA 또는 경영학 석사, 글로벌 비즈니스 협상력</t>
        </is>
      </c>
      <c r="J1327" s="18" t="inlineStr">
        <is>
          <t>팀장/관리직 경력 3년 이상 (총 경력 7~10년+)</t>
        </is>
      </c>
      <c r="K1327" s="17" t="inlineStr">
        <is>
          <t>★★★★☆</t>
        </is>
      </c>
      <c r="L1327" s="21" t="inlineStr">
        <is>
          <t>+35.0%</t>
        </is>
      </c>
    </row>
    <row r="1328">
      <c r="A1328" s="15" t="inlineStr">
        <is>
          <t>TR-1327</t>
        </is>
      </c>
      <c r="B1328" s="15" t="inlineStr">
        <is>
          <t>9411</t>
        </is>
      </c>
      <c r="C1328" s="16" t="inlineStr">
        <is>
          <t>Fast Food Preparers</t>
        </is>
      </c>
      <c r="D1328" s="15" t="inlineStr">
        <is>
          <t>1412</t>
        </is>
      </c>
      <c r="E1328" s="16" t="inlineStr">
        <is>
          <t>Restaurant Managers</t>
        </is>
      </c>
      <c r="F1328" s="16" t="inlineStr">
        <is>
          <t>B2B영업 / 마케팅 / GTM</t>
        </is>
      </c>
      <c r="G1328" s="15" t="inlineStr">
        <is>
          <t>vertical_promotion</t>
        </is>
      </c>
      <c r="H1328" s="16" t="inlineStr">
        <is>
          <t>조직 관리 및 리더십, 예산/손익(P&amp;L) 관리, 전사 전략 수립</t>
        </is>
      </c>
      <c r="I1328" s="16" t="inlineStr">
        <is>
          <t>MBA 또는 경영학 석사, 글로벌 비즈니스 협상력</t>
        </is>
      </c>
      <c r="J1328" s="16" t="inlineStr">
        <is>
          <t>팀장/관리직 경력 3년 이상 (총 경력 7~10년+)</t>
        </is>
      </c>
      <c r="K1328" s="15" t="inlineStr">
        <is>
          <t>★★★★☆</t>
        </is>
      </c>
      <c r="L1328" s="20" t="inlineStr">
        <is>
          <t>+35.0%</t>
        </is>
      </c>
    </row>
    <row r="1329">
      <c r="A1329" s="17" t="inlineStr">
        <is>
          <t>TR-1328</t>
        </is>
      </c>
      <c r="B1329" s="17" t="inlineStr">
        <is>
          <t>9412</t>
        </is>
      </c>
      <c r="C1329" s="18" t="inlineStr">
        <is>
          <t>Kitchen Helpers</t>
        </is>
      </c>
      <c r="D1329" s="17" t="inlineStr">
        <is>
          <t>1412</t>
        </is>
      </c>
      <c r="E1329" s="18" t="inlineStr">
        <is>
          <t>Restaurant Managers</t>
        </is>
      </c>
      <c r="F1329" s="18" t="inlineStr">
        <is>
          <t>B2B영업 / 마케팅 / GTM</t>
        </is>
      </c>
      <c r="G1329" s="17" t="inlineStr">
        <is>
          <t>vertical_promotion</t>
        </is>
      </c>
      <c r="H1329" s="18" t="inlineStr">
        <is>
          <t>조직 관리 및 리더십, 예산/손익(P&amp;L) 관리, 전사 전략 수립</t>
        </is>
      </c>
      <c r="I1329" s="18" t="inlineStr">
        <is>
          <t>MBA 또는 경영학 석사, 글로벌 비즈니스 협상력</t>
        </is>
      </c>
      <c r="J1329" s="18" t="inlineStr">
        <is>
          <t>팀장/관리직 경력 3년 이상 (총 경력 7~10년+)</t>
        </is>
      </c>
      <c r="K1329" s="17" t="inlineStr">
        <is>
          <t>★★★★☆</t>
        </is>
      </c>
      <c r="L1329" s="21" t="inlineStr">
        <is>
          <t>+35.0%</t>
        </is>
      </c>
    </row>
    <row r="1330">
      <c r="A1330" s="15" t="inlineStr">
        <is>
          <t>TR-1329</t>
        </is>
      </c>
      <c r="B1330" s="15" t="inlineStr">
        <is>
          <t>9510</t>
        </is>
      </c>
      <c r="C1330" s="16" t="inlineStr">
        <is>
          <t>Street and Related Service Workers</t>
        </is>
      </c>
      <c r="D1330" s="15" t="inlineStr">
        <is>
          <t>1420</t>
        </is>
      </c>
      <c r="E1330" s="16" t="inlineStr">
        <is>
          <t>Retail and Wholesale Trade Managers</t>
        </is>
      </c>
      <c r="F1330" s="16" t="inlineStr">
        <is>
          <t>B2B영업 / 마케팅 / GTM</t>
        </is>
      </c>
      <c r="G1330" s="15" t="inlineStr">
        <is>
          <t>vertical_promotion</t>
        </is>
      </c>
      <c r="H1330" s="16" t="inlineStr">
        <is>
          <t>조직 관리 및 리더십, 예산/손익(P&amp;L) 관리, 전사 전략 수립</t>
        </is>
      </c>
      <c r="I1330" s="16" t="inlineStr">
        <is>
          <t>MBA 또는 경영학 석사, 글로벌 비즈니스 협상력</t>
        </is>
      </c>
      <c r="J1330" s="16" t="inlineStr">
        <is>
          <t>팀장/관리직 경력 3년 이상 (총 경력 7~10년+)</t>
        </is>
      </c>
      <c r="K1330" s="15" t="inlineStr">
        <is>
          <t>★★★★☆</t>
        </is>
      </c>
      <c r="L1330" s="20" t="inlineStr">
        <is>
          <t>+35.0%</t>
        </is>
      </c>
    </row>
    <row r="1331">
      <c r="A1331" s="17" t="inlineStr">
        <is>
          <t>TR-1330</t>
        </is>
      </c>
      <c r="B1331" s="17" t="inlineStr">
        <is>
          <t>9520</t>
        </is>
      </c>
      <c r="C1331" s="18" t="inlineStr">
        <is>
          <t>Street Vendors (excluding Food)</t>
        </is>
      </c>
      <c r="D1331" s="17" t="inlineStr">
        <is>
          <t>1420</t>
        </is>
      </c>
      <c r="E1331" s="18" t="inlineStr">
        <is>
          <t>Retail and Wholesale Trade Managers</t>
        </is>
      </c>
      <c r="F1331" s="18" t="inlineStr">
        <is>
          <t>B2B영업 / 마케팅 / GTM</t>
        </is>
      </c>
      <c r="G1331" s="17" t="inlineStr">
        <is>
          <t>vertical_promotion</t>
        </is>
      </c>
      <c r="H1331" s="18" t="inlineStr">
        <is>
          <t>조직 관리 및 리더십, 예산/손익(P&amp;L) 관리, 전사 전략 수립</t>
        </is>
      </c>
      <c r="I1331" s="18" t="inlineStr">
        <is>
          <t>MBA 또는 경영학 석사, 글로벌 비즈니스 협상력</t>
        </is>
      </c>
      <c r="J1331" s="18" t="inlineStr">
        <is>
          <t>팀장/관리직 경력 3년 이상 (총 경력 7~10년+)</t>
        </is>
      </c>
      <c r="K1331" s="17" t="inlineStr">
        <is>
          <t>★★★★☆</t>
        </is>
      </c>
      <c r="L1331" s="21" t="inlineStr">
        <is>
          <t>+35.0%</t>
        </is>
      </c>
    </row>
    <row r="1332">
      <c r="A1332" s="15" t="inlineStr">
        <is>
          <t>TR-1331</t>
        </is>
      </c>
      <c r="B1332" s="15" t="inlineStr">
        <is>
          <t>9611</t>
        </is>
      </c>
      <c r="C1332" s="16" t="inlineStr">
        <is>
          <t>Garbage and Recycling Collectors</t>
        </is>
      </c>
      <c r="D1332" s="15" t="inlineStr">
        <is>
          <t>1349</t>
        </is>
      </c>
      <c r="E1332" s="16" t="inlineStr">
        <is>
          <t>Professional Services Managers Not Elsewhere Classified</t>
        </is>
      </c>
      <c r="F1332" s="16" t="inlineStr">
        <is>
          <t>탄소중립 / 산업안전 / ESG</t>
        </is>
      </c>
      <c r="G1332" s="15" t="inlineStr">
        <is>
          <t>vertical_promotion</t>
        </is>
      </c>
      <c r="H1332" s="16" t="inlineStr">
        <is>
          <t>조직 관리 및 리더십, 예산/손익(P&amp;L) 관리, 전사 전략 수립</t>
        </is>
      </c>
      <c r="I1332" s="16" t="inlineStr">
        <is>
          <t>MBA 또는 경영학 석사, 글로벌 비즈니스 협상력</t>
        </is>
      </c>
      <c r="J1332" s="16" t="inlineStr">
        <is>
          <t>팀장/관리직 경력 3년 이상 (총 경력 7~10년+)</t>
        </is>
      </c>
      <c r="K1332" s="15" t="inlineStr">
        <is>
          <t>★★★★☆</t>
        </is>
      </c>
      <c r="L1332" s="20" t="inlineStr">
        <is>
          <t>+35.0%</t>
        </is>
      </c>
    </row>
    <row r="1333">
      <c r="A1333" s="17" t="inlineStr">
        <is>
          <t>TR-1332</t>
        </is>
      </c>
      <c r="B1333" s="17" t="inlineStr">
        <is>
          <t>9612</t>
        </is>
      </c>
      <c r="C1333" s="18" t="inlineStr">
        <is>
          <t>Refuse Sorters</t>
        </is>
      </c>
      <c r="D1333" s="17" t="inlineStr">
        <is>
          <t>1349</t>
        </is>
      </c>
      <c r="E1333" s="18" t="inlineStr">
        <is>
          <t>Professional Services Managers Not Elsewhere Classified</t>
        </is>
      </c>
      <c r="F1333" s="18" t="inlineStr">
        <is>
          <t>탄소중립 / 산업안전 / ESG</t>
        </is>
      </c>
      <c r="G1333" s="17" t="inlineStr">
        <is>
          <t>vertical_promotion</t>
        </is>
      </c>
      <c r="H1333" s="18" t="inlineStr">
        <is>
          <t>조직 관리 및 리더십, 예산/손익(P&amp;L) 관리, 전사 전략 수립</t>
        </is>
      </c>
      <c r="I1333" s="18" t="inlineStr">
        <is>
          <t>MBA 또는 경영학 석사, 글로벌 비즈니스 협상력</t>
        </is>
      </c>
      <c r="J1333" s="18" t="inlineStr">
        <is>
          <t>팀장/관리직 경력 3년 이상 (총 경력 7~10년+)</t>
        </is>
      </c>
      <c r="K1333" s="17" t="inlineStr">
        <is>
          <t>★★★★☆</t>
        </is>
      </c>
      <c r="L1333" s="21" t="inlineStr">
        <is>
          <t>+35.0%</t>
        </is>
      </c>
    </row>
    <row r="1334">
      <c r="A1334" s="15" t="inlineStr">
        <is>
          <t>TR-1333</t>
        </is>
      </c>
      <c r="B1334" s="15" t="inlineStr">
        <is>
          <t>9613</t>
        </is>
      </c>
      <c r="C1334" s="16" t="inlineStr">
        <is>
          <t>Sweepers and Related Labourers</t>
        </is>
      </c>
      <c r="D1334" s="15" t="inlineStr">
        <is>
          <t>1349</t>
        </is>
      </c>
      <c r="E1334" s="16" t="inlineStr">
        <is>
          <t>Professional Services Managers Not Elsewhere Classified</t>
        </is>
      </c>
      <c r="F1334" s="16" t="inlineStr">
        <is>
          <t>탄소중립 / 산업안전 / ESG</t>
        </is>
      </c>
      <c r="G1334" s="15" t="inlineStr">
        <is>
          <t>vertical_promotion</t>
        </is>
      </c>
      <c r="H1334" s="16" t="inlineStr">
        <is>
          <t>조직 관리 및 리더십, 예산/손익(P&amp;L) 관리, 전사 전략 수립</t>
        </is>
      </c>
      <c r="I1334" s="16" t="inlineStr">
        <is>
          <t>MBA 또는 경영학 석사, 글로벌 비즈니스 협상력</t>
        </is>
      </c>
      <c r="J1334" s="16" t="inlineStr">
        <is>
          <t>팀장/관리직 경력 3년 이상 (총 경력 7~10년+)</t>
        </is>
      </c>
      <c r="K1334" s="15" t="inlineStr">
        <is>
          <t>★★★★☆</t>
        </is>
      </c>
      <c r="L1334" s="20" t="inlineStr">
        <is>
          <t>+35.0%</t>
        </is>
      </c>
    </row>
    <row r="1335">
      <c r="A1335" s="17" t="inlineStr">
        <is>
          <t>TR-1334</t>
        </is>
      </c>
      <c r="B1335" s="17" t="inlineStr">
        <is>
          <t>9621</t>
        </is>
      </c>
      <c r="C1335" s="18" t="inlineStr">
        <is>
          <t>Messengers, Package Deliverers and Luggage Porters</t>
        </is>
      </c>
      <c r="D1335" s="17" t="inlineStr">
        <is>
          <t>1349</t>
        </is>
      </c>
      <c r="E1335" s="18" t="inlineStr">
        <is>
          <t>Professional Services Managers Not Elsewhere Classified</t>
        </is>
      </c>
      <c r="F1335" s="18" t="inlineStr">
        <is>
          <t>탄소중립 / 산업안전 / ESG</t>
        </is>
      </c>
      <c r="G1335" s="17" t="inlineStr">
        <is>
          <t>vertical_promotion</t>
        </is>
      </c>
      <c r="H1335" s="18" t="inlineStr">
        <is>
          <t>조직 관리 및 리더십, 예산/손익(P&amp;L) 관리, 전사 전략 수립</t>
        </is>
      </c>
      <c r="I1335" s="18" t="inlineStr">
        <is>
          <t>MBA 또는 경영학 석사, 글로벌 비즈니스 협상력</t>
        </is>
      </c>
      <c r="J1335" s="18" t="inlineStr">
        <is>
          <t>팀장/관리직 경력 3년 이상 (총 경력 7~10년+)</t>
        </is>
      </c>
      <c r="K1335" s="17" t="inlineStr">
        <is>
          <t>★★★★☆</t>
        </is>
      </c>
      <c r="L1335" s="21" t="inlineStr">
        <is>
          <t>+35.0%</t>
        </is>
      </c>
    </row>
    <row r="1336">
      <c r="A1336" s="15" t="inlineStr">
        <is>
          <t>TR-1335</t>
        </is>
      </c>
      <c r="B1336" s="15" t="inlineStr">
        <is>
          <t>9622</t>
        </is>
      </c>
      <c r="C1336" s="16" t="inlineStr">
        <is>
          <t>Odd Job Persons</t>
        </is>
      </c>
      <c r="D1336" s="15" t="inlineStr">
        <is>
          <t>1349</t>
        </is>
      </c>
      <c r="E1336" s="16" t="inlineStr">
        <is>
          <t>Professional Services Managers Not Elsewhere Classified</t>
        </is>
      </c>
      <c r="F1336" s="16" t="inlineStr">
        <is>
          <t>탄소중립 / 산업안전 / ESG</t>
        </is>
      </c>
      <c r="G1336" s="15" t="inlineStr">
        <is>
          <t>vertical_promotion</t>
        </is>
      </c>
      <c r="H1336" s="16" t="inlineStr">
        <is>
          <t>조직 관리 및 리더십, 예산/손익(P&amp;L) 관리, 전사 전략 수립</t>
        </is>
      </c>
      <c r="I1336" s="16" t="inlineStr">
        <is>
          <t>MBA 또는 경영학 석사, 글로벌 비즈니스 협상력</t>
        </is>
      </c>
      <c r="J1336" s="16" t="inlineStr">
        <is>
          <t>팀장/관리직 경력 3년 이상 (총 경력 7~10년+)</t>
        </is>
      </c>
      <c r="K1336" s="15" t="inlineStr">
        <is>
          <t>★★★★☆</t>
        </is>
      </c>
      <c r="L1336" s="20" t="inlineStr">
        <is>
          <t>+35.0%</t>
        </is>
      </c>
    </row>
    <row r="1337">
      <c r="A1337" s="17" t="inlineStr">
        <is>
          <t>TR-1336</t>
        </is>
      </c>
      <c r="B1337" s="17" t="inlineStr">
        <is>
          <t>9623</t>
        </is>
      </c>
      <c r="C1337" s="18" t="inlineStr">
        <is>
          <t>Meter Readers and Vending-machine Collectors</t>
        </is>
      </c>
      <c r="D1337" s="17" t="inlineStr">
        <is>
          <t>1349</t>
        </is>
      </c>
      <c r="E1337" s="18" t="inlineStr">
        <is>
          <t>Professional Services Managers Not Elsewhere Classified</t>
        </is>
      </c>
      <c r="F1337" s="18" t="inlineStr">
        <is>
          <t>탄소중립 / 산업안전 / ESG</t>
        </is>
      </c>
      <c r="G1337" s="17" t="inlineStr">
        <is>
          <t>vertical_promotion</t>
        </is>
      </c>
      <c r="H1337" s="18" t="inlineStr">
        <is>
          <t>조직 관리 및 리더십, 예산/손익(P&amp;L) 관리, 전사 전략 수립</t>
        </is>
      </c>
      <c r="I1337" s="18" t="inlineStr">
        <is>
          <t>MBA 또는 경영학 석사, 글로벌 비즈니스 협상력</t>
        </is>
      </c>
      <c r="J1337" s="18" t="inlineStr">
        <is>
          <t>팀장/관리직 경력 3년 이상 (총 경력 7~10년+)</t>
        </is>
      </c>
      <c r="K1337" s="17" t="inlineStr">
        <is>
          <t>★★★★☆</t>
        </is>
      </c>
      <c r="L1337" s="21" t="inlineStr">
        <is>
          <t>+35.0%</t>
        </is>
      </c>
    </row>
    <row r="1338">
      <c r="A1338" s="15" t="inlineStr">
        <is>
          <t>TR-1337</t>
        </is>
      </c>
      <c r="B1338" s="15" t="inlineStr">
        <is>
          <t>9624</t>
        </is>
      </c>
      <c r="C1338" s="16" t="inlineStr">
        <is>
          <t>Water and Firewood Collectors</t>
        </is>
      </c>
      <c r="D1338" s="15" t="inlineStr">
        <is>
          <t>1349</t>
        </is>
      </c>
      <c r="E1338" s="16" t="inlineStr">
        <is>
          <t>Professional Services Managers Not Elsewhere Classified</t>
        </is>
      </c>
      <c r="F1338" s="16" t="inlineStr">
        <is>
          <t>탄소중립 / 산업안전 / ESG</t>
        </is>
      </c>
      <c r="G1338" s="15" t="inlineStr">
        <is>
          <t>vertical_promotion</t>
        </is>
      </c>
      <c r="H1338" s="16" t="inlineStr">
        <is>
          <t>조직 관리 및 리더십, 예산/손익(P&amp;L) 관리, 전사 전략 수립</t>
        </is>
      </c>
      <c r="I1338" s="16" t="inlineStr">
        <is>
          <t>MBA 또는 경영학 석사, 글로벌 비즈니스 협상력</t>
        </is>
      </c>
      <c r="J1338" s="16" t="inlineStr">
        <is>
          <t>팀장/관리직 경력 3년 이상 (총 경력 7~10년+)</t>
        </is>
      </c>
      <c r="K1338" s="15" t="inlineStr">
        <is>
          <t>★★★★☆</t>
        </is>
      </c>
      <c r="L1338" s="20" t="inlineStr">
        <is>
          <t>+35.0%</t>
        </is>
      </c>
    </row>
    <row r="1339">
      <c r="A1339" s="17" t="inlineStr">
        <is>
          <t>TR-1338</t>
        </is>
      </c>
      <c r="B1339" s="17" t="inlineStr">
        <is>
          <t>9629</t>
        </is>
      </c>
      <c r="C1339" s="18" t="inlineStr">
        <is>
          <t>Elementary Workers Not Elsewhere Classified</t>
        </is>
      </c>
      <c r="D1339" s="17" t="inlineStr">
        <is>
          <t>1349</t>
        </is>
      </c>
      <c r="E1339" s="18" t="inlineStr">
        <is>
          <t>Professional Services Managers Not Elsewhere Classified</t>
        </is>
      </c>
      <c r="F1339" s="18" t="inlineStr">
        <is>
          <t>탄소중립 / 산업안전 / ESG</t>
        </is>
      </c>
      <c r="G1339" s="17" t="inlineStr">
        <is>
          <t>vertical_promotion</t>
        </is>
      </c>
      <c r="H1339" s="18" t="inlineStr">
        <is>
          <t>조직 관리 및 리더십, 예산/손익(P&amp;L) 관리, 전사 전략 수립</t>
        </is>
      </c>
      <c r="I1339" s="18" t="inlineStr">
        <is>
          <t>MBA 또는 경영학 석사, 글로벌 비즈니스 협상력</t>
        </is>
      </c>
      <c r="J1339" s="18" t="inlineStr">
        <is>
          <t>팀장/관리직 경력 3년 이상 (총 경력 7~10년+)</t>
        </is>
      </c>
      <c r="K1339" s="17" t="inlineStr">
        <is>
          <t>★★★★☆</t>
        </is>
      </c>
      <c r="L1339" s="21" t="inlineStr">
        <is>
          <t>+35.0%</t>
        </is>
      </c>
    </row>
    <row r="1340">
      <c r="A1340" s="15" t="inlineStr">
        <is>
          <t>TR-1339</t>
        </is>
      </c>
      <c r="B1340" s="15" t="inlineStr">
        <is>
          <t>0110</t>
        </is>
      </c>
      <c r="C1340" s="16" t="inlineStr">
        <is>
          <t>Commissioned Armed Forces Officers</t>
        </is>
      </c>
      <c r="D1340" s="15" t="inlineStr">
        <is>
          <t>0110</t>
        </is>
      </c>
      <c r="E1340" s="16" t="inlineStr">
        <is>
          <t>Commissioned Armed Forces Officers</t>
        </is>
      </c>
      <c r="F1340" s="16" t="inlineStr">
        <is>
          <t>법률 / 지식재산권 / 변리</t>
        </is>
      </c>
      <c r="G1340" s="15" t="inlineStr">
        <is>
          <t>vertical_promotion</t>
        </is>
      </c>
      <c r="H1340" s="16" t="inlineStr">
        <is>
          <t>조직 관리 및 리더십, 예산/손익(P&amp;L) 관리, 전사 전략 수립</t>
        </is>
      </c>
      <c r="I1340" s="16" t="inlineStr">
        <is>
          <t>MBA 또는 경영학 석사, 글로벌 비즈니스 협상력</t>
        </is>
      </c>
      <c r="J1340" s="16" t="inlineStr">
        <is>
          <t>팀장/관리직 경력 3년 이상 (총 경력 7~10년+)</t>
        </is>
      </c>
      <c r="K1340" s="15" t="inlineStr">
        <is>
          <t>★★★★☆</t>
        </is>
      </c>
      <c r="L1340" s="20" t="inlineStr">
        <is>
          <t>+35.0%</t>
        </is>
      </c>
    </row>
    <row r="1341">
      <c r="A1341" s="17" t="inlineStr">
        <is>
          <t>TR-1340</t>
        </is>
      </c>
      <c r="B1341" s="17" t="inlineStr">
        <is>
          <t>0210</t>
        </is>
      </c>
      <c r="C1341" s="18" t="inlineStr">
        <is>
          <t>Non-commissioned Armed Forces Officers</t>
        </is>
      </c>
      <c r="D1341" s="17" t="inlineStr">
        <is>
          <t>0110</t>
        </is>
      </c>
      <c r="E1341" s="18" t="inlineStr">
        <is>
          <t>Commissioned Armed Forces Officers</t>
        </is>
      </c>
      <c r="F1341" s="18" t="inlineStr">
        <is>
          <t>법률 / 지식재산권 / 변리</t>
        </is>
      </c>
      <c r="G1341" s="17" t="inlineStr">
        <is>
          <t>vertical_promotion</t>
        </is>
      </c>
      <c r="H1341" s="18" t="inlineStr">
        <is>
          <t>조직 관리 및 리더십, 예산/손익(P&amp;L) 관리, 전사 전략 수립</t>
        </is>
      </c>
      <c r="I1341" s="18" t="inlineStr">
        <is>
          <t>MBA 또는 경영학 석사, 글로벌 비즈니스 협상력</t>
        </is>
      </c>
      <c r="J1341" s="18" t="inlineStr">
        <is>
          <t>팀장/관리직 경력 3년 이상 (총 경력 7~10년+)</t>
        </is>
      </c>
      <c r="K1341" s="17" t="inlineStr">
        <is>
          <t>★★★★☆</t>
        </is>
      </c>
      <c r="L1341" s="21" t="inlineStr">
        <is>
          <t>+35.0%</t>
        </is>
      </c>
    </row>
    <row r="1342">
      <c r="A1342" s="15" t="inlineStr">
        <is>
          <t>TR-1341</t>
        </is>
      </c>
      <c r="B1342" s="15" t="inlineStr">
        <is>
          <t>0310</t>
        </is>
      </c>
      <c r="C1342" s="16" t="inlineStr">
        <is>
          <t>Armed Forces Occupations, Other Ranks</t>
        </is>
      </c>
      <c r="D1342" s="15" t="inlineStr">
        <is>
          <t>0110</t>
        </is>
      </c>
      <c r="E1342" s="16" t="inlineStr">
        <is>
          <t>Commissioned Armed Forces Officers</t>
        </is>
      </c>
      <c r="F1342" s="16" t="inlineStr">
        <is>
          <t>법률 / 지식재산권 / 변리</t>
        </is>
      </c>
      <c r="G1342" s="15" t="inlineStr">
        <is>
          <t>vertical_promotion</t>
        </is>
      </c>
      <c r="H1342" s="16" t="inlineStr">
        <is>
          <t>조직 관리 및 리더십, 예산/손익(P&amp;L) 관리, 전사 전략 수립</t>
        </is>
      </c>
      <c r="I1342" s="16" t="inlineStr">
        <is>
          <t>MBA 또는 경영학 석사, 글로벌 비즈니스 협상력</t>
        </is>
      </c>
      <c r="J1342" s="16" t="inlineStr">
        <is>
          <t>팀장/관리직 경력 3년 이상 (총 경력 7~10년+)</t>
        </is>
      </c>
      <c r="K1342" s="15" t="inlineStr">
        <is>
          <t>★★★★☆</t>
        </is>
      </c>
      <c r="L1342" s="20" t="inlineStr">
        <is>
          <t>+35.0%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7"/>
  <sheetViews>
    <sheetView showGridLines="1" workbookViewId="0">
      <selection activeCell="A1" sqref="A1"/>
    </sheetView>
  </sheetViews>
  <sheetFormatPr baseColWidth="8" defaultRowHeight="15"/>
  <cols>
    <col width="29" customWidth="1" min="1" max="1"/>
    <col width="20" customWidth="1" min="2" max="2"/>
    <col width="12" customWidth="1" min="3" max="3"/>
    <col width="45" customWidth="1" min="4" max="4"/>
    <col width="19" customWidth="1" min="5" max="5"/>
    <col width="24" customWidth="1" min="6" max="6"/>
    <col width="22" customWidth="1" min="7" max="7"/>
    <col width="39" customWidth="1" min="8" max="8"/>
  </cols>
  <sheetData>
    <row r="1">
      <c r="A1" s="19" t="inlineStr">
        <is>
          <t>Domain</t>
        </is>
      </c>
      <c r="B1" s="19" t="inlineStr">
        <is>
          <t>Value_Chain_Stage</t>
        </is>
      </c>
      <c r="C1" s="19" t="inlineStr">
        <is>
          <t>ISCO_Code</t>
        </is>
      </c>
      <c r="D1" s="19" t="inlineStr">
        <is>
          <t>Role_Title</t>
        </is>
      </c>
      <c r="E1" s="19" t="inlineStr">
        <is>
          <t>Career_Level</t>
        </is>
      </c>
      <c r="F1" s="19" t="inlineStr">
        <is>
          <t>Standard_HC_Share_Pct</t>
        </is>
      </c>
      <c r="G1" s="19" t="inlineStr">
        <is>
          <t>Peer_Staffing_Index</t>
        </is>
      </c>
      <c r="H1" s="19" t="inlineStr">
        <is>
          <t>Org_Structure_Guideline</t>
        </is>
      </c>
    </row>
    <row r="2">
      <c r="A2" s="16" t="inlineStr">
        <is>
          <t>법률 / 지식재산권 / 변리</t>
        </is>
      </c>
      <c r="B2" s="15" t="inlineStr">
        <is>
          <t>OPS</t>
        </is>
      </c>
      <c r="C2" s="15" t="inlineStr">
        <is>
          <t>0110</t>
        </is>
      </c>
      <c r="D2" s="16" t="inlineStr">
        <is>
          <t>Commissioned Armed Forces Officers</t>
        </is>
      </c>
      <c r="E2" s="15" t="inlineStr">
        <is>
          <t>Junior (1~3년)</t>
        </is>
      </c>
      <c r="F2" s="20" t="inlineStr">
        <is>
          <t>4.2%</t>
        </is>
      </c>
      <c r="G2" s="15" t="inlineStr">
        <is>
          <t>0.95 (표준)</t>
        </is>
      </c>
      <c r="H2" s="16" t="inlineStr">
        <is>
          <t>팀 내 OPS 단계 핵심 인력. 스쿼드당 1~2명 필수.</t>
        </is>
      </c>
    </row>
    <row r="3">
      <c r="A3" s="18" t="inlineStr">
        <is>
          <t>법률 / 지식재산권 / 변리</t>
        </is>
      </c>
      <c r="B3" s="17" t="inlineStr">
        <is>
          <t>OPS</t>
        </is>
      </c>
      <c r="C3" s="17" t="inlineStr">
        <is>
          <t>0210</t>
        </is>
      </c>
      <c r="D3" s="18" t="inlineStr">
        <is>
          <t>Non-commissioned Armed Forces Officers</t>
        </is>
      </c>
      <c r="E3" s="17" t="inlineStr">
        <is>
          <t>Junior (1~3년)</t>
        </is>
      </c>
      <c r="F3" s="21" t="inlineStr">
        <is>
          <t>4.2%</t>
        </is>
      </c>
      <c r="G3" s="17" t="inlineStr">
        <is>
          <t>0.95 (표준)</t>
        </is>
      </c>
      <c r="H3" s="18" t="inlineStr">
        <is>
          <t>팀 내 OPS 단계 핵심 인력. 스쿼드당 1~2명 필수.</t>
        </is>
      </c>
    </row>
    <row r="4">
      <c r="A4" s="16" t="inlineStr">
        <is>
          <t>법률 / 지식재산권 / 변리</t>
        </is>
      </c>
      <c r="B4" s="15" t="inlineStr">
        <is>
          <t>OPS</t>
        </is>
      </c>
      <c r="C4" s="15" t="inlineStr">
        <is>
          <t>0310</t>
        </is>
      </c>
      <c r="D4" s="16" t="inlineStr">
        <is>
          <t>Armed Forces Occupations, Other Ranks</t>
        </is>
      </c>
      <c r="E4" s="15" t="inlineStr">
        <is>
          <t>Junior (1~3년)</t>
        </is>
      </c>
      <c r="F4" s="20" t="inlineStr">
        <is>
          <t>4.2%</t>
        </is>
      </c>
      <c r="G4" s="15" t="inlineStr">
        <is>
          <t>0.95 (표준)</t>
        </is>
      </c>
      <c r="H4" s="16" t="inlineStr">
        <is>
          <t>팀 내 OPS 단계 핵심 인력. 스쿼드당 1~2명 필수.</t>
        </is>
      </c>
    </row>
    <row r="5">
      <c r="A5" s="18" t="inlineStr">
        <is>
          <t>경영전략 / 인사 / 사업개발</t>
        </is>
      </c>
      <c r="B5" s="17" t="inlineStr">
        <is>
          <t>GTM</t>
        </is>
      </c>
      <c r="C5" s="17" t="inlineStr">
        <is>
          <t>1111</t>
        </is>
      </c>
      <c r="D5" s="18" t="inlineStr">
        <is>
          <t>Legislators</t>
        </is>
      </c>
      <c r="E5" s="17" t="inlineStr">
        <is>
          <t>Lead (10년+)</t>
        </is>
      </c>
      <c r="F5" s="21" t="inlineStr">
        <is>
          <t>4.2%</t>
        </is>
      </c>
      <c r="G5" s="17" t="inlineStr">
        <is>
          <t>1.00 (표준)</t>
        </is>
      </c>
      <c r="H5" s="18" t="inlineStr">
        <is>
          <t>디렉터/테크 리드 역할. 의사결정 및 전사 로드맵 거버넌스 전담.</t>
        </is>
      </c>
    </row>
    <row r="6">
      <c r="A6" s="16" t="inlineStr">
        <is>
          <t>경영전략 / 인사 / 사업개발</t>
        </is>
      </c>
      <c r="B6" s="15" t="inlineStr">
        <is>
          <t>GTM</t>
        </is>
      </c>
      <c r="C6" s="15" t="inlineStr">
        <is>
          <t>1112</t>
        </is>
      </c>
      <c r="D6" s="16" t="inlineStr">
        <is>
          <t>Senior Government Officials</t>
        </is>
      </c>
      <c r="E6" s="15" t="inlineStr">
        <is>
          <t>Lead (10년+)</t>
        </is>
      </c>
      <c r="F6" s="20" t="inlineStr">
        <is>
          <t>4.2%</t>
        </is>
      </c>
      <c r="G6" s="15" t="inlineStr">
        <is>
          <t>1.05 (표준)</t>
        </is>
      </c>
      <c r="H6" s="16" t="inlineStr">
        <is>
          <t>디렉터/테크 리드 역할. 의사결정 및 전사 로드맵 거버넌스 전담.</t>
        </is>
      </c>
    </row>
    <row r="7">
      <c r="A7" s="18" t="inlineStr">
        <is>
          <t>경영전략 / 인사 / 사업개발</t>
        </is>
      </c>
      <c r="B7" s="17" t="inlineStr">
        <is>
          <t>GTM</t>
        </is>
      </c>
      <c r="C7" s="17" t="inlineStr">
        <is>
          <t>1113</t>
        </is>
      </c>
      <c r="D7" s="18" t="inlineStr">
        <is>
          <t>Traditional Chiefs and Heads of Villages</t>
        </is>
      </c>
      <c r="E7" s="17" t="inlineStr">
        <is>
          <t>Lead (10년+)</t>
        </is>
      </c>
      <c r="F7" s="21" t="inlineStr">
        <is>
          <t>4.2%</t>
        </is>
      </c>
      <c r="G7" s="17" t="inlineStr">
        <is>
          <t>1.10 (표준)</t>
        </is>
      </c>
      <c r="H7" s="18" t="inlineStr">
        <is>
          <t>디렉터/테크 리드 역할. 의사결정 및 전사 로드맵 거버넌스 전담.</t>
        </is>
      </c>
    </row>
    <row r="8">
      <c r="A8" s="16" t="inlineStr">
        <is>
          <t>경영전략 / 인사 / 사업개발</t>
        </is>
      </c>
      <c r="B8" s="15" t="inlineStr">
        <is>
          <t>GTM</t>
        </is>
      </c>
      <c r="C8" s="15" t="inlineStr">
        <is>
          <t>1114</t>
        </is>
      </c>
      <c r="D8" s="16" t="inlineStr">
        <is>
          <t>Senior Officials of Special-interest Organizations</t>
        </is>
      </c>
      <c r="E8" s="15" t="inlineStr">
        <is>
          <t>Lead (10년+)</t>
        </is>
      </c>
      <c r="F8" s="20" t="inlineStr">
        <is>
          <t>4.2%</t>
        </is>
      </c>
      <c r="G8" s="15" t="inlineStr">
        <is>
          <t>1.15 (과대 편중)</t>
        </is>
      </c>
      <c r="H8" s="16" t="inlineStr">
        <is>
          <t>디렉터/테크 리드 역할. 의사결정 및 전사 로드맵 거버넌스 전담.</t>
        </is>
      </c>
    </row>
    <row r="9">
      <c r="A9" s="18" t="inlineStr">
        <is>
          <t>경영전략 / 인사 / 사업개발</t>
        </is>
      </c>
      <c r="B9" s="17" t="inlineStr">
        <is>
          <t>CORP</t>
        </is>
      </c>
      <c r="C9" s="17" t="inlineStr">
        <is>
          <t>1120</t>
        </is>
      </c>
      <c r="D9" s="18" t="inlineStr">
        <is>
          <t>Managing Directors and Chief Executives</t>
        </is>
      </c>
      <c r="E9" s="17" t="inlineStr">
        <is>
          <t>Director (경영/임원)</t>
        </is>
      </c>
      <c r="F9" s="21" t="inlineStr">
        <is>
          <t>4.2%</t>
        </is>
      </c>
      <c r="G9" s="17" t="inlineStr">
        <is>
          <t>0.95 (표준)</t>
        </is>
      </c>
      <c r="H9" s="18" t="inlineStr">
        <is>
          <t>디렉터/테크 리드 역할. 의사결정 및 전사 로드맵 거버넌스 전담.</t>
        </is>
      </c>
    </row>
    <row r="10">
      <c r="A10" s="16" t="inlineStr">
        <is>
          <t>경영전략 / 인사 / 사업개발</t>
        </is>
      </c>
      <c r="B10" s="15" t="inlineStr">
        <is>
          <t>CORP</t>
        </is>
      </c>
      <c r="C10" s="15" t="inlineStr">
        <is>
          <t>1211</t>
        </is>
      </c>
      <c r="D10" s="16" t="inlineStr">
        <is>
          <t>Finance Managers</t>
        </is>
      </c>
      <c r="E10" s="15" t="inlineStr">
        <is>
          <t>Lead (10년+)</t>
        </is>
      </c>
      <c r="F10" s="20" t="inlineStr">
        <is>
          <t>4.2%</t>
        </is>
      </c>
      <c r="G10" s="15" t="inlineStr">
        <is>
          <t>1.00 (표준)</t>
        </is>
      </c>
      <c r="H10" s="16" t="inlineStr">
        <is>
          <t>디렉터/테크 리드 역할. 의사결정 및 전사 로드맵 거버넌스 전담.</t>
        </is>
      </c>
    </row>
    <row r="11">
      <c r="A11" s="18" t="inlineStr">
        <is>
          <t>경영전략 / 인사 / 사업개발</t>
        </is>
      </c>
      <c r="B11" s="17" t="inlineStr">
        <is>
          <t>CORP</t>
        </is>
      </c>
      <c r="C11" s="17" t="inlineStr">
        <is>
          <t>1212</t>
        </is>
      </c>
      <c r="D11" s="18" t="inlineStr">
        <is>
          <t>Human Resource Managers</t>
        </is>
      </c>
      <c r="E11" s="17" t="inlineStr">
        <is>
          <t>Lead (10년+)</t>
        </is>
      </c>
      <c r="F11" s="21" t="inlineStr">
        <is>
          <t>4.2%</t>
        </is>
      </c>
      <c r="G11" s="17" t="inlineStr">
        <is>
          <t>1.05 (표준)</t>
        </is>
      </c>
      <c r="H11" s="18" t="inlineStr">
        <is>
          <t>디렉터/테크 리드 역할. 의사결정 및 전사 로드맵 거버넌스 전담.</t>
        </is>
      </c>
    </row>
    <row r="12">
      <c r="A12" s="16" t="inlineStr">
        <is>
          <t>경영전략 / 인사 / 사업개발</t>
        </is>
      </c>
      <c r="B12" s="15" t="inlineStr">
        <is>
          <t>CORP</t>
        </is>
      </c>
      <c r="C12" s="15" t="inlineStr">
        <is>
          <t>1213</t>
        </is>
      </c>
      <c r="D12" s="16" t="inlineStr">
        <is>
          <t>Policy and Planning Managers</t>
        </is>
      </c>
      <c r="E12" s="15" t="inlineStr">
        <is>
          <t>Lead (10년+)</t>
        </is>
      </c>
      <c r="F12" s="20" t="inlineStr">
        <is>
          <t>4.2%</t>
        </is>
      </c>
      <c r="G12" s="15" t="inlineStr">
        <is>
          <t>1.10 (표준)</t>
        </is>
      </c>
      <c r="H12" s="16" t="inlineStr">
        <is>
          <t>디렉터/테크 리드 역할. 의사결정 및 전사 로드맵 거버넌스 전담.</t>
        </is>
      </c>
    </row>
    <row r="13">
      <c r="A13" s="18" t="inlineStr">
        <is>
          <t>경영전략 / 인사 / 사업개발</t>
        </is>
      </c>
      <c r="B13" s="17" t="inlineStr">
        <is>
          <t>GTM</t>
        </is>
      </c>
      <c r="C13" s="17" t="inlineStr">
        <is>
          <t>1219</t>
        </is>
      </c>
      <c r="D13" s="18" t="inlineStr">
        <is>
          <t>Business Services and Administration Managers Not Elsewhere Classified</t>
        </is>
      </c>
      <c r="E13" s="17" t="inlineStr">
        <is>
          <t>Lead (10년+)</t>
        </is>
      </c>
      <c r="F13" s="21" t="inlineStr">
        <is>
          <t>4.2%</t>
        </is>
      </c>
      <c r="G13" s="17" t="inlineStr">
        <is>
          <t>1.15 (과대 편중)</t>
        </is>
      </c>
      <c r="H13" s="18" t="inlineStr">
        <is>
          <t>디렉터/테크 리드 역할. 의사결정 및 전사 로드맵 거버넌스 전담.</t>
        </is>
      </c>
    </row>
    <row r="14">
      <c r="A14" s="16" t="inlineStr">
        <is>
          <t>경영전략 / 인사 / 사업개발</t>
        </is>
      </c>
      <c r="B14" s="15" t="inlineStr">
        <is>
          <t>GTM</t>
        </is>
      </c>
      <c r="C14" s="15" t="inlineStr">
        <is>
          <t>1221</t>
        </is>
      </c>
      <c r="D14" s="16" t="inlineStr">
        <is>
          <t>Sales and Marketing Managers</t>
        </is>
      </c>
      <c r="E14" s="15" t="inlineStr">
        <is>
          <t>Lead (10년+)</t>
        </is>
      </c>
      <c r="F14" s="20" t="inlineStr">
        <is>
          <t>4.2%</t>
        </is>
      </c>
      <c r="G14" s="15" t="inlineStr">
        <is>
          <t>1.00 (표준)</t>
        </is>
      </c>
      <c r="H14" s="16" t="inlineStr">
        <is>
          <t>디렉터/테크 리드 역할. 의사결정 및 전사 로드맵 거버넌스 전담.</t>
        </is>
      </c>
    </row>
    <row r="15">
      <c r="A15" s="18" t="inlineStr">
        <is>
          <t>경영전략 / 인사 / 사업개발</t>
        </is>
      </c>
      <c r="B15" s="17" t="inlineStr">
        <is>
          <t>GTM</t>
        </is>
      </c>
      <c r="C15" s="17" t="inlineStr">
        <is>
          <t>1222</t>
        </is>
      </c>
      <c r="D15" s="18" t="inlineStr">
        <is>
          <t>Advertising and Public Relations Managers</t>
        </is>
      </c>
      <c r="E15" s="17" t="inlineStr">
        <is>
          <t>Lead (10년+)</t>
        </is>
      </c>
      <c r="F15" s="21" t="inlineStr">
        <is>
          <t>4.2%</t>
        </is>
      </c>
      <c r="G15" s="17" t="inlineStr">
        <is>
          <t>1.05 (표준)</t>
        </is>
      </c>
      <c r="H15" s="18" t="inlineStr">
        <is>
          <t>디렉터/테크 리드 역할. 의사결정 및 전사 로드맵 거버넌스 전담.</t>
        </is>
      </c>
    </row>
    <row r="16">
      <c r="A16" s="16" t="inlineStr">
        <is>
          <t>경영전략 / 인사 / 사업개발</t>
        </is>
      </c>
      <c r="B16" s="15" t="inlineStr">
        <is>
          <t>GTM</t>
        </is>
      </c>
      <c r="C16" s="15" t="inlineStr">
        <is>
          <t>1223</t>
        </is>
      </c>
      <c r="D16" s="16" t="inlineStr">
        <is>
          <t>Research and Development Managers</t>
        </is>
      </c>
      <c r="E16" s="15" t="inlineStr">
        <is>
          <t>Lead (10년+)</t>
        </is>
      </c>
      <c r="F16" s="20" t="inlineStr">
        <is>
          <t>4.2%</t>
        </is>
      </c>
      <c r="G16" s="15" t="inlineStr">
        <is>
          <t>1.10 (표준)</t>
        </is>
      </c>
      <c r="H16" s="16" t="inlineStr">
        <is>
          <t>디렉터/테크 리드 역할. 의사결정 및 전사 로드맵 거버넌스 전담.</t>
        </is>
      </c>
    </row>
    <row r="17">
      <c r="A17" s="18" t="inlineStr">
        <is>
          <t>모빌리티 / 자율주행 / 로보틱스</t>
        </is>
      </c>
      <c r="B17" s="17" t="inlineStr">
        <is>
          <t>GTM</t>
        </is>
      </c>
      <c r="C17" s="17" t="inlineStr">
        <is>
          <t>1311</t>
        </is>
      </c>
      <c r="D17" s="18" t="inlineStr">
        <is>
          <t>Agricultural and Forestry Production Managers</t>
        </is>
      </c>
      <c r="E17" s="17" t="inlineStr">
        <is>
          <t>Lead (10년+)</t>
        </is>
      </c>
      <c r="F17" s="21" t="inlineStr">
        <is>
          <t>4.2%</t>
        </is>
      </c>
      <c r="G17" s="17" t="inlineStr">
        <is>
          <t>1.00 (표준)</t>
        </is>
      </c>
      <c r="H17" s="18" t="inlineStr">
        <is>
          <t>디렉터/테크 리드 역할. 의사결정 및 전사 로드맵 거버넌스 전담.</t>
        </is>
      </c>
    </row>
    <row r="18">
      <c r="A18" s="16" t="inlineStr">
        <is>
          <t>모빌리티 / 자율주행 / 로보틱스</t>
        </is>
      </c>
      <c r="B18" s="15" t="inlineStr">
        <is>
          <t>GTM</t>
        </is>
      </c>
      <c r="C18" s="15" t="inlineStr">
        <is>
          <t>1312</t>
        </is>
      </c>
      <c r="D18" s="16" t="inlineStr">
        <is>
          <t>Aquaculture and Fisheries Production Managers</t>
        </is>
      </c>
      <c r="E18" s="15" t="inlineStr">
        <is>
          <t>Lead (10년+)</t>
        </is>
      </c>
      <c r="F18" s="20" t="inlineStr">
        <is>
          <t>4.2%</t>
        </is>
      </c>
      <c r="G18" s="15" t="inlineStr">
        <is>
          <t>1.05 (표준)</t>
        </is>
      </c>
      <c r="H18" s="16" t="inlineStr">
        <is>
          <t>디렉터/테크 리드 역할. 의사결정 및 전사 로드맵 거버넌스 전담.</t>
        </is>
      </c>
    </row>
    <row r="19">
      <c r="A19" s="18" t="inlineStr">
        <is>
          <t>모빌리티 / 자율주행 / 로보틱스</t>
        </is>
      </c>
      <c r="B19" s="17" t="inlineStr">
        <is>
          <t>GTM</t>
        </is>
      </c>
      <c r="C19" s="17" t="inlineStr">
        <is>
          <t>1321</t>
        </is>
      </c>
      <c r="D19" s="18" t="inlineStr">
        <is>
          <t>Manufacturing Managers</t>
        </is>
      </c>
      <c r="E19" s="17" t="inlineStr">
        <is>
          <t>Lead (10년+)</t>
        </is>
      </c>
      <c r="F19" s="21" t="inlineStr">
        <is>
          <t>4.2%</t>
        </is>
      </c>
      <c r="G19" s="17" t="inlineStr">
        <is>
          <t>1.00 (표준)</t>
        </is>
      </c>
      <c r="H19" s="18" t="inlineStr">
        <is>
          <t>디렉터/테크 리드 역할. 의사결정 및 전사 로드맵 거버넌스 전담.</t>
        </is>
      </c>
    </row>
    <row r="20">
      <c r="A20" s="16" t="inlineStr">
        <is>
          <t>모빌리티 / 자율주행 / 로보틱스</t>
        </is>
      </c>
      <c r="B20" s="15" t="inlineStr">
        <is>
          <t>GTM</t>
        </is>
      </c>
      <c r="C20" s="15" t="inlineStr">
        <is>
          <t>1322</t>
        </is>
      </c>
      <c r="D20" s="16" t="inlineStr">
        <is>
          <t>Mining Managers</t>
        </is>
      </c>
      <c r="E20" s="15" t="inlineStr">
        <is>
          <t>Lead (10년+)</t>
        </is>
      </c>
      <c r="F20" s="20" t="inlineStr">
        <is>
          <t>4.2%</t>
        </is>
      </c>
      <c r="G20" s="15" t="inlineStr">
        <is>
          <t>1.05 (표준)</t>
        </is>
      </c>
      <c r="H20" s="16" t="inlineStr">
        <is>
          <t>디렉터/테크 리드 역할. 의사결정 및 전사 로드맵 거버넌스 전담.</t>
        </is>
      </c>
    </row>
    <row r="21">
      <c r="A21" s="18" t="inlineStr">
        <is>
          <t>모빌리티 / 자율주행 / 로보틱스</t>
        </is>
      </c>
      <c r="B21" s="17" t="inlineStr">
        <is>
          <t>GTM</t>
        </is>
      </c>
      <c r="C21" s="17" t="inlineStr">
        <is>
          <t>1323</t>
        </is>
      </c>
      <c r="D21" s="18" t="inlineStr">
        <is>
          <t>Construction Managers</t>
        </is>
      </c>
      <c r="E21" s="17" t="inlineStr">
        <is>
          <t>Lead (10년+)</t>
        </is>
      </c>
      <c r="F21" s="21" t="inlineStr">
        <is>
          <t>4.2%</t>
        </is>
      </c>
      <c r="G21" s="17" t="inlineStr">
        <is>
          <t>1.10 (표준)</t>
        </is>
      </c>
      <c r="H21" s="18" t="inlineStr">
        <is>
          <t>디렉터/테크 리드 역할. 의사결정 및 전사 로드맵 거버넌스 전담.</t>
        </is>
      </c>
    </row>
    <row r="22">
      <c r="A22" s="16" t="inlineStr">
        <is>
          <t>모빌리티 / 자율주행 / 로보틱스</t>
        </is>
      </c>
      <c r="B22" s="15" t="inlineStr">
        <is>
          <t>GTM</t>
        </is>
      </c>
      <c r="C22" s="15" t="inlineStr">
        <is>
          <t>1324</t>
        </is>
      </c>
      <c r="D22" s="16" t="inlineStr">
        <is>
          <t>Supply, Distribution and Related Managers</t>
        </is>
      </c>
      <c r="E22" s="15" t="inlineStr">
        <is>
          <t>Lead (10년+)</t>
        </is>
      </c>
      <c r="F22" s="20" t="inlineStr">
        <is>
          <t>4.2%</t>
        </is>
      </c>
      <c r="G22" s="15" t="inlineStr">
        <is>
          <t>1.15 (과대 편중)</t>
        </is>
      </c>
      <c r="H22" s="16" t="inlineStr">
        <is>
          <t>디렉터/테크 리드 역할. 의사결정 및 전사 로드맵 거버넌스 전담.</t>
        </is>
      </c>
    </row>
    <row r="23">
      <c r="A23" s="18" t="inlineStr">
        <is>
          <t>모빌리티 / 자율주행 / 로보틱스</t>
        </is>
      </c>
      <c r="B23" s="17" t="inlineStr">
        <is>
          <t>GTM</t>
        </is>
      </c>
      <c r="C23" s="17" t="inlineStr">
        <is>
          <t>1330</t>
        </is>
      </c>
      <c r="D23" s="18" t="inlineStr">
        <is>
          <t>Information and Communications Technology Service Managers</t>
        </is>
      </c>
      <c r="E23" s="17" t="inlineStr">
        <is>
          <t>Lead (10년+)</t>
        </is>
      </c>
      <c r="F23" s="21" t="inlineStr">
        <is>
          <t>4.2%</t>
        </is>
      </c>
      <c r="G23" s="17" t="inlineStr">
        <is>
          <t>0.95 (표준)</t>
        </is>
      </c>
      <c r="H23" s="18" t="inlineStr">
        <is>
          <t>디렉터/테크 리드 역할. 의사결정 및 전사 로드맵 거버넌스 전담.</t>
        </is>
      </c>
    </row>
    <row r="24">
      <c r="A24" s="16" t="inlineStr">
        <is>
          <t>모빌리티 / 자율주행 / 로보틱스</t>
        </is>
      </c>
      <c r="B24" s="15" t="inlineStr">
        <is>
          <t>GTM</t>
        </is>
      </c>
      <c r="C24" s="15" t="inlineStr">
        <is>
          <t>1341</t>
        </is>
      </c>
      <c r="D24" s="16" t="inlineStr">
        <is>
          <t>Child Care Service Managers</t>
        </is>
      </c>
      <c r="E24" s="15" t="inlineStr">
        <is>
          <t>Lead (10년+)</t>
        </is>
      </c>
      <c r="F24" s="20" t="inlineStr">
        <is>
          <t>4.2%</t>
        </is>
      </c>
      <c r="G24" s="15" t="inlineStr">
        <is>
          <t>1.00 (표준)</t>
        </is>
      </c>
      <c r="H24" s="16" t="inlineStr">
        <is>
          <t>디렉터/테크 리드 역할. 의사결정 및 전사 로드맵 거버넌스 전담.</t>
        </is>
      </c>
    </row>
    <row r="25">
      <c r="A25" s="18" t="inlineStr">
        <is>
          <t>모빌리티 / 자율주행 / 로보틱스</t>
        </is>
      </c>
      <c r="B25" s="17" t="inlineStr">
        <is>
          <t>GTM</t>
        </is>
      </c>
      <c r="C25" s="17" t="inlineStr">
        <is>
          <t>1342</t>
        </is>
      </c>
      <c r="D25" s="18" t="inlineStr">
        <is>
          <t>Health Service Managers</t>
        </is>
      </c>
      <c r="E25" s="17" t="inlineStr">
        <is>
          <t>Lead (10년+)</t>
        </is>
      </c>
      <c r="F25" s="21" t="inlineStr">
        <is>
          <t>4.2%</t>
        </is>
      </c>
      <c r="G25" s="17" t="inlineStr">
        <is>
          <t>1.05 (표준)</t>
        </is>
      </c>
      <c r="H25" s="18" t="inlineStr">
        <is>
          <t>디렉터/테크 리드 역할. 의사결정 및 전사 로드맵 거버넌스 전담.</t>
        </is>
      </c>
    </row>
    <row r="26">
      <c r="A26" s="16" t="inlineStr">
        <is>
          <t>모빌리티 / 자율주행 / 로보틱스</t>
        </is>
      </c>
      <c r="B26" s="15" t="inlineStr">
        <is>
          <t>GTM</t>
        </is>
      </c>
      <c r="C26" s="15" t="inlineStr">
        <is>
          <t>1343</t>
        </is>
      </c>
      <c r="D26" s="16" t="inlineStr">
        <is>
          <t>Aged Care Service Managers</t>
        </is>
      </c>
      <c r="E26" s="15" t="inlineStr">
        <is>
          <t>Lead (10년+)</t>
        </is>
      </c>
      <c r="F26" s="20" t="inlineStr">
        <is>
          <t>4.2%</t>
        </is>
      </c>
      <c r="G26" s="15" t="inlineStr">
        <is>
          <t>1.10 (표준)</t>
        </is>
      </c>
      <c r="H26" s="16" t="inlineStr">
        <is>
          <t>디렉터/테크 리드 역할. 의사결정 및 전사 로드맵 거버넌스 전담.</t>
        </is>
      </c>
    </row>
    <row r="27">
      <c r="A27" s="18" t="inlineStr">
        <is>
          <t>모빌리티 / 자율주행 / 로보틱스</t>
        </is>
      </c>
      <c r="B27" s="17" t="inlineStr">
        <is>
          <t>GTM</t>
        </is>
      </c>
      <c r="C27" s="17" t="inlineStr">
        <is>
          <t>1344</t>
        </is>
      </c>
      <c r="D27" s="18" t="inlineStr">
        <is>
          <t>Social Welfare Managers</t>
        </is>
      </c>
      <c r="E27" s="17" t="inlineStr">
        <is>
          <t>Lead (10년+)</t>
        </is>
      </c>
      <c r="F27" s="21" t="inlineStr">
        <is>
          <t>4.2%</t>
        </is>
      </c>
      <c r="G27" s="17" t="inlineStr">
        <is>
          <t>1.15 (과대 편중)</t>
        </is>
      </c>
      <c r="H27" s="18" t="inlineStr">
        <is>
          <t>디렉터/테크 리드 역할. 의사결정 및 전사 로드맵 거버넌스 전담.</t>
        </is>
      </c>
    </row>
    <row r="28">
      <c r="A28" s="16" t="inlineStr">
        <is>
          <t>모빌리티 / 자율주행 / 로보틱스</t>
        </is>
      </c>
      <c r="B28" s="15" t="inlineStr">
        <is>
          <t>GTM</t>
        </is>
      </c>
      <c r="C28" s="15" t="inlineStr">
        <is>
          <t>1345</t>
        </is>
      </c>
      <c r="D28" s="16" t="inlineStr">
        <is>
          <t>Education Managers</t>
        </is>
      </c>
      <c r="E28" s="15" t="inlineStr">
        <is>
          <t>Lead (10년+)</t>
        </is>
      </c>
      <c r="F28" s="20" t="inlineStr">
        <is>
          <t>4.2%</t>
        </is>
      </c>
      <c r="G28" s="15" t="inlineStr">
        <is>
          <t>0.95 (표준)</t>
        </is>
      </c>
      <c r="H28" s="16" t="inlineStr">
        <is>
          <t>디렉터/테크 리드 역할. 의사결정 및 전사 로드맵 거버넌스 전담.</t>
        </is>
      </c>
    </row>
    <row r="29">
      <c r="A29" s="18" t="inlineStr">
        <is>
          <t>모빌리티 / 자율주행 / 로보틱스</t>
        </is>
      </c>
      <c r="B29" s="17" t="inlineStr">
        <is>
          <t>GTM</t>
        </is>
      </c>
      <c r="C29" s="17" t="inlineStr">
        <is>
          <t>1346</t>
        </is>
      </c>
      <c r="D29" s="18" t="inlineStr">
        <is>
          <t>Financial and Insurance Services Branch managers</t>
        </is>
      </c>
      <c r="E29" s="17" t="inlineStr">
        <is>
          <t>Lead (10년+)</t>
        </is>
      </c>
      <c r="F29" s="21" t="inlineStr">
        <is>
          <t>4.2%</t>
        </is>
      </c>
      <c r="G29" s="17" t="inlineStr">
        <is>
          <t>1.00 (표준)</t>
        </is>
      </c>
      <c r="H29" s="18" t="inlineStr">
        <is>
          <t>디렉터/테크 리드 역할. 의사결정 및 전사 로드맵 거버넌스 전담.</t>
        </is>
      </c>
    </row>
    <row r="30">
      <c r="A30" s="16" t="inlineStr">
        <is>
          <t>모빌리티 / 자율주행 / 로보틱스</t>
        </is>
      </c>
      <c r="B30" s="15" t="inlineStr">
        <is>
          <t>GTM</t>
        </is>
      </c>
      <c r="C30" s="15" t="inlineStr">
        <is>
          <t>1349</t>
        </is>
      </c>
      <c r="D30" s="16" t="inlineStr">
        <is>
          <t>Professional Services Managers Not Elsewhere Classified</t>
        </is>
      </c>
      <c r="E30" s="15" t="inlineStr">
        <is>
          <t>Lead (10년+)</t>
        </is>
      </c>
      <c r="F30" s="20" t="inlineStr">
        <is>
          <t>4.2%</t>
        </is>
      </c>
      <c r="G30" s="15" t="inlineStr">
        <is>
          <t>1.15 (과대 편중)</t>
        </is>
      </c>
      <c r="H30" s="16" t="inlineStr">
        <is>
          <t>디렉터/테크 리드 역할. 의사결정 및 전사 로드맵 거버넌스 전담.</t>
        </is>
      </c>
    </row>
    <row r="31">
      <c r="A31" s="18" t="inlineStr">
        <is>
          <t>B2B영업 / 마케팅 / GTM</t>
        </is>
      </c>
      <c r="B31" s="17" t="inlineStr">
        <is>
          <t>GTM</t>
        </is>
      </c>
      <c r="C31" s="17" t="inlineStr">
        <is>
          <t>1411</t>
        </is>
      </c>
      <c r="D31" s="18" t="inlineStr">
        <is>
          <t>Hotel Managers</t>
        </is>
      </c>
      <c r="E31" s="17" t="inlineStr">
        <is>
          <t>Lead (10년+)</t>
        </is>
      </c>
      <c r="F31" s="21" t="inlineStr">
        <is>
          <t>4.2%</t>
        </is>
      </c>
      <c r="G31" s="17" t="inlineStr">
        <is>
          <t>1.00 (표준)</t>
        </is>
      </c>
      <c r="H31" s="18" t="inlineStr">
        <is>
          <t>디렉터/테크 리드 역할. 의사결정 및 전사 로드맵 거버넌스 전담.</t>
        </is>
      </c>
    </row>
    <row r="32">
      <c r="A32" s="16" t="inlineStr">
        <is>
          <t>B2B영업 / 마케팅 / GTM</t>
        </is>
      </c>
      <c r="B32" s="15" t="inlineStr">
        <is>
          <t>GTM</t>
        </is>
      </c>
      <c r="C32" s="15" t="inlineStr">
        <is>
          <t>1412</t>
        </is>
      </c>
      <c r="D32" s="16" t="inlineStr">
        <is>
          <t>Restaurant Managers</t>
        </is>
      </c>
      <c r="E32" s="15" t="inlineStr">
        <is>
          <t>Lead (10년+)</t>
        </is>
      </c>
      <c r="F32" s="20" t="inlineStr">
        <is>
          <t>4.2%</t>
        </is>
      </c>
      <c r="G32" s="15" t="inlineStr">
        <is>
          <t>1.05 (표준)</t>
        </is>
      </c>
      <c r="H32" s="16" t="inlineStr">
        <is>
          <t>디렉터/테크 리드 역할. 의사결정 및 전사 로드맵 거버넌스 전담.</t>
        </is>
      </c>
    </row>
    <row r="33">
      <c r="A33" s="18" t="inlineStr">
        <is>
          <t>B2B영업 / 마케팅 / GTM</t>
        </is>
      </c>
      <c r="B33" s="17" t="inlineStr">
        <is>
          <t>GTM</t>
        </is>
      </c>
      <c r="C33" s="17" t="inlineStr">
        <is>
          <t>1420</t>
        </is>
      </c>
      <c r="D33" s="18" t="inlineStr">
        <is>
          <t>Retail and Wholesale Trade Managers</t>
        </is>
      </c>
      <c r="E33" s="17" t="inlineStr">
        <is>
          <t>Lead (10년+)</t>
        </is>
      </c>
      <c r="F33" s="21" t="inlineStr">
        <is>
          <t>4.2%</t>
        </is>
      </c>
      <c r="G33" s="17" t="inlineStr">
        <is>
          <t>0.95 (표준)</t>
        </is>
      </c>
      <c r="H33" s="18" t="inlineStr">
        <is>
          <t>디렉터/테크 리드 역할. 의사결정 및 전사 로드맵 거버넌스 전담.</t>
        </is>
      </c>
    </row>
    <row r="34">
      <c r="A34" s="16" t="inlineStr">
        <is>
          <t>B2B영업 / 마케팅 / GTM</t>
        </is>
      </c>
      <c r="B34" s="15" t="inlineStr">
        <is>
          <t>GTM</t>
        </is>
      </c>
      <c r="C34" s="15" t="inlineStr">
        <is>
          <t>1431</t>
        </is>
      </c>
      <c r="D34" s="16" t="inlineStr">
        <is>
          <t>Sports, Recreation and Cultural Centre Managers</t>
        </is>
      </c>
      <c r="E34" s="15" t="inlineStr">
        <is>
          <t>Lead (10년+)</t>
        </is>
      </c>
      <c r="F34" s="20" t="inlineStr">
        <is>
          <t>4.2%</t>
        </is>
      </c>
      <c r="G34" s="15" t="inlineStr">
        <is>
          <t>1.00 (표준)</t>
        </is>
      </c>
      <c r="H34" s="16" t="inlineStr">
        <is>
          <t>디렉터/테크 리드 역할. 의사결정 및 전사 로드맵 거버넌스 전담.</t>
        </is>
      </c>
    </row>
    <row r="35">
      <c r="A35" s="18" t="inlineStr">
        <is>
          <t>B2B영업 / 마케팅 / GTM</t>
        </is>
      </c>
      <c r="B35" s="17" t="inlineStr">
        <is>
          <t>GTM</t>
        </is>
      </c>
      <c r="C35" s="17" t="inlineStr">
        <is>
          <t>1439</t>
        </is>
      </c>
      <c r="D35" s="18" t="inlineStr">
        <is>
          <t>Services Managers Not Elsewhere Classified</t>
        </is>
      </c>
      <c r="E35" s="17" t="inlineStr">
        <is>
          <t>Lead (10년+)</t>
        </is>
      </c>
      <c r="F35" s="21" t="inlineStr">
        <is>
          <t>4.2%</t>
        </is>
      </c>
      <c r="G35" s="17" t="inlineStr">
        <is>
          <t>1.15 (과대 편중)</t>
        </is>
      </c>
      <c r="H35" s="18" t="inlineStr">
        <is>
          <t>디렉터/테크 리드 역할. 의사결정 및 전사 로드맵 거버넌스 전담.</t>
        </is>
      </c>
    </row>
    <row r="36">
      <c r="A36" s="16" t="inlineStr">
        <is>
          <t>반도체 / 전자회로 / 하드웨어</t>
        </is>
      </c>
      <c r="B36" s="15" t="inlineStr">
        <is>
          <t>RND</t>
        </is>
      </c>
      <c r="C36" s="15" t="inlineStr">
        <is>
          <t>2111</t>
        </is>
      </c>
      <c r="D36" s="16" t="inlineStr">
        <is>
          <t>Physicists and Astronomers</t>
        </is>
      </c>
      <c r="E36" s="15" t="inlineStr">
        <is>
          <t>Senior (7~10년)</t>
        </is>
      </c>
      <c r="F36" s="20" t="inlineStr">
        <is>
          <t>4.2%</t>
        </is>
      </c>
      <c r="G36" s="15" t="inlineStr">
        <is>
          <t>1.00 (표준)</t>
        </is>
      </c>
      <c r="H36" s="16" t="inlineStr">
        <is>
          <t>팀 내 RND 단계 핵심 인력. 스쿼드당 1~2명 필수.</t>
        </is>
      </c>
    </row>
    <row r="37">
      <c r="A37" s="18" t="inlineStr">
        <is>
          <t>반도체 / 전자회로 / 하드웨어</t>
        </is>
      </c>
      <c r="B37" s="17" t="inlineStr">
        <is>
          <t>RND</t>
        </is>
      </c>
      <c r="C37" s="17" t="inlineStr">
        <is>
          <t>2112</t>
        </is>
      </c>
      <c r="D37" s="18" t="inlineStr">
        <is>
          <t>Meteorologists</t>
        </is>
      </c>
      <c r="E37" s="17" t="inlineStr">
        <is>
          <t>Senior (7~10년)</t>
        </is>
      </c>
      <c r="F37" s="21" t="inlineStr">
        <is>
          <t>4.2%</t>
        </is>
      </c>
      <c r="G37" s="17" t="inlineStr">
        <is>
          <t>1.05 (표준)</t>
        </is>
      </c>
      <c r="H37" s="18" t="inlineStr">
        <is>
          <t>팀 내 RND 단계 핵심 인력. 스쿼드당 1~2명 필수.</t>
        </is>
      </c>
    </row>
    <row r="38">
      <c r="A38" s="16" t="inlineStr">
        <is>
          <t>반도체 / 전자회로 / 하드웨어</t>
        </is>
      </c>
      <c r="B38" s="15" t="inlineStr">
        <is>
          <t>RND</t>
        </is>
      </c>
      <c r="C38" s="15" t="inlineStr">
        <is>
          <t>2113</t>
        </is>
      </c>
      <c r="D38" s="16" t="inlineStr">
        <is>
          <t>Chemists</t>
        </is>
      </c>
      <c r="E38" s="15" t="inlineStr">
        <is>
          <t>Senior (7~10년)</t>
        </is>
      </c>
      <c r="F38" s="20" t="inlineStr">
        <is>
          <t>4.2%</t>
        </is>
      </c>
      <c r="G38" s="15" t="inlineStr">
        <is>
          <t>1.10 (표준)</t>
        </is>
      </c>
      <c r="H38" s="16" t="inlineStr">
        <is>
          <t>팀 내 RND 단계 핵심 인력. 스쿼드당 1~2명 필수.</t>
        </is>
      </c>
    </row>
    <row r="39">
      <c r="A39" s="18" t="inlineStr">
        <is>
          <t>반도체 / 전자회로 / 하드웨어</t>
        </is>
      </c>
      <c r="B39" s="17" t="inlineStr">
        <is>
          <t>RND</t>
        </is>
      </c>
      <c r="C39" s="17" t="inlineStr">
        <is>
          <t>2114</t>
        </is>
      </c>
      <c r="D39" s="18" t="inlineStr">
        <is>
          <t>Geologists and geophysicists</t>
        </is>
      </c>
      <c r="E39" s="17" t="inlineStr">
        <is>
          <t>Senior (7~10년)</t>
        </is>
      </c>
      <c r="F39" s="21" t="inlineStr">
        <is>
          <t>4.2%</t>
        </is>
      </c>
      <c r="G39" s="17" t="inlineStr">
        <is>
          <t>1.15 (과대 편중)</t>
        </is>
      </c>
      <c r="H39" s="18" t="inlineStr">
        <is>
          <t>팀 내 RND 단계 핵심 인력. 스쿼드당 1~2명 필수.</t>
        </is>
      </c>
    </row>
    <row r="40">
      <c r="A40" s="16" t="inlineStr">
        <is>
          <t>반도체 / 전자회로 / 하드웨어</t>
        </is>
      </c>
      <c r="B40" s="15" t="inlineStr">
        <is>
          <t>RND</t>
        </is>
      </c>
      <c r="C40" s="15" t="inlineStr">
        <is>
          <t>2120</t>
        </is>
      </c>
      <c r="D40" s="16" t="inlineStr">
        <is>
          <t>Mathematicians, Actuaries and Statisticians</t>
        </is>
      </c>
      <c r="E40" s="15" t="inlineStr">
        <is>
          <t>Senior (7~10년)</t>
        </is>
      </c>
      <c r="F40" s="20" t="inlineStr">
        <is>
          <t>4.2%</t>
        </is>
      </c>
      <c r="G40" s="15" t="inlineStr">
        <is>
          <t>0.95 (표준)</t>
        </is>
      </c>
      <c r="H40" s="16" t="inlineStr">
        <is>
          <t>팀 내 RND 단계 핵심 인력. 스쿼드당 1~2명 필수.</t>
        </is>
      </c>
    </row>
    <row r="41">
      <c r="A41" s="18" t="inlineStr">
        <is>
          <t>반도체 / 전자회로 / 하드웨어</t>
        </is>
      </c>
      <c r="B41" s="17" t="inlineStr">
        <is>
          <t>RND</t>
        </is>
      </c>
      <c r="C41" s="17" t="inlineStr">
        <is>
          <t>2131</t>
        </is>
      </c>
      <c r="D41" s="18" t="inlineStr">
        <is>
          <t>Biologists, Botanists, Zoologists and Related Professionals</t>
        </is>
      </c>
      <c r="E41" s="17" t="inlineStr">
        <is>
          <t>Senior (7~10년)</t>
        </is>
      </c>
      <c r="F41" s="21" t="inlineStr">
        <is>
          <t>4.2%</t>
        </is>
      </c>
      <c r="G41" s="17" t="inlineStr">
        <is>
          <t>1.00 (표준)</t>
        </is>
      </c>
      <c r="H41" s="18" t="inlineStr">
        <is>
          <t>팀 내 RND 단계 핵심 인력. 스쿼드당 1~2명 필수.</t>
        </is>
      </c>
    </row>
    <row r="42">
      <c r="A42" s="16" t="inlineStr">
        <is>
          <t>반도체 / 전자회로 / 하드웨어</t>
        </is>
      </c>
      <c r="B42" s="15" t="inlineStr">
        <is>
          <t>RND</t>
        </is>
      </c>
      <c r="C42" s="15" t="inlineStr">
        <is>
          <t>2132</t>
        </is>
      </c>
      <c r="D42" s="16" t="inlineStr">
        <is>
          <t>Farming, Forestry and Fisheries Advisers</t>
        </is>
      </c>
      <c r="E42" s="15" t="inlineStr">
        <is>
          <t>Senior (7~10년)</t>
        </is>
      </c>
      <c r="F42" s="20" t="inlineStr">
        <is>
          <t>4.2%</t>
        </is>
      </c>
      <c r="G42" s="15" t="inlineStr">
        <is>
          <t>1.05 (표준)</t>
        </is>
      </c>
      <c r="H42" s="16" t="inlineStr">
        <is>
          <t>팀 내 RND 단계 핵심 인력. 스쿼드당 1~2명 필수.</t>
        </is>
      </c>
    </row>
    <row r="43">
      <c r="A43" s="18" t="inlineStr">
        <is>
          <t>반도체 / 전자회로 / 하드웨어</t>
        </is>
      </c>
      <c r="B43" s="17" t="inlineStr">
        <is>
          <t>RND</t>
        </is>
      </c>
      <c r="C43" s="17" t="inlineStr">
        <is>
          <t>2133</t>
        </is>
      </c>
      <c r="D43" s="18" t="inlineStr">
        <is>
          <t>Environmental Protection Professionals</t>
        </is>
      </c>
      <c r="E43" s="17" t="inlineStr">
        <is>
          <t>Senior (7~10년)</t>
        </is>
      </c>
      <c r="F43" s="21" t="inlineStr">
        <is>
          <t>4.2%</t>
        </is>
      </c>
      <c r="G43" s="17" t="inlineStr">
        <is>
          <t>1.10 (표준)</t>
        </is>
      </c>
      <c r="H43" s="18" t="inlineStr">
        <is>
          <t>팀 내 RND 단계 핵심 인력. 스쿼드당 1~2명 필수.</t>
        </is>
      </c>
    </row>
    <row r="44">
      <c r="A44" s="16" t="inlineStr">
        <is>
          <t>반도체 / 전자회로 / 하드웨어</t>
        </is>
      </c>
      <c r="B44" s="15" t="inlineStr">
        <is>
          <t>RND</t>
        </is>
      </c>
      <c r="C44" s="15" t="inlineStr">
        <is>
          <t>2141</t>
        </is>
      </c>
      <c r="D44" s="16" t="inlineStr">
        <is>
          <t>Industrial and Production Engineers</t>
        </is>
      </c>
      <c r="E44" s="15" t="inlineStr">
        <is>
          <t>Senior (7~10년)</t>
        </is>
      </c>
      <c r="F44" s="20" t="inlineStr">
        <is>
          <t>4.2%</t>
        </is>
      </c>
      <c r="G44" s="15" t="inlineStr">
        <is>
          <t>1.00 (표준)</t>
        </is>
      </c>
      <c r="H44" s="16" t="inlineStr">
        <is>
          <t>팀 내 RND 단계 핵심 인력. 스쿼드당 1~2명 필수.</t>
        </is>
      </c>
    </row>
    <row r="45">
      <c r="A45" s="18" t="inlineStr">
        <is>
          <t>반도체 / 전자회로 / 하드웨어</t>
        </is>
      </c>
      <c r="B45" s="17" t="inlineStr">
        <is>
          <t>RND</t>
        </is>
      </c>
      <c r="C45" s="17" t="inlineStr">
        <is>
          <t>2142</t>
        </is>
      </c>
      <c r="D45" s="18" t="inlineStr">
        <is>
          <t>Civil Engineers</t>
        </is>
      </c>
      <c r="E45" s="17" t="inlineStr">
        <is>
          <t>Senior (7~10년)</t>
        </is>
      </c>
      <c r="F45" s="21" t="inlineStr">
        <is>
          <t>4.2%</t>
        </is>
      </c>
      <c r="G45" s="17" t="inlineStr">
        <is>
          <t>1.05 (표준)</t>
        </is>
      </c>
      <c r="H45" s="18" t="inlineStr">
        <is>
          <t>팀 내 RND 단계 핵심 인력. 스쿼드당 1~2명 필수.</t>
        </is>
      </c>
    </row>
    <row r="46">
      <c r="A46" s="16" t="inlineStr">
        <is>
          <t>반도체 / 전자회로 / 하드웨어</t>
        </is>
      </c>
      <c r="B46" s="15" t="inlineStr">
        <is>
          <t>RND</t>
        </is>
      </c>
      <c r="C46" s="15" t="inlineStr">
        <is>
          <t>2143</t>
        </is>
      </c>
      <c r="D46" s="16" t="inlineStr">
        <is>
          <t>Environmental Engineers</t>
        </is>
      </c>
      <c r="E46" s="15" t="inlineStr">
        <is>
          <t>Senior (7~10년)</t>
        </is>
      </c>
      <c r="F46" s="20" t="inlineStr">
        <is>
          <t>4.2%</t>
        </is>
      </c>
      <c r="G46" s="15" t="inlineStr">
        <is>
          <t>1.10 (표준)</t>
        </is>
      </c>
      <c r="H46" s="16" t="inlineStr">
        <is>
          <t>팀 내 RND 단계 핵심 인력. 스쿼드당 1~2명 필수.</t>
        </is>
      </c>
    </row>
    <row r="47">
      <c r="A47" s="18" t="inlineStr">
        <is>
          <t>반도체 / 전자회로 / 하드웨어</t>
        </is>
      </c>
      <c r="B47" s="17" t="inlineStr">
        <is>
          <t>RND</t>
        </is>
      </c>
      <c r="C47" s="17" t="inlineStr">
        <is>
          <t>2144</t>
        </is>
      </c>
      <c r="D47" s="18" t="inlineStr">
        <is>
          <t>Mechanical Engineers</t>
        </is>
      </c>
      <c r="E47" s="17" t="inlineStr">
        <is>
          <t>Senior (7~10년)</t>
        </is>
      </c>
      <c r="F47" s="21" t="inlineStr">
        <is>
          <t>4.2%</t>
        </is>
      </c>
      <c r="G47" s="17" t="inlineStr">
        <is>
          <t>1.15 (과대 편중)</t>
        </is>
      </c>
      <c r="H47" s="18" t="inlineStr">
        <is>
          <t>팀 내 RND 단계 핵심 인력. 스쿼드당 1~2명 필수.</t>
        </is>
      </c>
    </row>
    <row r="48">
      <c r="A48" s="16" t="inlineStr">
        <is>
          <t>반도체 / 전자회로 / 하드웨어</t>
        </is>
      </c>
      <c r="B48" s="15" t="inlineStr">
        <is>
          <t>RND</t>
        </is>
      </c>
      <c r="C48" s="15" t="inlineStr">
        <is>
          <t>2145</t>
        </is>
      </c>
      <c r="D48" s="16" t="inlineStr">
        <is>
          <t>Chemical Engineers</t>
        </is>
      </c>
      <c r="E48" s="15" t="inlineStr">
        <is>
          <t>Senior (7~10년)</t>
        </is>
      </c>
      <c r="F48" s="20" t="inlineStr">
        <is>
          <t>4.2%</t>
        </is>
      </c>
      <c r="G48" s="15" t="inlineStr">
        <is>
          <t>0.95 (표준)</t>
        </is>
      </c>
      <c r="H48" s="16" t="inlineStr">
        <is>
          <t>팀 내 RND 단계 핵심 인력. 스쿼드당 1~2명 필수.</t>
        </is>
      </c>
    </row>
    <row r="49">
      <c r="A49" s="18" t="inlineStr">
        <is>
          <t>반도체 / 전자회로 / 하드웨어</t>
        </is>
      </c>
      <c r="B49" s="17" t="inlineStr">
        <is>
          <t>RND</t>
        </is>
      </c>
      <c r="C49" s="17" t="inlineStr">
        <is>
          <t>2146</t>
        </is>
      </c>
      <c r="D49" s="18" t="inlineStr">
        <is>
          <t>Mining Engineers, Metallurgists and Related Professionals</t>
        </is>
      </c>
      <c r="E49" s="17" t="inlineStr">
        <is>
          <t>Senior (7~10년)</t>
        </is>
      </c>
      <c r="F49" s="21" t="inlineStr">
        <is>
          <t>4.2%</t>
        </is>
      </c>
      <c r="G49" s="17" t="inlineStr">
        <is>
          <t>1.00 (표준)</t>
        </is>
      </c>
      <c r="H49" s="18" t="inlineStr">
        <is>
          <t>팀 내 RND 단계 핵심 인력. 스쿼드당 1~2명 필수.</t>
        </is>
      </c>
    </row>
    <row r="50">
      <c r="A50" s="16" t="inlineStr">
        <is>
          <t>반도체 / 전자회로 / 하드웨어</t>
        </is>
      </c>
      <c r="B50" s="15" t="inlineStr">
        <is>
          <t>RND</t>
        </is>
      </c>
      <c r="C50" s="15" t="inlineStr">
        <is>
          <t>2149</t>
        </is>
      </c>
      <c r="D50" s="16" t="inlineStr">
        <is>
          <t>Engineering Professionals Not Elsewhere Classified</t>
        </is>
      </c>
      <c r="E50" s="15" t="inlineStr">
        <is>
          <t>Senior (7~10년)</t>
        </is>
      </c>
      <c r="F50" s="20" t="inlineStr">
        <is>
          <t>4.2%</t>
        </is>
      </c>
      <c r="G50" s="15" t="inlineStr">
        <is>
          <t>1.15 (과대 편중)</t>
        </is>
      </c>
      <c r="H50" s="16" t="inlineStr">
        <is>
          <t>팀 내 RND 단계 핵심 인력. 스쿼드당 1~2명 필수.</t>
        </is>
      </c>
    </row>
    <row r="51">
      <c r="A51" s="18" t="inlineStr">
        <is>
          <t>반도체 / 전자회로 / 하드웨어</t>
        </is>
      </c>
      <c r="B51" s="17" t="inlineStr">
        <is>
          <t>RND</t>
        </is>
      </c>
      <c r="C51" s="17" t="inlineStr">
        <is>
          <t>2151</t>
        </is>
      </c>
      <c r="D51" s="18" t="inlineStr">
        <is>
          <t>Electrical Engineers</t>
        </is>
      </c>
      <c r="E51" s="17" t="inlineStr">
        <is>
          <t>Senior (7~10년)</t>
        </is>
      </c>
      <c r="F51" s="21" t="inlineStr">
        <is>
          <t>4.2%</t>
        </is>
      </c>
      <c r="G51" s="17" t="inlineStr">
        <is>
          <t>1.00 (표준)</t>
        </is>
      </c>
      <c r="H51" s="18" t="inlineStr">
        <is>
          <t>팀 내 RND 단계 핵심 인력. 스쿼드당 1~2명 필수.</t>
        </is>
      </c>
    </row>
    <row r="52">
      <c r="A52" s="16" t="inlineStr">
        <is>
          <t>반도체 / 전자회로 / 하드웨어</t>
        </is>
      </c>
      <c r="B52" s="15" t="inlineStr">
        <is>
          <t>RND</t>
        </is>
      </c>
      <c r="C52" s="15" t="inlineStr">
        <is>
          <t>2152</t>
        </is>
      </c>
      <c r="D52" s="16" t="inlineStr">
        <is>
          <t>Electronics Engineers</t>
        </is>
      </c>
      <c r="E52" s="15" t="inlineStr">
        <is>
          <t>Senior (7~10년)</t>
        </is>
      </c>
      <c r="F52" s="20" t="inlineStr">
        <is>
          <t>4.2%</t>
        </is>
      </c>
      <c r="G52" s="15" t="inlineStr">
        <is>
          <t>1.05 (표준)</t>
        </is>
      </c>
      <c r="H52" s="16" t="inlineStr">
        <is>
          <t>팀 내 RND 단계 핵심 인력. 스쿼드당 1~2명 필수.</t>
        </is>
      </c>
    </row>
    <row r="53">
      <c r="A53" s="18" t="inlineStr">
        <is>
          <t>반도체 / 전자회로 / 하드웨어</t>
        </is>
      </c>
      <c r="B53" s="17" t="inlineStr">
        <is>
          <t>RND</t>
        </is>
      </c>
      <c r="C53" s="17" t="inlineStr">
        <is>
          <t>2153</t>
        </is>
      </c>
      <c r="D53" s="18" t="inlineStr">
        <is>
          <t>Telecommunications Engineers</t>
        </is>
      </c>
      <c r="E53" s="17" t="inlineStr">
        <is>
          <t>Senior (7~10년)</t>
        </is>
      </c>
      <c r="F53" s="21" t="inlineStr">
        <is>
          <t>4.2%</t>
        </is>
      </c>
      <c r="G53" s="17" t="inlineStr">
        <is>
          <t>1.10 (표준)</t>
        </is>
      </c>
      <c r="H53" s="18" t="inlineStr">
        <is>
          <t>팀 내 RND 단계 핵심 인력. 스쿼드당 1~2명 필수.</t>
        </is>
      </c>
    </row>
    <row r="54">
      <c r="A54" s="16" t="inlineStr">
        <is>
          <t>반도체 / 전자회로 / 하드웨어</t>
        </is>
      </c>
      <c r="B54" s="15" t="inlineStr">
        <is>
          <t>RND</t>
        </is>
      </c>
      <c r="C54" s="15" t="inlineStr">
        <is>
          <t>2161</t>
        </is>
      </c>
      <c r="D54" s="16" t="inlineStr">
        <is>
          <t>Building Architects</t>
        </is>
      </c>
      <c r="E54" s="15" t="inlineStr">
        <is>
          <t>Senior (7~10년)</t>
        </is>
      </c>
      <c r="F54" s="20" t="inlineStr">
        <is>
          <t>4.2%</t>
        </is>
      </c>
      <c r="G54" s="15" t="inlineStr">
        <is>
          <t>1.00 (표준)</t>
        </is>
      </c>
      <c r="H54" s="16" t="inlineStr">
        <is>
          <t>팀 내 RND 단계 핵심 인력. 스쿼드당 1~2명 필수.</t>
        </is>
      </c>
    </row>
    <row r="55">
      <c r="A55" s="18" t="inlineStr">
        <is>
          <t>반도체 / 전자회로 / 하드웨어</t>
        </is>
      </c>
      <c r="B55" s="17" t="inlineStr">
        <is>
          <t>RND</t>
        </is>
      </c>
      <c r="C55" s="17" t="inlineStr">
        <is>
          <t>2162</t>
        </is>
      </c>
      <c r="D55" s="18" t="inlineStr">
        <is>
          <t>Landscape Architects</t>
        </is>
      </c>
      <c r="E55" s="17" t="inlineStr">
        <is>
          <t>Senior (7~10년)</t>
        </is>
      </c>
      <c r="F55" s="21" t="inlineStr">
        <is>
          <t>4.2%</t>
        </is>
      </c>
      <c r="G55" s="17" t="inlineStr">
        <is>
          <t>1.05 (표준)</t>
        </is>
      </c>
      <c r="H55" s="18" t="inlineStr">
        <is>
          <t>팀 내 RND 단계 핵심 인력. 스쿼드당 1~2명 필수.</t>
        </is>
      </c>
    </row>
    <row r="56">
      <c r="A56" s="16" t="inlineStr">
        <is>
          <t>반도체 / 전자회로 / 하드웨어</t>
        </is>
      </c>
      <c r="B56" s="15" t="inlineStr">
        <is>
          <t>RND</t>
        </is>
      </c>
      <c r="C56" s="15" t="inlineStr">
        <is>
          <t>2163</t>
        </is>
      </c>
      <c r="D56" s="16" t="inlineStr">
        <is>
          <t>Product and Garment Designers</t>
        </is>
      </c>
      <c r="E56" s="15" t="inlineStr">
        <is>
          <t>Senior (7~10년)</t>
        </is>
      </c>
      <c r="F56" s="20" t="inlineStr">
        <is>
          <t>4.2%</t>
        </is>
      </c>
      <c r="G56" s="15" t="inlineStr">
        <is>
          <t>1.10 (표준)</t>
        </is>
      </c>
      <c r="H56" s="16" t="inlineStr">
        <is>
          <t>팀 내 RND 단계 핵심 인력. 스쿼드당 1~2명 필수.</t>
        </is>
      </c>
    </row>
    <row r="57">
      <c r="A57" s="18" t="inlineStr">
        <is>
          <t>반도체 / 전자회로 / 하드웨어</t>
        </is>
      </c>
      <c r="B57" s="17" t="inlineStr">
        <is>
          <t>RND</t>
        </is>
      </c>
      <c r="C57" s="17" t="inlineStr">
        <is>
          <t>2164</t>
        </is>
      </c>
      <c r="D57" s="18" t="inlineStr">
        <is>
          <t>Town and Traffic Planners</t>
        </is>
      </c>
      <c r="E57" s="17" t="inlineStr">
        <is>
          <t>Senior (7~10년)</t>
        </is>
      </c>
      <c r="F57" s="21" t="inlineStr">
        <is>
          <t>4.2%</t>
        </is>
      </c>
      <c r="G57" s="17" t="inlineStr">
        <is>
          <t>1.15 (과대 편중)</t>
        </is>
      </c>
      <c r="H57" s="18" t="inlineStr">
        <is>
          <t>팀 내 RND 단계 핵심 인력. 스쿼드당 1~2명 필수.</t>
        </is>
      </c>
    </row>
    <row r="58">
      <c r="A58" s="16" t="inlineStr">
        <is>
          <t>반도체 / 전자회로 / 하드웨어</t>
        </is>
      </c>
      <c r="B58" s="15" t="inlineStr">
        <is>
          <t>RND</t>
        </is>
      </c>
      <c r="C58" s="15" t="inlineStr">
        <is>
          <t>2165</t>
        </is>
      </c>
      <c r="D58" s="16" t="inlineStr">
        <is>
          <t>Cartographers and Surveyors</t>
        </is>
      </c>
      <c r="E58" s="15" t="inlineStr">
        <is>
          <t>Senior (7~10년)</t>
        </is>
      </c>
      <c r="F58" s="20" t="inlineStr">
        <is>
          <t>4.2%</t>
        </is>
      </c>
      <c r="G58" s="15" t="inlineStr">
        <is>
          <t>0.95 (표준)</t>
        </is>
      </c>
      <c r="H58" s="16" t="inlineStr">
        <is>
          <t>팀 내 RND 단계 핵심 인력. 스쿼드당 1~2명 필수.</t>
        </is>
      </c>
    </row>
    <row r="59">
      <c r="A59" s="18" t="inlineStr">
        <is>
          <t>반도체 / 전자회로 / 하드웨어</t>
        </is>
      </c>
      <c r="B59" s="17" t="inlineStr">
        <is>
          <t>RND</t>
        </is>
      </c>
      <c r="C59" s="17" t="inlineStr">
        <is>
          <t>2166</t>
        </is>
      </c>
      <c r="D59" s="18" t="inlineStr">
        <is>
          <t>Graphic and Multimedia Designers</t>
        </is>
      </c>
      <c r="E59" s="17" t="inlineStr">
        <is>
          <t>Senior (7~10년)</t>
        </is>
      </c>
      <c r="F59" s="21" t="inlineStr">
        <is>
          <t>4.2%</t>
        </is>
      </c>
      <c r="G59" s="17" t="inlineStr">
        <is>
          <t>1.00 (표준)</t>
        </is>
      </c>
      <c r="H59" s="18" t="inlineStr">
        <is>
          <t>팀 내 RND 단계 핵심 인력. 스쿼드당 1~2명 필수.</t>
        </is>
      </c>
    </row>
    <row r="60">
      <c r="A60" s="16" t="inlineStr">
        <is>
          <t>바이오 / 제약 / 임상헬스케어</t>
        </is>
      </c>
      <c r="B60" s="15" t="inlineStr">
        <is>
          <t>RND</t>
        </is>
      </c>
      <c r="C60" s="15" t="inlineStr">
        <is>
          <t>2211</t>
        </is>
      </c>
      <c r="D60" s="16" t="inlineStr">
        <is>
          <t>Generalist Medical Practitioners</t>
        </is>
      </c>
      <c r="E60" s="15" t="inlineStr">
        <is>
          <t>Senior (7~10년)</t>
        </is>
      </c>
      <c r="F60" s="20" t="inlineStr">
        <is>
          <t>4.2%</t>
        </is>
      </c>
      <c r="G60" s="15" t="inlineStr">
        <is>
          <t>1.00 (표준)</t>
        </is>
      </c>
      <c r="H60" s="16" t="inlineStr">
        <is>
          <t>팀 내 RND 단계 핵심 인력. 스쿼드당 1~2명 필수.</t>
        </is>
      </c>
    </row>
    <row r="61">
      <c r="A61" s="18" t="inlineStr">
        <is>
          <t>바이오 / 제약 / 임상헬스케어</t>
        </is>
      </c>
      <c r="B61" s="17" t="inlineStr">
        <is>
          <t>RND</t>
        </is>
      </c>
      <c r="C61" s="17" t="inlineStr">
        <is>
          <t>2212</t>
        </is>
      </c>
      <c r="D61" s="18" t="inlineStr">
        <is>
          <t>Specialist Medical Practitioners</t>
        </is>
      </c>
      <c r="E61" s="17" t="inlineStr">
        <is>
          <t>Senior (7~10년)</t>
        </is>
      </c>
      <c r="F61" s="21" t="inlineStr">
        <is>
          <t>4.2%</t>
        </is>
      </c>
      <c r="G61" s="17" t="inlineStr">
        <is>
          <t>1.05 (표준)</t>
        </is>
      </c>
      <c r="H61" s="18" t="inlineStr">
        <is>
          <t>팀 내 RND 단계 핵심 인력. 스쿼드당 1~2명 필수.</t>
        </is>
      </c>
    </row>
    <row r="62">
      <c r="A62" s="16" t="inlineStr">
        <is>
          <t>바이오 / 제약 / 임상헬스케어</t>
        </is>
      </c>
      <c r="B62" s="15" t="inlineStr">
        <is>
          <t>RND</t>
        </is>
      </c>
      <c r="C62" s="15" t="inlineStr">
        <is>
          <t>2221</t>
        </is>
      </c>
      <c r="D62" s="16" t="inlineStr">
        <is>
          <t>Nursing Professionals</t>
        </is>
      </c>
      <c r="E62" s="15" t="inlineStr">
        <is>
          <t>Senior (7~10년)</t>
        </is>
      </c>
      <c r="F62" s="20" t="inlineStr">
        <is>
          <t>4.2%</t>
        </is>
      </c>
      <c r="G62" s="15" t="inlineStr">
        <is>
          <t>1.00 (표준)</t>
        </is>
      </c>
      <c r="H62" s="16" t="inlineStr">
        <is>
          <t>팀 내 RND 단계 핵심 인력. 스쿼드당 1~2명 필수.</t>
        </is>
      </c>
    </row>
    <row r="63">
      <c r="A63" s="18" t="inlineStr">
        <is>
          <t>바이오 / 제약 / 임상헬스케어</t>
        </is>
      </c>
      <c r="B63" s="17" t="inlineStr">
        <is>
          <t>RND</t>
        </is>
      </c>
      <c r="C63" s="17" t="inlineStr">
        <is>
          <t>2222</t>
        </is>
      </c>
      <c r="D63" s="18" t="inlineStr">
        <is>
          <t>Midwifery Professionals</t>
        </is>
      </c>
      <c r="E63" s="17" t="inlineStr">
        <is>
          <t>Senior (7~10년)</t>
        </is>
      </c>
      <c r="F63" s="21" t="inlineStr">
        <is>
          <t>4.2%</t>
        </is>
      </c>
      <c r="G63" s="17" t="inlineStr">
        <is>
          <t>1.05 (표준)</t>
        </is>
      </c>
      <c r="H63" s="18" t="inlineStr">
        <is>
          <t>팀 내 RND 단계 핵심 인력. 스쿼드당 1~2명 필수.</t>
        </is>
      </c>
    </row>
    <row r="64">
      <c r="A64" s="16" t="inlineStr">
        <is>
          <t>바이오 / 제약 / 임상헬스케어</t>
        </is>
      </c>
      <c r="B64" s="15" t="inlineStr">
        <is>
          <t>RND</t>
        </is>
      </c>
      <c r="C64" s="15" t="inlineStr">
        <is>
          <t>2230</t>
        </is>
      </c>
      <c r="D64" s="16" t="inlineStr">
        <is>
          <t>Traditional and Complementary Medicine Professionals</t>
        </is>
      </c>
      <c r="E64" s="15" t="inlineStr">
        <is>
          <t>Senior (7~10년)</t>
        </is>
      </c>
      <c r="F64" s="20" t="inlineStr">
        <is>
          <t>4.2%</t>
        </is>
      </c>
      <c r="G64" s="15" t="inlineStr">
        <is>
          <t>0.95 (표준)</t>
        </is>
      </c>
      <c r="H64" s="16" t="inlineStr">
        <is>
          <t>팀 내 RND 단계 핵심 인력. 스쿼드당 1~2명 필수.</t>
        </is>
      </c>
    </row>
    <row r="65">
      <c r="A65" s="18" t="inlineStr">
        <is>
          <t>바이오 / 제약 / 임상헬스케어</t>
        </is>
      </c>
      <c r="B65" s="17" t="inlineStr">
        <is>
          <t>RND</t>
        </is>
      </c>
      <c r="C65" s="17" t="inlineStr">
        <is>
          <t>2240</t>
        </is>
      </c>
      <c r="D65" s="18" t="inlineStr">
        <is>
          <t>Paramedical Practitioners</t>
        </is>
      </c>
      <c r="E65" s="17" t="inlineStr">
        <is>
          <t>Senior (7~10년)</t>
        </is>
      </c>
      <c r="F65" s="21" t="inlineStr">
        <is>
          <t>4.2%</t>
        </is>
      </c>
      <c r="G65" s="17" t="inlineStr">
        <is>
          <t>0.95 (표준)</t>
        </is>
      </c>
      <c r="H65" s="18" t="inlineStr">
        <is>
          <t>팀 내 RND 단계 핵심 인력. 스쿼드당 1~2명 필수.</t>
        </is>
      </c>
    </row>
    <row r="66">
      <c r="A66" s="16" t="inlineStr">
        <is>
          <t>바이오 / 제약 / 임상헬스케어</t>
        </is>
      </c>
      <c r="B66" s="15" t="inlineStr">
        <is>
          <t>RND</t>
        </is>
      </c>
      <c r="C66" s="15" t="inlineStr">
        <is>
          <t>2250</t>
        </is>
      </c>
      <c r="D66" s="16" t="inlineStr">
        <is>
          <t>Veterinarians</t>
        </is>
      </c>
      <c r="E66" s="15" t="inlineStr">
        <is>
          <t>Senior (7~10년)</t>
        </is>
      </c>
      <c r="F66" s="20" t="inlineStr">
        <is>
          <t>4.2%</t>
        </is>
      </c>
      <c r="G66" s="15" t="inlineStr">
        <is>
          <t>0.95 (표준)</t>
        </is>
      </c>
      <c r="H66" s="16" t="inlineStr">
        <is>
          <t>팀 내 RND 단계 핵심 인력. 스쿼드당 1~2명 필수.</t>
        </is>
      </c>
    </row>
    <row r="67">
      <c r="A67" s="18" t="inlineStr">
        <is>
          <t>바이오 / 제약 / 임상헬스케어</t>
        </is>
      </c>
      <c r="B67" s="17" t="inlineStr">
        <is>
          <t>RND</t>
        </is>
      </c>
      <c r="C67" s="17" t="inlineStr">
        <is>
          <t>2261</t>
        </is>
      </c>
      <c r="D67" s="18" t="inlineStr">
        <is>
          <t>Dentists</t>
        </is>
      </c>
      <c r="E67" s="17" t="inlineStr">
        <is>
          <t>Senior (7~10년)</t>
        </is>
      </c>
      <c r="F67" s="21" t="inlineStr">
        <is>
          <t>4.2%</t>
        </is>
      </c>
      <c r="G67" s="17" t="inlineStr">
        <is>
          <t>1.00 (표준)</t>
        </is>
      </c>
      <c r="H67" s="18" t="inlineStr">
        <is>
          <t>팀 내 RND 단계 핵심 인력. 스쿼드당 1~2명 필수.</t>
        </is>
      </c>
    </row>
    <row r="68">
      <c r="A68" s="16" t="inlineStr">
        <is>
          <t>바이오 / 제약 / 임상헬스케어</t>
        </is>
      </c>
      <c r="B68" s="15" t="inlineStr">
        <is>
          <t>RND</t>
        </is>
      </c>
      <c r="C68" s="15" t="inlineStr">
        <is>
          <t>2262</t>
        </is>
      </c>
      <c r="D68" s="16" t="inlineStr">
        <is>
          <t>Pharmacists</t>
        </is>
      </c>
      <c r="E68" s="15" t="inlineStr">
        <is>
          <t>Senior (7~10년)</t>
        </is>
      </c>
      <c r="F68" s="20" t="inlineStr">
        <is>
          <t>4.2%</t>
        </is>
      </c>
      <c r="G68" s="15" t="inlineStr">
        <is>
          <t>1.05 (표준)</t>
        </is>
      </c>
      <c r="H68" s="16" t="inlineStr">
        <is>
          <t>팀 내 RND 단계 핵심 인력. 스쿼드당 1~2명 필수.</t>
        </is>
      </c>
    </row>
    <row r="69">
      <c r="A69" s="18" t="inlineStr">
        <is>
          <t>바이오 / 제약 / 임상헬스케어</t>
        </is>
      </c>
      <c r="B69" s="17" t="inlineStr">
        <is>
          <t>RND</t>
        </is>
      </c>
      <c r="C69" s="17" t="inlineStr">
        <is>
          <t>2263</t>
        </is>
      </c>
      <c r="D69" s="18" t="inlineStr">
        <is>
          <t>Environmental and Occupational Health and Hygiene Professionals</t>
        </is>
      </c>
      <c r="E69" s="17" t="inlineStr">
        <is>
          <t>Senior (7~10년)</t>
        </is>
      </c>
      <c r="F69" s="21" t="inlineStr">
        <is>
          <t>4.2%</t>
        </is>
      </c>
      <c r="G69" s="17" t="inlineStr">
        <is>
          <t>1.10 (표준)</t>
        </is>
      </c>
      <c r="H69" s="18" t="inlineStr">
        <is>
          <t>팀 내 RND 단계 핵심 인력. 스쿼드당 1~2명 필수.</t>
        </is>
      </c>
    </row>
    <row r="70">
      <c r="A70" s="16" t="inlineStr">
        <is>
          <t>바이오 / 제약 / 임상헬스케어</t>
        </is>
      </c>
      <c r="B70" s="15" t="inlineStr">
        <is>
          <t>RND</t>
        </is>
      </c>
      <c r="C70" s="15" t="inlineStr">
        <is>
          <t>2264</t>
        </is>
      </c>
      <c r="D70" s="16" t="inlineStr">
        <is>
          <t>Physiotherapists</t>
        </is>
      </c>
      <c r="E70" s="15" t="inlineStr">
        <is>
          <t>Senior (7~10년)</t>
        </is>
      </c>
      <c r="F70" s="20" t="inlineStr">
        <is>
          <t>4.2%</t>
        </is>
      </c>
      <c r="G70" s="15" t="inlineStr">
        <is>
          <t>1.15 (과대 편중)</t>
        </is>
      </c>
      <c r="H70" s="16" t="inlineStr">
        <is>
          <t>팀 내 RND 단계 핵심 인력. 스쿼드당 1~2명 필수.</t>
        </is>
      </c>
    </row>
    <row r="71">
      <c r="A71" s="18" t="inlineStr">
        <is>
          <t>바이오 / 제약 / 임상헬스케어</t>
        </is>
      </c>
      <c r="B71" s="17" t="inlineStr">
        <is>
          <t>RND</t>
        </is>
      </c>
      <c r="C71" s="17" t="inlineStr">
        <is>
          <t>2265</t>
        </is>
      </c>
      <c r="D71" s="18" t="inlineStr">
        <is>
          <t>Dieticians and Nutritionists</t>
        </is>
      </c>
      <c r="E71" s="17" t="inlineStr">
        <is>
          <t>Senior (7~10년)</t>
        </is>
      </c>
      <c r="F71" s="21" t="inlineStr">
        <is>
          <t>4.2%</t>
        </is>
      </c>
      <c r="G71" s="17" t="inlineStr">
        <is>
          <t>0.95 (표준)</t>
        </is>
      </c>
      <c r="H71" s="18" t="inlineStr">
        <is>
          <t>팀 내 RND 단계 핵심 인력. 스쿼드당 1~2명 필수.</t>
        </is>
      </c>
    </row>
    <row r="72">
      <c r="A72" s="16" t="inlineStr">
        <is>
          <t>바이오 / 제약 / 임상헬스케어</t>
        </is>
      </c>
      <c r="B72" s="15" t="inlineStr">
        <is>
          <t>RND</t>
        </is>
      </c>
      <c r="C72" s="15" t="inlineStr">
        <is>
          <t>2266</t>
        </is>
      </c>
      <c r="D72" s="16" t="inlineStr">
        <is>
          <t>Audiologists and Speech Therapists</t>
        </is>
      </c>
      <c r="E72" s="15" t="inlineStr">
        <is>
          <t>Senior (7~10년)</t>
        </is>
      </c>
      <c r="F72" s="20" t="inlineStr">
        <is>
          <t>4.2%</t>
        </is>
      </c>
      <c r="G72" s="15" t="inlineStr">
        <is>
          <t>1.00 (표준)</t>
        </is>
      </c>
      <c r="H72" s="16" t="inlineStr">
        <is>
          <t>팀 내 RND 단계 핵심 인력. 스쿼드당 1~2명 필수.</t>
        </is>
      </c>
    </row>
    <row r="73">
      <c r="A73" s="18" t="inlineStr">
        <is>
          <t>바이오 / 제약 / 임상헬스케어</t>
        </is>
      </c>
      <c r="B73" s="17" t="inlineStr">
        <is>
          <t>RND</t>
        </is>
      </c>
      <c r="C73" s="17" t="inlineStr">
        <is>
          <t>2267</t>
        </is>
      </c>
      <c r="D73" s="18" t="inlineStr">
        <is>
          <t>Optometrists and Ophthalmic Opticians</t>
        </is>
      </c>
      <c r="E73" s="17" t="inlineStr">
        <is>
          <t>Senior (7~10년)</t>
        </is>
      </c>
      <c r="F73" s="21" t="inlineStr">
        <is>
          <t>4.2%</t>
        </is>
      </c>
      <c r="G73" s="17" t="inlineStr">
        <is>
          <t>1.05 (표준)</t>
        </is>
      </c>
      <c r="H73" s="18" t="inlineStr">
        <is>
          <t>팀 내 RND 단계 핵심 인력. 스쿼드당 1~2명 필수.</t>
        </is>
      </c>
    </row>
    <row r="74">
      <c r="A74" s="16" t="inlineStr">
        <is>
          <t>바이오 / 제약 / 임상헬스케어</t>
        </is>
      </c>
      <c r="B74" s="15" t="inlineStr">
        <is>
          <t>RND</t>
        </is>
      </c>
      <c r="C74" s="15" t="inlineStr">
        <is>
          <t>2269</t>
        </is>
      </c>
      <c r="D74" s="16" t="inlineStr">
        <is>
          <t>Health Professionals Not Elsewhere Classified</t>
        </is>
      </c>
      <c r="E74" s="15" t="inlineStr">
        <is>
          <t>Senior (7~10년)</t>
        </is>
      </c>
      <c r="F74" s="20" t="inlineStr">
        <is>
          <t>4.2%</t>
        </is>
      </c>
      <c r="G74" s="15" t="inlineStr">
        <is>
          <t>1.15 (과대 편중)</t>
        </is>
      </c>
      <c r="H74" s="16" t="inlineStr">
        <is>
          <t>팀 내 RND 단계 핵심 인력. 스쿼드당 1~2명 필수.</t>
        </is>
      </c>
    </row>
    <row r="75">
      <c r="A75" s="18" t="inlineStr">
        <is>
          <t>경영전략 / 인사 / 사업개발</t>
        </is>
      </c>
      <c r="B75" s="17" t="inlineStr">
        <is>
          <t>CORP</t>
        </is>
      </c>
      <c r="C75" s="17" t="inlineStr">
        <is>
          <t>2310</t>
        </is>
      </c>
      <c r="D75" s="18" t="inlineStr">
        <is>
          <t>University and Higher Education Teachers</t>
        </is>
      </c>
      <c r="E75" s="17" t="inlineStr">
        <is>
          <t>Senior (7~10년)</t>
        </is>
      </c>
      <c r="F75" s="21" t="inlineStr">
        <is>
          <t>4.2%</t>
        </is>
      </c>
      <c r="G75" s="17" t="inlineStr">
        <is>
          <t>0.95 (표준)</t>
        </is>
      </c>
      <c r="H75" s="18" t="inlineStr">
        <is>
          <t>팀 내 CORP 단계 핵심 인력. 스쿼드당 1~2명 필수.</t>
        </is>
      </c>
    </row>
    <row r="76">
      <c r="A76" s="16" t="inlineStr">
        <is>
          <t>경영전략 / 인사 / 사업개발</t>
        </is>
      </c>
      <c r="B76" s="15" t="inlineStr">
        <is>
          <t>CORP</t>
        </is>
      </c>
      <c r="C76" s="15" t="inlineStr">
        <is>
          <t>2320</t>
        </is>
      </c>
      <c r="D76" s="16" t="inlineStr">
        <is>
          <t>Vocational Education Teachers</t>
        </is>
      </c>
      <c r="E76" s="15" t="inlineStr">
        <is>
          <t>Senior (7~10년)</t>
        </is>
      </c>
      <c r="F76" s="20" t="inlineStr">
        <is>
          <t>4.2%</t>
        </is>
      </c>
      <c r="G76" s="15" t="inlineStr">
        <is>
          <t>0.95 (표준)</t>
        </is>
      </c>
      <c r="H76" s="16" t="inlineStr">
        <is>
          <t>팀 내 CORP 단계 핵심 인력. 스쿼드당 1~2명 필수.</t>
        </is>
      </c>
    </row>
    <row r="77">
      <c r="A77" s="18" t="inlineStr">
        <is>
          <t>경영전략 / 인사 / 사업개발</t>
        </is>
      </c>
      <c r="B77" s="17" t="inlineStr">
        <is>
          <t>CORP</t>
        </is>
      </c>
      <c r="C77" s="17" t="inlineStr">
        <is>
          <t>2330</t>
        </is>
      </c>
      <c r="D77" s="18" t="inlineStr">
        <is>
          <t>Secondary Education Teachers</t>
        </is>
      </c>
      <c r="E77" s="17" t="inlineStr">
        <is>
          <t>Senior (7~10년)</t>
        </is>
      </c>
      <c r="F77" s="21" t="inlineStr">
        <is>
          <t>4.2%</t>
        </is>
      </c>
      <c r="G77" s="17" t="inlineStr">
        <is>
          <t>0.95 (표준)</t>
        </is>
      </c>
      <c r="H77" s="18" t="inlineStr">
        <is>
          <t>팀 내 CORP 단계 핵심 인력. 스쿼드당 1~2명 필수.</t>
        </is>
      </c>
    </row>
    <row r="78">
      <c r="A78" s="16" t="inlineStr">
        <is>
          <t>경영전략 / 인사 / 사업개발</t>
        </is>
      </c>
      <c r="B78" s="15" t="inlineStr">
        <is>
          <t>CORP</t>
        </is>
      </c>
      <c r="C78" s="15" t="inlineStr">
        <is>
          <t>2341</t>
        </is>
      </c>
      <c r="D78" s="16" t="inlineStr">
        <is>
          <t>Primary School Teachers</t>
        </is>
      </c>
      <c r="E78" s="15" t="inlineStr">
        <is>
          <t>Senior (7~10년)</t>
        </is>
      </c>
      <c r="F78" s="20" t="inlineStr">
        <is>
          <t>4.2%</t>
        </is>
      </c>
      <c r="G78" s="15" t="inlineStr">
        <is>
          <t>1.00 (표준)</t>
        </is>
      </c>
      <c r="H78" s="16" t="inlineStr">
        <is>
          <t>팀 내 CORP 단계 핵심 인력. 스쿼드당 1~2명 필수.</t>
        </is>
      </c>
    </row>
    <row r="79">
      <c r="A79" s="18" t="inlineStr">
        <is>
          <t>경영전략 / 인사 / 사업개발</t>
        </is>
      </c>
      <c r="B79" s="17" t="inlineStr">
        <is>
          <t>CORP</t>
        </is>
      </c>
      <c r="C79" s="17" t="inlineStr">
        <is>
          <t>2342</t>
        </is>
      </c>
      <c r="D79" s="18" t="inlineStr">
        <is>
          <t>Early Childhood Educators</t>
        </is>
      </c>
      <c r="E79" s="17" t="inlineStr">
        <is>
          <t>Senior (7~10년)</t>
        </is>
      </c>
      <c r="F79" s="21" t="inlineStr">
        <is>
          <t>4.2%</t>
        </is>
      </c>
      <c r="G79" s="17" t="inlineStr">
        <is>
          <t>1.05 (표준)</t>
        </is>
      </c>
      <c r="H79" s="18" t="inlineStr">
        <is>
          <t>팀 내 CORP 단계 핵심 인력. 스쿼드당 1~2명 필수.</t>
        </is>
      </c>
    </row>
    <row r="80">
      <c r="A80" s="16" t="inlineStr">
        <is>
          <t>경영전략 / 인사 / 사업개발</t>
        </is>
      </c>
      <c r="B80" s="15" t="inlineStr">
        <is>
          <t>CORP</t>
        </is>
      </c>
      <c r="C80" s="15" t="inlineStr">
        <is>
          <t>2351</t>
        </is>
      </c>
      <c r="D80" s="16" t="inlineStr">
        <is>
          <t>Education Methods Specialists</t>
        </is>
      </c>
      <c r="E80" s="15" t="inlineStr">
        <is>
          <t>Senior (7~10년)</t>
        </is>
      </c>
      <c r="F80" s="20" t="inlineStr">
        <is>
          <t>4.2%</t>
        </is>
      </c>
      <c r="G80" s="15" t="inlineStr">
        <is>
          <t>1.00 (표준)</t>
        </is>
      </c>
      <c r="H80" s="16" t="inlineStr">
        <is>
          <t>팀 내 CORP 단계 핵심 인력. 스쿼드당 1~2명 필수.</t>
        </is>
      </c>
    </row>
    <row r="81">
      <c r="A81" s="18" t="inlineStr">
        <is>
          <t>경영전략 / 인사 / 사업개발</t>
        </is>
      </c>
      <c r="B81" s="17" t="inlineStr">
        <is>
          <t>CORP</t>
        </is>
      </c>
      <c r="C81" s="17" t="inlineStr">
        <is>
          <t>2352</t>
        </is>
      </c>
      <c r="D81" s="18" t="inlineStr">
        <is>
          <t>Special Needs Teachers</t>
        </is>
      </c>
      <c r="E81" s="17" t="inlineStr">
        <is>
          <t>Senior (7~10년)</t>
        </is>
      </c>
      <c r="F81" s="21" t="inlineStr">
        <is>
          <t>4.2%</t>
        </is>
      </c>
      <c r="G81" s="17" t="inlineStr">
        <is>
          <t>1.05 (표준)</t>
        </is>
      </c>
      <c r="H81" s="18" t="inlineStr">
        <is>
          <t>팀 내 CORP 단계 핵심 인력. 스쿼드당 1~2명 필수.</t>
        </is>
      </c>
    </row>
    <row r="82">
      <c r="A82" s="16" t="inlineStr">
        <is>
          <t>경영전략 / 인사 / 사업개발</t>
        </is>
      </c>
      <c r="B82" s="15" t="inlineStr">
        <is>
          <t>CORP</t>
        </is>
      </c>
      <c r="C82" s="15" t="inlineStr">
        <is>
          <t>2353</t>
        </is>
      </c>
      <c r="D82" s="16" t="inlineStr">
        <is>
          <t>Other Language Teachers</t>
        </is>
      </c>
      <c r="E82" s="15" t="inlineStr">
        <is>
          <t>Senior (7~10년)</t>
        </is>
      </c>
      <c r="F82" s="20" t="inlineStr">
        <is>
          <t>4.2%</t>
        </is>
      </c>
      <c r="G82" s="15" t="inlineStr">
        <is>
          <t>1.10 (표준)</t>
        </is>
      </c>
      <c r="H82" s="16" t="inlineStr">
        <is>
          <t>팀 내 CORP 단계 핵심 인력. 스쿼드당 1~2명 필수.</t>
        </is>
      </c>
    </row>
    <row r="83">
      <c r="A83" s="18" t="inlineStr">
        <is>
          <t>경영전략 / 인사 / 사업개발</t>
        </is>
      </c>
      <c r="B83" s="17" t="inlineStr">
        <is>
          <t>CORP</t>
        </is>
      </c>
      <c r="C83" s="17" t="inlineStr">
        <is>
          <t>2354</t>
        </is>
      </c>
      <c r="D83" s="18" t="inlineStr">
        <is>
          <t>Other Music Teachers</t>
        </is>
      </c>
      <c r="E83" s="17" t="inlineStr">
        <is>
          <t>Senior (7~10년)</t>
        </is>
      </c>
      <c r="F83" s="21" t="inlineStr">
        <is>
          <t>4.2%</t>
        </is>
      </c>
      <c r="G83" s="17" t="inlineStr">
        <is>
          <t>1.15 (과대 편중)</t>
        </is>
      </c>
      <c r="H83" s="18" t="inlineStr">
        <is>
          <t>팀 내 CORP 단계 핵심 인력. 스쿼드당 1~2명 필수.</t>
        </is>
      </c>
    </row>
    <row r="84">
      <c r="A84" s="16" t="inlineStr">
        <is>
          <t>경영전략 / 인사 / 사업개발</t>
        </is>
      </c>
      <c r="B84" s="15" t="inlineStr">
        <is>
          <t>CORP</t>
        </is>
      </c>
      <c r="C84" s="15" t="inlineStr">
        <is>
          <t>2355</t>
        </is>
      </c>
      <c r="D84" s="16" t="inlineStr">
        <is>
          <t>Other Arts Teachers</t>
        </is>
      </c>
      <c r="E84" s="15" t="inlineStr">
        <is>
          <t>Senior (7~10년)</t>
        </is>
      </c>
      <c r="F84" s="20" t="inlineStr">
        <is>
          <t>4.2%</t>
        </is>
      </c>
      <c r="G84" s="15" t="inlineStr">
        <is>
          <t>0.95 (표준)</t>
        </is>
      </c>
      <c r="H84" s="16" t="inlineStr">
        <is>
          <t>팀 내 CORP 단계 핵심 인력. 스쿼드당 1~2명 필수.</t>
        </is>
      </c>
    </row>
    <row r="85">
      <c r="A85" s="18" t="inlineStr">
        <is>
          <t>경영전략 / 인사 / 사업개발</t>
        </is>
      </c>
      <c r="B85" s="17" t="inlineStr">
        <is>
          <t>CORP</t>
        </is>
      </c>
      <c r="C85" s="17" t="inlineStr">
        <is>
          <t>2356</t>
        </is>
      </c>
      <c r="D85" s="18" t="inlineStr">
        <is>
          <t>Information Technology Trainers</t>
        </is>
      </c>
      <c r="E85" s="17" t="inlineStr">
        <is>
          <t>Senior (7~10년)</t>
        </is>
      </c>
      <c r="F85" s="21" t="inlineStr">
        <is>
          <t>4.2%</t>
        </is>
      </c>
      <c r="G85" s="17" t="inlineStr">
        <is>
          <t>1.00 (표준)</t>
        </is>
      </c>
      <c r="H85" s="18" t="inlineStr">
        <is>
          <t>팀 내 CORP 단계 핵심 인력. 스쿼드당 1~2명 필수.</t>
        </is>
      </c>
    </row>
    <row r="86">
      <c r="A86" s="16" t="inlineStr">
        <is>
          <t>경영전략 / 인사 / 사업개발</t>
        </is>
      </c>
      <c r="B86" s="15" t="inlineStr">
        <is>
          <t>CORP</t>
        </is>
      </c>
      <c r="C86" s="15" t="inlineStr">
        <is>
          <t>2359</t>
        </is>
      </c>
      <c r="D86" s="16" t="inlineStr">
        <is>
          <t>Teaching Professionals Not Elsewhere Classified</t>
        </is>
      </c>
      <c r="E86" s="15" t="inlineStr">
        <is>
          <t>Senior (7~10년)</t>
        </is>
      </c>
      <c r="F86" s="20" t="inlineStr">
        <is>
          <t>4.2%</t>
        </is>
      </c>
      <c r="G86" s="15" t="inlineStr">
        <is>
          <t>1.15 (과대 편중)</t>
        </is>
      </c>
      <c r="H86" s="16" t="inlineStr">
        <is>
          <t>팀 내 CORP 단계 핵심 인력. 스쿼드당 1~2명 필수.</t>
        </is>
      </c>
    </row>
    <row r="87">
      <c r="A87" s="18" t="inlineStr">
        <is>
          <t>금융투자 / 핀테크 / 리스크</t>
        </is>
      </c>
      <c r="B87" s="17" t="inlineStr">
        <is>
          <t>CORP</t>
        </is>
      </c>
      <c r="C87" s="17" t="inlineStr">
        <is>
          <t>2411</t>
        </is>
      </c>
      <c r="D87" s="18" t="inlineStr">
        <is>
          <t>Accountants</t>
        </is>
      </c>
      <c r="E87" s="17" t="inlineStr">
        <is>
          <t>Senior (7~10년)</t>
        </is>
      </c>
      <c r="F87" s="21" t="inlineStr">
        <is>
          <t>4.2%</t>
        </is>
      </c>
      <c r="G87" s="17" t="inlineStr">
        <is>
          <t>1.00 (표준)</t>
        </is>
      </c>
      <c r="H87" s="18" t="inlineStr">
        <is>
          <t>팀 내 CORP 단계 핵심 인력. 스쿼드당 1~2명 필수.</t>
        </is>
      </c>
    </row>
    <row r="88">
      <c r="A88" s="16" t="inlineStr">
        <is>
          <t>금융투자 / 핀테크 / 리스크</t>
        </is>
      </c>
      <c r="B88" s="15" t="inlineStr">
        <is>
          <t>CORP</t>
        </is>
      </c>
      <c r="C88" s="15" t="inlineStr">
        <is>
          <t>2412</t>
        </is>
      </c>
      <c r="D88" s="16" t="inlineStr">
        <is>
          <t>Financial and Investment Advisers</t>
        </is>
      </c>
      <c r="E88" s="15" t="inlineStr">
        <is>
          <t>Senior (7~10년)</t>
        </is>
      </c>
      <c r="F88" s="20" t="inlineStr">
        <is>
          <t>4.2%</t>
        </is>
      </c>
      <c r="G88" s="15" t="inlineStr">
        <is>
          <t>1.05 (표준)</t>
        </is>
      </c>
      <c r="H88" s="16" t="inlineStr">
        <is>
          <t>팀 내 CORP 단계 핵심 인력. 스쿼드당 1~2명 필수.</t>
        </is>
      </c>
    </row>
    <row r="89">
      <c r="A89" s="18" t="inlineStr">
        <is>
          <t>금융투자 / 핀테크 / 리스크</t>
        </is>
      </c>
      <c r="B89" s="17" t="inlineStr">
        <is>
          <t>CORP</t>
        </is>
      </c>
      <c r="C89" s="17" t="inlineStr">
        <is>
          <t>2413</t>
        </is>
      </c>
      <c r="D89" s="18" t="inlineStr">
        <is>
          <t>Financial Analysts</t>
        </is>
      </c>
      <c r="E89" s="17" t="inlineStr">
        <is>
          <t>Senior (7~10년)</t>
        </is>
      </c>
      <c r="F89" s="21" t="inlineStr">
        <is>
          <t>4.2%</t>
        </is>
      </c>
      <c r="G89" s="17" t="inlineStr">
        <is>
          <t>1.10 (표준)</t>
        </is>
      </c>
      <c r="H89" s="18" t="inlineStr">
        <is>
          <t>팀 내 CORP 단계 핵심 인력. 스쿼드당 1~2명 필수.</t>
        </is>
      </c>
    </row>
    <row r="90">
      <c r="A90" s="16" t="inlineStr">
        <is>
          <t>금융투자 / 핀테크 / 리스크</t>
        </is>
      </c>
      <c r="B90" s="15" t="inlineStr">
        <is>
          <t>CORP</t>
        </is>
      </c>
      <c r="C90" s="15" t="inlineStr">
        <is>
          <t>2421</t>
        </is>
      </c>
      <c r="D90" s="16" t="inlineStr">
        <is>
          <t>Management and Organization Analysts</t>
        </is>
      </c>
      <c r="E90" s="15" t="inlineStr">
        <is>
          <t>Senior (7~10년)</t>
        </is>
      </c>
      <c r="F90" s="20" t="inlineStr">
        <is>
          <t>4.2%</t>
        </is>
      </c>
      <c r="G90" s="15" t="inlineStr">
        <is>
          <t>1.00 (표준)</t>
        </is>
      </c>
      <c r="H90" s="16" t="inlineStr">
        <is>
          <t>팀 내 CORP 단계 핵심 인력. 스쿼드당 1~2명 필수.</t>
        </is>
      </c>
    </row>
    <row r="91">
      <c r="A91" s="18" t="inlineStr">
        <is>
          <t>금융투자 / 핀테크 / 리스크</t>
        </is>
      </c>
      <c r="B91" s="17" t="inlineStr">
        <is>
          <t>CORP</t>
        </is>
      </c>
      <c r="C91" s="17" t="inlineStr">
        <is>
          <t>2422</t>
        </is>
      </c>
      <c r="D91" s="18" t="inlineStr">
        <is>
          <t>Policy Administration Professionals</t>
        </is>
      </c>
      <c r="E91" s="17" t="inlineStr">
        <is>
          <t>Senior (7~10년)</t>
        </is>
      </c>
      <c r="F91" s="21" t="inlineStr">
        <is>
          <t>4.2%</t>
        </is>
      </c>
      <c r="G91" s="17" t="inlineStr">
        <is>
          <t>1.05 (표준)</t>
        </is>
      </c>
      <c r="H91" s="18" t="inlineStr">
        <is>
          <t>팀 내 CORP 단계 핵심 인력. 스쿼드당 1~2명 필수.</t>
        </is>
      </c>
    </row>
    <row r="92">
      <c r="A92" s="16" t="inlineStr">
        <is>
          <t>금융투자 / 핀테크 / 리스크</t>
        </is>
      </c>
      <c r="B92" s="15" t="inlineStr">
        <is>
          <t>CORP</t>
        </is>
      </c>
      <c r="C92" s="15" t="inlineStr">
        <is>
          <t>2423</t>
        </is>
      </c>
      <c r="D92" s="16" t="inlineStr">
        <is>
          <t>Personnel and Careers Professionals</t>
        </is>
      </c>
      <c r="E92" s="15" t="inlineStr">
        <is>
          <t>Senior (7~10년)</t>
        </is>
      </c>
      <c r="F92" s="20" t="inlineStr">
        <is>
          <t>4.2%</t>
        </is>
      </c>
      <c r="G92" s="15" t="inlineStr">
        <is>
          <t>1.10 (표준)</t>
        </is>
      </c>
      <c r="H92" s="16" t="inlineStr">
        <is>
          <t>팀 내 CORP 단계 핵심 인력. 스쿼드당 1~2명 필수.</t>
        </is>
      </c>
    </row>
    <row r="93">
      <c r="A93" s="18" t="inlineStr">
        <is>
          <t>금융투자 / 핀테크 / 리스크</t>
        </is>
      </c>
      <c r="B93" s="17" t="inlineStr">
        <is>
          <t>CORP</t>
        </is>
      </c>
      <c r="C93" s="17" t="inlineStr">
        <is>
          <t>2424</t>
        </is>
      </c>
      <c r="D93" s="18" t="inlineStr">
        <is>
          <t>Training and Staff Development Professionals</t>
        </is>
      </c>
      <c r="E93" s="17" t="inlineStr">
        <is>
          <t>Senior (7~10년)</t>
        </is>
      </c>
      <c r="F93" s="21" t="inlineStr">
        <is>
          <t>4.2%</t>
        </is>
      </c>
      <c r="G93" s="17" t="inlineStr">
        <is>
          <t>1.15 (과대 편중)</t>
        </is>
      </c>
      <c r="H93" s="18" t="inlineStr">
        <is>
          <t>팀 내 CORP 단계 핵심 인력. 스쿼드당 1~2명 필수.</t>
        </is>
      </c>
    </row>
    <row r="94">
      <c r="A94" s="16" t="inlineStr">
        <is>
          <t>금융투자 / 핀테크 / 리스크</t>
        </is>
      </c>
      <c r="B94" s="15" t="inlineStr">
        <is>
          <t>CORP</t>
        </is>
      </c>
      <c r="C94" s="15" t="inlineStr">
        <is>
          <t>2431</t>
        </is>
      </c>
      <c r="D94" s="16" t="inlineStr">
        <is>
          <t>Advertising and Marketing Professionals</t>
        </is>
      </c>
      <c r="E94" s="15" t="inlineStr">
        <is>
          <t>Senior (7~10년)</t>
        </is>
      </c>
      <c r="F94" s="20" t="inlineStr">
        <is>
          <t>4.2%</t>
        </is>
      </c>
      <c r="G94" s="15" t="inlineStr">
        <is>
          <t>1.00 (표준)</t>
        </is>
      </c>
      <c r="H94" s="16" t="inlineStr">
        <is>
          <t>팀 내 CORP 단계 핵심 인력. 스쿼드당 1~2명 필수.</t>
        </is>
      </c>
    </row>
    <row r="95">
      <c r="A95" s="18" t="inlineStr">
        <is>
          <t>금융투자 / 핀테크 / 리스크</t>
        </is>
      </c>
      <c r="B95" s="17" t="inlineStr">
        <is>
          <t>CORP</t>
        </is>
      </c>
      <c r="C95" s="17" t="inlineStr">
        <is>
          <t>2432</t>
        </is>
      </c>
      <c r="D95" s="18" t="inlineStr">
        <is>
          <t>Public Relations Professionals</t>
        </is>
      </c>
      <c r="E95" s="17" t="inlineStr">
        <is>
          <t>Senior (7~10년)</t>
        </is>
      </c>
      <c r="F95" s="21" t="inlineStr">
        <is>
          <t>4.2%</t>
        </is>
      </c>
      <c r="G95" s="17" t="inlineStr">
        <is>
          <t>1.05 (표준)</t>
        </is>
      </c>
      <c r="H95" s="18" t="inlineStr">
        <is>
          <t>팀 내 CORP 단계 핵심 인력. 스쿼드당 1~2명 필수.</t>
        </is>
      </c>
    </row>
    <row r="96">
      <c r="A96" s="16" t="inlineStr">
        <is>
          <t>금융투자 / 핀테크 / 리스크</t>
        </is>
      </c>
      <c r="B96" s="15" t="inlineStr">
        <is>
          <t>CORP</t>
        </is>
      </c>
      <c r="C96" s="15" t="inlineStr">
        <is>
          <t>2433</t>
        </is>
      </c>
      <c r="D96" s="16" t="inlineStr">
        <is>
          <t>Technical and Medical Sales Professionals (excluding ICT)</t>
        </is>
      </c>
      <c r="E96" s="15" t="inlineStr">
        <is>
          <t>Senior (7~10년)</t>
        </is>
      </c>
      <c r="F96" s="20" t="inlineStr">
        <is>
          <t>4.2%</t>
        </is>
      </c>
      <c r="G96" s="15" t="inlineStr">
        <is>
          <t>1.10 (표준)</t>
        </is>
      </c>
      <c r="H96" s="16" t="inlineStr">
        <is>
          <t>팀 내 CORP 단계 핵심 인력. 스쿼드당 1~2명 필수.</t>
        </is>
      </c>
    </row>
    <row r="97">
      <c r="A97" s="18" t="inlineStr">
        <is>
          <t>금융투자 / 핀테크 / 리스크</t>
        </is>
      </c>
      <c r="B97" s="17" t="inlineStr">
        <is>
          <t>CORP</t>
        </is>
      </c>
      <c r="C97" s="17" t="inlineStr">
        <is>
          <t>2434</t>
        </is>
      </c>
      <c r="D97" s="18" t="inlineStr">
        <is>
          <t>Information and Communications Technology Sales Professionals</t>
        </is>
      </c>
      <c r="E97" s="17" t="inlineStr">
        <is>
          <t>Senior (7~10년)</t>
        </is>
      </c>
      <c r="F97" s="21" t="inlineStr">
        <is>
          <t>4.2%</t>
        </is>
      </c>
      <c r="G97" s="17" t="inlineStr">
        <is>
          <t>1.15 (과대 편중)</t>
        </is>
      </c>
      <c r="H97" s="18" t="inlineStr">
        <is>
          <t>팀 내 CORP 단계 핵심 인력. 스쿼드당 1~2명 필수.</t>
        </is>
      </c>
    </row>
    <row r="98">
      <c r="A98" s="16" t="inlineStr">
        <is>
          <t>ICT / Software &amp; Data / AI</t>
        </is>
      </c>
      <c r="B98" s="15" t="inlineStr">
        <is>
          <t>RND</t>
        </is>
      </c>
      <c r="C98" s="15" t="inlineStr">
        <is>
          <t>2511</t>
        </is>
      </c>
      <c r="D98" s="16" t="inlineStr">
        <is>
          <t>Systems Analysts</t>
        </is>
      </c>
      <c r="E98" s="15" t="inlineStr">
        <is>
          <t>Senior (7~10년)</t>
        </is>
      </c>
      <c r="F98" s="20" t="inlineStr">
        <is>
          <t>4.2%</t>
        </is>
      </c>
      <c r="G98" s="15" t="inlineStr">
        <is>
          <t>1.00 (표준)</t>
        </is>
      </c>
      <c r="H98" s="16" t="inlineStr">
        <is>
          <t>팀 내 RND 단계 핵심 인력. 스쿼드당 1~2명 필수.</t>
        </is>
      </c>
    </row>
    <row r="99">
      <c r="A99" s="18" t="inlineStr">
        <is>
          <t>ICT / Software &amp; Data / AI</t>
        </is>
      </c>
      <c r="B99" s="17" t="inlineStr">
        <is>
          <t>RND</t>
        </is>
      </c>
      <c r="C99" s="17" t="inlineStr">
        <is>
          <t>2512</t>
        </is>
      </c>
      <c r="D99" s="18" t="inlineStr">
        <is>
          <t>Software Developers</t>
        </is>
      </c>
      <c r="E99" s="17" t="inlineStr">
        <is>
          <t>Senior (7~10년)</t>
        </is>
      </c>
      <c r="F99" s="21" t="inlineStr">
        <is>
          <t>4.2%</t>
        </is>
      </c>
      <c r="G99" s="17" t="inlineStr">
        <is>
          <t>1.05 (표준)</t>
        </is>
      </c>
      <c r="H99" s="18" t="inlineStr">
        <is>
          <t>팀 내 RND 단계 핵심 인력. 스쿼드당 1~2명 필수.</t>
        </is>
      </c>
    </row>
    <row r="100">
      <c r="A100" s="16" t="inlineStr">
        <is>
          <t>ICT / Software &amp; Data / AI</t>
        </is>
      </c>
      <c r="B100" s="15" t="inlineStr">
        <is>
          <t>RND</t>
        </is>
      </c>
      <c r="C100" s="15" t="inlineStr">
        <is>
          <t>2513</t>
        </is>
      </c>
      <c r="D100" s="16" t="inlineStr">
        <is>
          <t>Web and Multimedia Developers</t>
        </is>
      </c>
      <c r="E100" s="15" t="inlineStr">
        <is>
          <t>Senior (7~10년)</t>
        </is>
      </c>
      <c r="F100" s="20" t="inlineStr">
        <is>
          <t>4.2%</t>
        </is>
      </c>
      <c r="G100" s="15" t="inlineStr">
        <is>
          <t>1.10 (표준)</t>
        </is>
      </c>
      <c r="H100" s="16" t="inlineStr">
        <is>
          <t>팀 내 RND 단계 핵심 인력. 스쿼드당 1~2명 필수.</t>
        </is>
      </c>
    </row>
    <row r="101">
      <c r="A101" s="18" t="inlineStr">
        <is>
          <t>ICT / Software &amp; Data / AI</t>
        </is>
      </c>
      <c r="B101" s="17" t="inlineStr">
        <is>
          <t>RND</t>
        </is>
      </c>
      <c r="C101" s="17" t="inlineStr">
        <is>
          <t>2514</t>
        </is>
      </c>
      <c r="D101" s="18" t="inlineStr">
        <is>
          <t>Applications Programmers</t>
        </is>
      </c>
      <c r="E101" s="17" t="inlineStr">
        <is>
          <t>Senior (7~10년)</t>
        </is>
      </c>
      <c r="F101" s="21" t="inlineStr">
        <is>
          <t>4.2%</t>
        </is>
      </c>
      <c r="G101" s="17" t="inlineStr">
        <is>
          <t>1.15 (과대 편중)</t>
        </is>
      </c>
      <c r="H101" s="18" t="inlineStr">
        <is>
          <t>팀 내 RND 단계 핵심 인력. 스쿼드당 1~2명 필수.</t>
        </is>
      </c>
    </row>
    <row r="102">
      <c r="A102" s="16" t="inlineStr">
        <is>
          <t>ICT / Software &amp; Data / AI</t>
        </is>
      </c>
      <c r="B102" s="15" t="inlineStr">
        <is>
          <t>RND</t>
        </is>
      </c>
      <c r="C102" s="15" t="inlineStr">
        <is>
          <t>2519</t>
        </is>
      </c>
      <c r="D102" s="16" t="inlineStr">
        <is>
          <t>Software and Applications Developers and Analysts Not Elsewhere Classified</t>
        </is>
      </c>
      <c r="E102" s="15" t="inlineStr">
        <is>
          <t>Senior (7~10년)</t>
        </is>
      </c>
      <c r="F102" s="20" t="inlineStr">
        <is>
          <t>4.2%</t>
        </is>
      </c>
      <c r="G102" s="15" t="inlineStr">
        <is>
          <t>1.15 (과대 편중)</t>
        </is>
      </c>
      <c r="H102" s="16" t="inlineStr">
        <is>
          <t>팀 내 RND 단계 핵심 인력. 스쿼드당 1~2명 필수.</t>
        </is>
      </c>
    </row>
    <row r="103">
      <c r="A103" s="18" t="inlineStr">
        <is>
          <t>ICT / Software &amp; Data / AI</t>
        </is>
      </c>
      <c r="B103" s="17" t="inlineStr">
        <is>
          <t>RND</t>
        </is>
      </c>
      <c r="C103" s="17" t="inlineStr">
        <is>
          <t>2521</t>
        </is>
      </c>
      <c r="D103" s="18" t="inlineStr">
        <is>
          <t>Database Designers and Administrators</t>
        </is>
      </c>
      <c r="E103" s="17" t="inlineStr">
        <is>
          <t>Senior (7~10년)</t>
        </is>
      </c>
      <c r="F103" s="21" t="inlineStr">
        <is>
          <t>4.2%</t>
        </is>
      </c>
      <c r="G103" s="17" t="inlineStr">
        <is>
          <t>1.00 (표준)</t>
        </is>
      </c>
      <c r="H103" s="18" t="inlineStr">
        <is>
          <t>팀 내 RND 단계 핵심 인력. 스쿼드당 1~2명 필수.</t>
        </is>
      </c>
    </row>
    <row r="104">
      <c r="A104" s="16" t="inlineStr">
        <is>
          <t>ICT / Software &amp; Data / AI</t>
        </is>
      </c>
      <c r="B104" s="15" t="inlineStr">
        <is>
          <t>RND</t>
        </is>
      </c>
      <c r="C104" s="15" t="inlineStr">
        <is>
          <t>2522</t>
        </is>
      </c>
      <c r="D104" s="16" t="inlineStr">
        <is>
          <t>Systems Aministrators</t>
        </is>
      </c>
      <c r="E104" s="15" t="inlineStr">
        <is>
          <t>Senior (7~10년)</t>
        </is>
      </c>
      <c r="F104" s="20" t="inlineStr">
        <is>
          <t>4.2%</t>
        </is>
      </c>
      <c r="G104" s="15" t="inlineStr">
        <is>
          <t>1.05 (표준)</t>
        </is>
      </c>
      <c r="H104" s="16" t="inlineStr">
        <is>
          <t>팀 내 RND 단계 핵심 인력. 스쿼드당 1~2명 필수.</t>
        </is>
      </c>
    </row>
    <row r="105">
      <c r="A105" s="18" t="inlineStr">
        <is>
          <t>ICT / Software &amp; Data / AI</t>
        </is>
      </c>
      <c r="B105" s="17" t="inlineStr">
        <is>
          <t>RND</t>
        </is>
      </c>
      <c r="C105" s="17" t="inlineStr">
        <is>
          <t>2523</t>
        </is>
      </c>
      <c r="D105" s="18" t="inlineStr">
        <is>
          <t>Computer Network Professionals</t>
        </is>
      </c>
      <c r="E105" s="17" t="inlineStr">
        <is>
          <t>Senior (7~10년)</t>
        </is>
      </c>
      <c r="F105" s="21" t="inlineStr">
        <is>
          <t>4.2%</t>
        </is>
      </c>
      <c r="G105" s="17" t="inlineStr">
        <is>
          <t>1.10 (표준)</t>
        </is>
      </c>
      <c r="H105" s="18" t="inlineStr">
        <is>
          <t>팀 내 RND 단계 핵심 인력. 스쿼드당 1~2명 필수.</t>
        </is>
      </c>
    </row>
    <row r="106">
      <c r="A106" s="16" t="inlineStr">
        <is>
          <t>ICT / Software &amp; Data / AI</t>
        </is>
      </c>
      <c r="B106" s="15" t="inlineStr">
        <is>
          <t>RND</t>
        </is>
      </c>
      <c r="C106" s="15" t="inlineStr">
        <is>
          <t>2529</t>
        </is>
      </c>
      <c r="D106" s="16" t="inlineStr">
        <is>
          <t>Database and Network Professionals Not Elsewhere Classified</t>
        </is>
      </c>
      <c r="E106" s="15" t="inlineStr">
        <is>
          <t>Senior (7~10년)</t>
        </is>
      </c>
      <c r="F106" s="20" t="inlineStr">
        <is>
          <t>4.2%</t>
        </is>
      </c>
      <c r="G106" s="15" t="inlineStr">
        <is>
          <t>1.15 (과대 편중)</t>
        </is>
      </c>
      <c r="H106" s="16" t="inlineStr">
        <is>
          <t>팀 내 RND 단계 핵심 인력. 스쿼드당 1~2명 필수.</t>
        </is>
      </c>
    </row>
    <row r="107">
      <c r="A107" s="18" t="inlineStr">
        <is>
          <t>법률 / 지식재산권 / 변리</t>
        </is>
      </c>
      <c r="B107" s="17" t="inlineStr">
        <is>
          <t>CORP</t>
        </is>
      </c>
      <c r="C107" s="17" t="inlineStr">
        <is>
          <t>2611</t>
        </is>
      </c>
      <c r="D107" s="18" t="inlineStr">
        <is>
          <t>Lawyers</t>
        </is>
      </c>
      <c r="E107" s="17" t="inlineStr">
        <is>
          <t>Senior (7~10년)</t>
        </is>
      </c>
      <c r="F107" s="21" t="inlineStr">
        <is>
          <t>4.2%</t>
        </is>
      </c>
      <c r="G107" s="17" t="inlineStr">
        <is>
          <t>1.00 (표준)</t>
        </is>
      </c>
      <c r="H107" s="18" t="inlineStr">
        <is>
          <t>팀 내 CORP 단계 핵심 인력. 스쿼드당 1~2명 필수.</t>
        </is>
      </c>
    </row>
    <row r="108">
      <c r="A108" s="16" t="inlineStr">
        <is>
          <t>법률 / 지식재산권 / 변리</t>
        </is>
      </c>
      <c r="B108" s="15" t="inlineStr">
        <is>
          <t>CORP</t>
        </is>
      </c>
      <c r="C108" s="15" t="inlineStr">
        <is>
          <t>2612</t>
        </is>
      </c>
      <c r="D108" s="16" t="inlineStr">
        <is>
          <t>Judges</t>
        </is>
      </c>
      <c r="E108" s="15" t="inlineStr">
        <is>
          <t>Senior (7~10년)</t>
        </is>
      </c>
      <c r="F108" s="20" t="inlineStr">
        <is>
          <t>4.2%</t>
        </is>
      </c>
      <c r="G108" s="15" t="inlineStr">
        <is>
          <t>1.05 (표준)</t>
        </is>
      </c>
      <c r="H108" s="16" t="inlineStr">
        <is>
          <t>팀 내 CORP 단계 핵심 인력. 스쿼드당 1~2명 필수.</t>
        </is>
      </c>
    </row>
    <row r="109">
      <c r="A109" s="18" t="inlineStr">
        <is>
          <t>법률 / 지식재산권 / 변리</t>
        </is>
      </c>
      <c r="B109" s="17" t="inlineStr">
        <is>
          <t>CORP</t>
        </is>
      </c>
      <c r="C109" s="17" t="inlineStr">
        <is>
          <t>2619</t>
        </is>
      </c>
      <c r="D109" s="18" t="inlineStr">
        <is>
          <t>Legal Professionals Not Elsewhere Classified</t>
        </is>
      </c>
      <c r="E109" s="17" t="inlineStr">
        <is>
          <t>Senior (7~10년)</t>
        </is>
      </c>
      <c r="F109" s="21" t="inlineStr">
        <is>
          <t>4.2%</t>
        </is>
      </c>
      <c r="G109" s="17" t="inlineStr">
        <is>
          <t>1.15 (과대 편중)</t>
        </is>
      </c>
      <c r="H109" s="18" t="inlineStr">
        <is>
          <t>팀 내 CORP 단계 핵심 인력. 스쿼드당 1~2명 필수.</t>
        </is>
      </c>
    </row>
    <row r="110">
      <c r="A110" s="16" t="inlineStr">
        <is>
          <t>법률 / 지식재산권 / 변리</t>
        </is>
      </c>
      <c r="B110" s="15" t="inlineStr">
        <is>
          <t>CORP</t>
        </is>
      </c>
      <c r="C110" s="15" t="inlineStr">
        <is>
          <t>2621</t>
        </is>
      </c>
      <c r="D110" s="16" t="inlineStr">
        <is>
          <t>Archivists and Curators</t>
        </is>
      </c>
      <c r="E110" s="15" t="inlineStr">
        <is>
          <t>Senior (7~10년)</t>
        </is>
      </c>
      <c r="F110" s="20" t="inlineStr">
        <is>
          <t>4.2%</t>
        </is>
      </c>
      <c r="G110" s="15" t="inlineStr">
        <is>
          <t>1.00 (표준)</t>
        </is>
      </c>
      <c r="H110" s="16" t="inlineStr">
        <is>
          <t>팀 내 CORP 단계 핵심 인력. 스쿼드당 1~2명 필수.</t>
        </is>
      </c>
    </row>
    <row r="111">
      <c r="A111" s="18" t="inlineStr">
        <is>
          <t>법률 / 지식재산권 / 변리</t>
        </is>
      </c>
      <c r="B111" s="17" t="inlineStr">
        <is>
          <t>CORP</t>
        </is>
      </c>
      <c r="C111" s="17" t="inlineStr">
        <is>
          <t>2622</t>
        </is>
      </c>
      <c r="D111" s="18" t="inlineStr">
        <is>
          <t>Librarians and Related Information Professionals</t>
        </is>
      </c>
      <c r="E111" s="17" t="inlineStr">
        <is>
          <t>Senior (7~10년)</t>
        </is>
      </c>
      <c r="F111" s="21" t="inlineStr">
        <is>
          <t>4.2%</t>
        </is>
      </c>
      <c r="G111" s="17" t="inlineStr">
        <is>
          <t>1.05 (표준)</t>
        </is>
      </c>
      <c r="H111" s="18" t="inlineStr">
        <is>
          <t>팀 내 CORP 단계 핵심 인력. 스쿼드당 1~2명 필수.</t>
        </is>
      </c>
    </row>
    <row r="112">
      <c r="A112" s="16" t="inlineStr">
        <is>
          <t>법률 / 지식재산권 / 변리</t>
        </is>
      </c>
      <c r="B112" s="15" t="inlineStr">
        <is>
          <t>CORP</t>
        </is>
      </c>
      <c r="C112" s="15" t="inlineStr">
        <is>
          <t>2631</t>
        </is>
      </c>
      <c r="D112" s="16" t="inlineStr">
        <is>
          <t>Economists</t>
        </is>
      </c>
      <c r="E112" s="15" t="inlineStr">
        <is>
          <t>Senior (7~10년)</t>
        </is>
      </c>
      <c r="F112" s="20" t="inlineStr">
        <is>
          <t>4.2%</t>
        </is>
      </c>
      <c r="G112" s="15" t="inlineStr">
        <is>
          <t>1.00 (표준)</t>
        </is>
      </c>
      <c r="H112" s="16" t="inlineStr">
        <is>
          <t>팀 내 CORP 단계 핵심 인력. 스쿼드당 1~2명 필수.</t>
        </is>
      </c>
    </row>
    <row r="113">
      <c r="A113" s="18" t="inlineStr">
        <is>
          <t>법률 / 지식재산권 / 변리</t>
        </is>
      </c>
      <c r="B113" s="17" t="inlineStr">
        <is>
          <t>CORP</t>
        </is>
      </c>
      <c r="C113" s="17" t="inlineStr">
        <is>
          <t>2632</t>
        </is>
      </c>
      <c r="D113" s="18" t="inlineStr">
        <is>
          <t>Sociologists, Anthropologists and Related Professionals</t>
        </is>
      </c>
      <c r="E113" s="17" t="inlineStr">
        <is>
          <t>Senior (7~10년)</t>
        </is>
      </c>
      <c r="F113" s="21" t="inlineStr">
        <is>
          <t>4.2%</t>
        </is>
      </c>
      <c r="G113" s="17" t="inlineStr">
        <is>
          <t>1.05 (표준)</t>
        </is>
      </c>
      <c r="H113" s="18" t="inlineStr">
        <is>
          <t>팀 내 CORP 단계 핵심 인력. 스쿼드당 1~2명 필수.</t>
        </is>
      </c>
    </row>
    <row r="114">
      <c r="A114" s="16" t="inlineStr">
        <is>
          <t>법률 / 지식재산권 / 변리</t>
        </is>
      </c>
      <c r="B114" s="15" t="inlineStr">
        <is>
          <t>CORP</t>
        </is>
      </c>
      <c r="C114" s="15" t="inlineStr">
        <is>
          <t>2633</t>
        </is>
      </c>
      <c r="D114" s="16" t="inlineStr">
        <is>
          <t>Philosophers, Historians and Political Scientists</t>
        </is>
      </c>
      <c r="E114" s="15" t="inlineStr">
        <is>
          <t>Senior (7~10년)</t>
        </is>
      </c>
      <c r="F114" s="20" t="inlineStr">
        <is>
          <t>4.2%</t>
        </is>
      </c>
      <c r="G114" s="15" t="inlineStr">
        <is>
          <t>1.10 (표준)</t>
        </is>
      </c>
      <c r="H114" s="16" t="inlineStr">
        <is>
          <t>팀 내 CORP 단계 핵심 인력. 스쿼드당 1~2명 필수.</t>
        </is>
      </c>
    </row>
    <row r="115">
      <c r="A115" s="18" t="inlineStr">
        <is>
          <t>법률 / 지식재산권 / 변리</t>
        </is>
      </c>
      <c r="B115" s="17" t="inlineStr">
        <is>
          <t>CORP</t>
        </is>
      </c>
      <c r="C115" s="17" t="inlineStr">
        <is>
          <t>2634</t>
        </is>
      </c>
      <c r="D115" s="18" t="inlineStr">
        <is>
          <t>Psychologists</t>
        </is>
      </c>
      <c r="E115" s="17" t="inlineStr">
        <is>
          <t>Senior (7~10년)</t>
        </is>
      </c>
      <c r="F115" s="21" t="inlineStr">
        <is>
          <t>4.2%</t>
        </is>
      </c>
      <c r="G115" s="17" t="inlineStr">
        <is>
          <t>1.15 (과대 편중)</t>
        </is>
      </c>
      <c r="H115" s="18" t="inlineStr">
        <is>
          <t>팀 내 CORP 단계 핵심 인력. 스쿼드당 1~2명 필수.</t>
        </is>
      </c>
    </row>
    <row r="116">
      <c r="A116" s="16" t="inlineStr">
        <is>
          <t>법률 / 지식재산권 / 변리</t>
        </is>
      </c>
      <c r="B116" s="15" t="inlineStr">
        <is>
          <t>CORP</t>
        </is>
      </c>
      <c r="C116" s="15" t="inlineStr">
        <is>
          <t>2635</t>
        </is>
      </c>
      <c r="D116" s="16" t="inlineStr">
        <is>
          <t>Social Work and Counselling Professionals</t>
        </is>
      </c>
      <c r="E116" s="15" t="inlineStr">
        <is>
          <t>Senior (7~10년)</t>
        </is>
      </c>
      <c r="F116" s="20" t="inlineStr">
        <is>
          <t>4.2%</t>
        </is>
      </c>
      <c r="G116" s="15" t="inlineStr">
        <is>
          <t>0.95 (표준)</t>
        </is>
      </c>
      <c r="H116" s="16" t="inlineStr">
        <is>
          <t>팀 내 CORP 단계 핵심 인력. 스쿼드당 1~2명 필수.</t>
        </is>
      </c>
    </row>
    <row r="117">
      <c r="A117" s="18" t="inlineStr">
        <is>
          <t>법률 / 지식재산권 / 변리</t>
        </is>
      </c>
      <c r="B117" s="17" t="inlineStr">
        <is>
          <t>CORP</t>
        </is>
      </c>
      <c r="C117" s="17" t="inlineStr">
        <is>
          <t>2636</t>
        </is>
      </c>
      <c r="D117" s="18" t="inlineStr">
        <is>
          <t>Religious Professionals</t>
        </is>
      </c>
      <c r="E117" s="17" t="inlineStr">
        <is>
          <t>Senior (7~10년)</t>
        </is>
      </c>
      <c r="F117" s="21" t="inlineStr">
        <is>
          <t>4.2%</t>
        </is>
      </c>
      <c r="G117" s="17" t="inlineStr">
        <is>
          <t>1.00 (표준)</t>
        </is>
      </c>
      <c r="H117" s="18" t="inlineStr">
        <is>
          <t>팀 내 CORP 단계 핵심 인력. 스쿼드당 1~2명 필수.</t>
        </is>
      </c>
    </row>
    <row r="118">
      <c r="A118" s="16" t="inlineStr">
        <is>
          <t>법률 / 지식재산권 / 변리</t>
        </is>
      </c>
      <c r="B118" s="15" t="inlineStr">
        <is>
          <t>CORP</t>
        </is>
      </c>
      <c r="C118" s="15" t="inlineStr">
        <is>
          <t>2641</t>
        </is>
      </c>
      <c r="D118" s="16" t="inlineStr">
        <is>
          <t>Authors and Related Writers</t>
        </is>
      </c>
      <c r="E118" s="15" t="inlineStr">
        <is>
          <t>Senior (7~10년)</t>
        </is>
      </c>
      <c r="F118" s="20" t="inlineStr">
        <is>
          <t>4.2%</t>
        </is>
      </c>
      <c r="G118" s="15" t="inlineStr">
        <is>
          <t>1.00 (표준)</t>
        </is>
      </c>
      <c r="H118" s="16" t="inlineStr">
        <is>
          <t>팀 내 CORP 단계 핵심 인력. 스쿼드당 1~2명 필수.</t>
        </is>
      </c>
    </row>
    <row r="119">
      <c r="A119" s="18" t="inlineStr">
        <is>
          <t>법률 / 지식재산권 / 변리</t>
        </is>
      </c>
      <c r="B119" s="17" t="inlineStr">
        <is>
          <t>CORP</t>
        </is>
      </c>
      <c r="C119" s="17" t="inlineStr">
        <is>
          <t>2642</t>
        </is>
      </c>
      <c r="D119" s="18" t="inlineStr">
        <is>
          <t>Journalists</t>
        </is>
      </c>
      <c r="E119" s="17" t="inlineStr">
        <is>
          <t>Senior (7~10년)</t>
        </is>
      </c>
      <c r="F119" s="21" t="inlineStr">
        <is>
          <t>4.2%</t>
        </is>
      </c>
      <c r="G119" s="17" t="inlineStr">
        <is>
          <t>1.05 (표준)</t>
        </is>
      </c>
      <c r="H119" s="18" t="inlineStr">
        <is>
          <t>팀 내 CORP 단계 핵심 인력. 스쿼드당 1~2명 필수.</t>
        </is>
      </c>
    </row>
    <row r="120">
      <c r="A120" s="16" t="inlineStr">
        <is>
          <t>법률 / 지식재산권 / 변리</t>
        </is>
      </c>
      <c r="B120" s="15" t="inlineStr">
        <is>
          <t>CORP</t>
        </is>
      </c>
      <c r="C120" s="15" t="inlineStr">
        <is>
          <t>2643</t>
        </is>
      </c>
      <c r="D120" s="16" t="inlineStr">
        <is>
          <t>Translators, Interpreters and Other Linguists</t>
        </is>
      </c>
      <c r="E120" s="15" t="inlineStr">
        <is>
          <t>Senior (7~10년)</t>
        </is>
      </c>
      <c r="F120" s="20" t="inlineStr">
        <is>
          <t>4.2%</t>
        </is>
      </c>
      <c r="G120" s="15" t="inlineStr">
        <is>
          <t>1.10 (표준)</t>
        </is>
      </c>
      <c r="H120" s="16" t="inlineStr">
        <is>
          <t>팀 내 CORP 단계 핵심 인력. 스쿼드당 1~2명 필수.</t>
        </is>
      </c>
    </row>
    <row r="121">
      <c r="A121" s="18" t="inlineStr">
        <is>
          <t>법률 / 지식재산권 / 변리</t>
        </is>
      </c>
      <c r="B121" s="17" t="inlineStr">
        <is>
          <t>CORP</t>
        </is>
      </c>
      <c r="C121" s="17" t="inlineStr">
        <is>
          <t>2651</t>
        </is>
      </c>
      <c r="D121" s="18" t="inlineStr">
        <is>
          <t>Visual Artists</t>
        </is>
      </c>
      <c r="E121" s="17" t="inlineStr">
        <is>
          <t>Senior (7~10년)</t>
        </is>
      </c>
      <c r="F121" s="21" t="inlineStr">
        <is>
          <t>4.2%</t>
        </is>
      </c>
      <c r="G121" s="17" t="inlineStr">
        <is>
          <t>1.00 (표준)</t>
        </is>
      </c>
      <c r="H121" s="18" t="inlineStr">
        <is>
          <t>팀 내 CORP 단계 핵심 인력. 스쿼드당 1~2명 필수.</t>
        </is>
      </c>
    </row>
    <row r="122">
      <c r="A122" s="16" t="inlineStr">
        <is>
          <t>법률 / 지식재산권 / 변리</t>
        </is>
      </c>
      <c r="B122" s="15" t="inlineStr">
        <is>
          <t>CORP</t>
        </is>
      </c>
      <c r="C122" s="15" t="inlineStr">
        <is>
          <t>2652</t>
        </is>
      </c>
      <c r="D122" s="16" t="inlineStr">
        <is>
          <t>Musicians, Singers and Composers</t>
        </is>
      </c>
      <c r="E122" s="15" t="inlineStr">
        <is>
          <t>Senior (7~10년)</t>
        </is>
      </c>
      <c r="F122" s="20" t="inlineStr">
        <is>
          <t>4.2%</t>
        </is>
      </c>
      <c r="G122" s="15" t="inlineStr">
        <is>
          <t>1.05 (표준)</t>
        </is>
      </c>
      <c r="H122" s="16" t="inlineStr">
        <is>
          <t>팀 내 CORP 단계 핵심 인력. 스쿼드당 1~2명 필수.</t>
        </is>
      </c>
    </row>
    <row r="123">
      <c r="A123" s="18" t="inlineStr">
        <is>
          <t>법률 / 지식재산권 / 변리</t>
        </is>
      </c>
      <c r="B123" s="17" t="inlineStr">
        <is>
          <t>CORP</t>
        </is>
      </c>
      <c r="C123" s="17" t="inlineStr">
        <is>
          <t>2653</t>
        </is>
      </c>
      <c r="D123" s="18" t="inlineStr">
        <is>
          <t>Dancers and Choreographers</t>
        </is>
      </c>
      <c r="E123" s="17" t="inlineStr">
        <is>
          <t>Senior (7~10년)</t>
        </is>
      </c>
      <c r="F123" s="21" t="inlineStr">
        <is>
          <t>4.2%</t>
        </is>
      </c>
      <c r="G123" s="17" t="inlineStr">
        <is>
          <t>1.10 (표준)</t>
        </is>
      </c>
      <c r="H123" s="18" t="inlineStr">
        <is>
          <t>팀 내 CORP 단계 핵심 인력. 스쿼드당 1~2명 필수.</t>
        </is>
      </c>
    </row>
    <row r="124">
      <c r="A124" s="16" t="inlineStr">
        <is>
          <t>법률 / 지식재산권 / 변리</t>
        </is>
      </c>
      <c r="B124" s="15" t="inlineStr">
        <is>
          <t>CORP</t>
        </is>
      </c>
      <c r="C124" s="15" t="inlineStr">
        <is>
          <t>2654</t>
        </is>
      </c>
      <c r="D124" s="16" t="inlineStr">
        <is>
          <t>Film, Stage and Related Directors and Producers</t>
        </is>
      </c>
      <c r="E124" s="15" t="inlineStr">
        <is>
          <t>Senior (7~10년)</t>
        </is>
      </c>
      <c r="F124" s="20" t="inlineStr">
        <is>
          <t>4.2%</t>
        </is>
      </c>
      <c r="G124" s="15" t="inlineStr">
        <is>
          <t>1.15 (과대 편중)</t>
        </is>
      </c>
      <c r="H124" s="16" t="inlineStr">
        <is>
          <t>팀 내 CORP 단계 핵심 인력. 스쿼드당 1~2명 필수.</t>
        </is>
      </c>
    </row>
    <row r="125">
      <c r="A125" s="18" t="inlineStr">
        <is>
          <t>법률 / 지식재산권 / 변리</t>
        </is>
      </c>
      <c r="B125" s="17" t="inlineStr">
        <is>
          <t>CORP</t>
        </is>
      </c>
      <c r="C125" s="17" t="inlineStr">
        <is>
          <t>2655</t>
        </is>
      </c>
      <c r="D125" s="18" t="inlineStr">
        <is>
          <t>Actors</t>
        </is>
      </c>
      <c r="E125" s="17" t="inlineStr">
        <is>
          <t>Senior (7~10년)</t>
        </is>
      </c>
      <c r="F125" s="21" t="inlineStr">
        <is>
          <t>4.2%</t>
        </is>
      </c>
      <c r="G125" s="17" t="inlineStr">
        <is>
          <t>0.95 (표준)</t>
        </is>
      </c>
      <c r="H125" s="18" t="inlineStr">
        <is>
          <t>팀 내 CORP 단계 핵심 인력. 스쿼드당 1~2명 필수.</t>
        </is>
      </c>
    </row>
    <row r="126">
      <c r="A126" s="16" t="inlineStr">
        <is>
          <t>법률 / 지식재산권 / 변리</t>
        </is>
      </c>
      <c r="B126" s="15" t="inlineStr">
        <is>
          <t>CORP</t>
        </is>
      </c>
      <c r="C126" s="15" t="inlineStr">
        <is>
          <t>2656</t>
        </is>
      </c>
      <c r="D126" s="16" t="inlineStr">
        <is>
          <t>Announcers on Radio, Television and Other Media</t>
        </is>
      </c>
      <c r="E126" s="15" t="inlineStr">
        <is>
          <t>Senior (7~10년)</t>
        </is>
      </c>
      <c r="F126" s="20" t="inlineStr">
        <is>
          <t>4.2%</t>
        </is>
      </c>
      <c r="G126" s="15" t="inlineStr">
        <is>
          <t>1.00 (표준)</t>
        </is>
      </c>
      <c r="H126" s="16" t="inlineStr">
        <is>
          <t>팀 내 CORP 단계 핵심 인력. 스쿼드당 1~2명 필수.</t>
        </is>
      </c>
    </row>
    <row r="127">
      <c r="A127" s="18" t="inlineStr">
        <is>
          <t>법률 / 지식재산권 / 변리</t>
        </is>
      </c>
      <c r="B127" s="17" t="inlineStr">
        <is>
          <t>CORP</t>
        </is>
      </c>
      <c r="C127" s="17" t="inlineStr">
        <is>
          <t>2659</t>
        </is>
      </c>
      <c r="D127" s="18" t="inlineStr">
        <is>
          <t>Creative and Performing Artists Not Elsewhere Classified</t>
        </is>
      </c>
      <c r="E127" s="17" t="inlineStr">
        <is>
          <t>Senior (7~10년)</t>
        </is>
      </c>
      <c r="F127" s="21" t="inlineStr">
        <is>
          <t>4.2%</t>
        </is>
      </c>
      <c r="G127" s="17" t="inlineStr">
        <is>
          <t>1.15 (과대 편중)</t>
        </is>
      </c>
      <c r="H127" s="18" t="inlineStr">
        <is>
          <t>팀 내 CORP 단계 핵심 인력. 스쿼드당 1~2명 필수.</t>
        </is>
      </c>
    </row>
    <row r="128">
      <c r="A128" s="16" t="inlineStr">
        <is>
          <t>반도체 / 전자회로 / 하드웨어</t>
        </is>
      </c>
      <c r="B128" s="15" t="inlineStr">
        <is>
          <t>OPS</t>
        </is>
      </c>
      <c r="C128" s="15" t="inlineStr">
        <is>
          <t>3111</t>
        </is>
      </c>
      <c r="D128" s="16" t="inlineStr">
        <is>
          <t>Chemical and Physical Science Technicians</t>
        </is>
      </c>
      <c r="E128" s="15" t="inlineStr">
        <is>
          <t>Mid (4~6년)</t>
        </is>
      </c>
      <c r="F128" s="20" t="inlineStr">
        <is>
          <t>4.2%</t>
        </is>
      </c>
      <c r="G128" s="15" t="inlineStr">
        <is>
          <t>1.00 (표준)</t>
        </is>
      </c>
      <c r="H128" s="16" t="inlineStr">
        <is>
          <t>팀 내 OPS 단계 핵심 인력. 스쿼드당 1~2명 필수.</t>
        </is>
      </c>
    </row>
    <row r="129">
      <c r="A129" s="18" t="inlineStr">
        <is>
          <t>반도체 / 전자회로 / 하드웨어</t>
        </is>
      </c>
      <c r="B129" s="17" t="inlineStr">
        <is>
          <t>OPS</t>
        </is>
      </c>
      <c r="C129" s="17" t="inlineStr">
        <is>
          <t>3112</t>
        </is>
      </c>
      <c r="D129" s="18" t="inlineStr">
        <is>
          <t>Civil Engineering Technicians</t>
        </is>
      </c>
      <c r="E129" s="17" t="inlineStr">
        <is>
          <t>Mid (4~6년)</t>
        </is>
      </c>
      <c r="F129" s="21" t="inlineStr">
        <is>
          <t>4.2%</t>
        </is>
      </c>
      <c r="G129" s="17" t="inlineStr">
        <is>
          <t>1.05 (표준)</t>
        </is>
      </c>
      <c r="H129" s="18" t="inlineStr">
        <is>
          <t>팀 내 OPS 단계 핵심 인력. 스쿼드당 1~2명 필수.</t>
        </is>
      </c>
    </row>
    <row r="130">
      <c r="A130" s="16" t="inlineStr">
        <is>
          <t>반도체 / 전자회로 / 하드웨어</t>
        </is>
      </c>
      <c r="B130" s="15" t="inlineStr">
        <is>
          <t>OPS</t>
        </is>
      </c>
      <c r="C130" s="15" t="inlineStr">
        <is>
          <t>3113</t>
        </is>
      </c>
      <c r="D130" s="16" t="inlineStr">
        <is>
          <t>Electrical Engineering Technicians</t>
        </is>
      </c>
      <c r="E130" s="15" t="inlineStr">
        <is>
          <t>Mid (4~6년)</t>
        </is>
      </c>
      <c r="F130" s="20" t="inlineStr">
        <is>
          <t>4.2%</t>
        </is>
      </c>
      <c r="G130" s="15" t="inlineStr">
        <is>
          <t>1.10 (표준)</t>
        </is>
      </c>
      <c r="H130" s="16" t="inlineStr">
        <is>
          <t>팀 내 OPS 단계 핵심 인력. 스쿼드당 1~2명 필수.</t>
        </is>
      </c>
    </row>
    <row r="131">
      <c r="A131" s="18" t="inlineStr">
        <is>
          <t>반도체 / 전자회로 / 하드웨어</t>
        </is>
      </c>
      <c r="B131" s="17" t="inlineStr">
        <is>
          <t>OPS</t>
        </is>
      </c>
      <c r="C131" s="17" t="inlineStr">
        <is>
          <t>3114</t>
        </is>
      </c>
      <c r="D131" s="18" t="inlineStr">
        <is>
          <t>Electronics Engineering Technicians</t>
        </is>
      </c>
      <c r="E131" s="17" t="inlineStr">
        <is>
          <t>Mid (4~6년)</t>
        </is>
      </c>
      <c r="F131" s="21" t="inlineStr">
        <is>
          <t>4.2%</t>
        </is>
      </c>
      <c r="G131" s="17" t="inlineStr">
        <is>
          <t>1.15 (과대 편중)</t>
        </is>
      </c>
      <c r="H131" s="18" t="inlineStr">
        <is>
          <t>팀 내 OPS 단계 핵심 인력. 스쿼드당 1~2명 필수.</t>
        </is>
      </c>
    </row>
    <row r="132">
      <c r="A132" s="16" t="inlineStr">
        <is>
          <t>반도체 / 전자회로 / 하드웨어</t>
        </is>
      </c>
      <c r="B132" s="15" t="inlineStr">
        <is>
          <t>OPS</t>
        </is>
      </c>
      <c r="C132" s="15" t="inlineStr">
        <is>
          <t>3115</t>
        </is>
      </c>
      <c r="D132" s="16" t="inlineStr">
        <is>
          <t>Mechanical Engineering Technicians</t>
        </is>
      </c>
      <c r="E132" s="15" t="inlineStr">
        <is>
          <t>Mid (4~6년)</t>
        </is>
      </c>
      <c r="F132" s="20" t="inlineStr">
        <is>
          <t>4.2%</t>
        </is>
      </c>
      <c r="G132" s="15" t="inlineStr">
        <is>
          <t>0.95 (표준)</t>
        </is>
      </c>
      <c r="H132" s="16" t="inlineStr">
        <is>
          <t>팀 내 OPS 단계 핵심 인력. 스쿼드당 1~2명 필수.</t>
        </is>
      </c>
    </row>
    <row r="133">
      <c r="A133" s="18" t="inlineStr">
        <is>
          <t>반도체 / 전자회로 / 하드웨어</t>
        </is>
      </c>
      <c r="B133" s="17" t="inlineStr">
        <is>
          <t>OPS</t>
        </is>
      </c>
      <c r="C133" s="17" t="inlineStr">
        <is>
          <t>3116</t>
        </is>
      </c>
      <c r="D133" s="18" t="inlineStr">
        <is>
          <t>Chemical Engineering Technicians</t>
        </is>
      </c>
      <c r="E133" s="17" t="inlineStr">
        <is>
          <t>Mid (4~6년)</t>
        </is>
      </c>
      <c r="F133" s="21" t="inlineStr">
        <is>
          <t>4.2%</t>
        </is>
      </c>
      <c r="G133" s="17" t="inlineStr">
        <is>
          <t>1.00 (표준)</t>
        </is>
      </c>
      <c r="H133" s="18" t="inlineStr">
        <is>
          <t>팀 내 OPS 단계 핵심 인력. 스쿼드당 1~2명 필수.</t>
        </is>
      </c>
    </row>
    <row r="134">
      <c r="A134" s="16" t="inlineStr">
        <is>
          <t>반도체 / 전자회로 / 하드웨어</t>
        </is>
      </c>
      <c r="B134" s="15" t="inlineStr">
        <is>
          <t>OPS</t>
        </is>
      </c>
      <c r="C134" s="15" t="inlineStr">
        <is>
          <t>3117</t>
        </is>
      </c>
      <c r="D134" s="16" t="inlineStr">
        <is>
          <t>Mining and metallurgical technicians</t>
        </is>
      </c>
      <c r="E134" s="15" t="inlineStr">
        <is>
          <t>Mid (4~6년)</t>
        </is>
      </c>
      <c r="F134" s="20" t="inlineStr">
        <is>
          <t>4.2%</t>
        </is>
      </c>
      <c r="G134" s="15" t="inlineStr">
        <is>
          <t>1.05 (표준)</t>
        </is>
      </c>
      <c r="H134" s="16" t="inlineStr">
        <is>
          <t>팀 내 OPS 단계 핵심 인력. 스쿼드당 1~2명 필수.</t>
        </is>
      </c>
    </row>
    <row r="135">
      <c r="A135" s="18" t="inlineStr">
        <is>
          <t>반도체 / 전자회로 / 하드웨어</t>
        </is>
      </c>
      <c r="B135" s="17" t="inlineStr">
        <is>
          <t>OPS</t>
        </is>
      </c>
      <c r="C135" s="17" t="inlineStr">
        <is>
          <t>3118</t>
        </is>
      </c>
      <c r="D135" s="18" t="inlineStr">
        <is>
          <t>Draughtspersons</t>
        </is>
      </c>
      <c r="E135" s="17" t="inlineStr">
        <is>
          <t>Mid (4~6년)</t>
        </is>
      </c>
      <c r="F135" s="21" t="inlineStr">
        <is>
          <t>4.2%</t>
        </is>
      </c>
      <c r="G135" s="17" t="inlineStr">
        <is>
          <t>1.10 (표준)</t>
        </is>
      </c>
      <c r="H135" s="18" t="inlineStr">
        <is>
          <t>팀 내 OPS 단계 핵심 인력. 스쿼드당 1~2명 필수.</t>
        </is>
      </c>
    </row>
    <row r="136">
      <c r="A136" s="16" t="inlineStr">
        <is>
          <t>반도체 / 전자회로 / 하드웨어</t>
        </is>
      </c>
      <c r="B136" s="15" t="inlineStr">
        <is>
          <t>OPS</t>
        </is>
      </c>
      <c r="C136" s="15" t="inlineStr">
        <is>
          <t>3119</t>
        </is>
      </c>
      <c r="D136" s="16" t="inlineStr">
        <is>
          <t>Physical and Engineering Science Technicians Not Elsewhere Classified</t>
        </is>
      </c>
      <c r="E136" s="15" t="inlineStr">
        <is>
          <t>Mid (4~6년)</t>
        </is>
      </c>
      <c r="F136" s="20" t="inlineStr">
        <is>
          <t>4.2%</t>
        </is>
      </c>
      <c r="G136" s="15" t="inlineStr">
        <is>
          <t>1.15 (과대 편중)</t>
        </is>
      </c>
      <c r="H136" s="16" t="inlineStr">
        <is>
          <t>팀 내 OPS 단계 핵심 인력. 스쿼드당 1~2명 필수.</t>
        </is>
      </c>
    </row>
    <row r="137">
      <c r="A137" s="18" t="inlineStr">
        <is>
          <t>반도체 / 전자회로 / 하드웨어</t>
        </is>
      </c>
      <c r="B137" s="17" t="inlineStr">
        <is>
          <t>OPS</t>
        </is>
      </c>
      <c r="C137" s="17" t="inlineStr">
        <is>
          <t>3121</t>
        </is>
      </c>
      <c r="D137" s="18" t="inlineStr">
        <is>
          <t>Mining Supervisors</t>
        </is>
      </c>
      <c r="E137" s="17" t="inlineStr">
        <is>
          <t>Mid (4~6년)</t>
        </is>
      </c>
      <c r="F137" s="21" t="inlineStr">
        <is>
          <t>4.2%</t>
        </is>
      </c>
      <c r="G137" s="17" t="inlineStr">
        <is>
          <t>1.00 (표준)</t>
        </is>
      </c>
      <c r="H137" s="18" t="inlineStr">
        <is>
          <t>팀 내 OPS 단계 핵심 인력. 스쿼드당 1~2명 필수.</t>
        </is>
      </c>
    </row>
    <row r="138">
      <c r="A138" s="16" t="inlineStr">
        <is>
          <t>반도체 / 전자회로 / 하드웨어</t>
        </is>
      </c>
      <c r="B138" s="15" t="inlineStr">
        <is>
          <t>OPS</t>
        </is>
      </c>
      <c r="C138" s="15" t="inlineStr">
        <is>
          <t>3122</t>
        </is>
      </c>
      <c r="D138" s="16" t="inlineStr">
        <is>
          <t>Manufacturing Supervisors</t>
        </is>
      </c>
      <c r="E138" s="15" t="inlineStr">
        <is>
          <t>Mid (4~6년)</t>
        </is>
      </c>
      <c r="F138" s="20" t="inlineStr">
        <is>
          <t>4.2%</t>
        </is>
      </c>
      <c r="G138" s="15" t="inlineStr">
        <is>
          <t>1.05 (표준)</t>
        </is>
      </c>
      <c r="H138" s="16" t="inlineStr">
        <is>
          <t>팀 내 OPS 단계 핵심 인력. 스쿼드당 1~2명 필수.</t>
        </is>
      </c>
    </row>
    <row r="139">
      <c r="A139" s="18" t="inlineStr">
        <is>
          <t>반도체 / 전자회로 / 하드웨어</t>
        </is>
      </c>
      <c r="B139" s="17" t="inlineStr">
        <is>
          <t>OPS</t>
        </is>
      </c>
      <c r="C139" s="17" t="inlineStr">
        <is>
          <t>3123</t>
        </is>
      </c>
      <c r="D139" s="18" t="inlineStr">
        <is>
          <t>Construction Supervisors</t>
        </is>
      </c>
      <c r="E139" s="17" t="inlineStr">
        <is>
          <t>Mid (4~6년)</t>
        </is>
      </c>
      <c r="F139" s="21" t="inlineStr">
        <is>
          <t>4.2%</t>
        </is>
      </c>
      <c r="G139" s="17" t="inlineStr">
        <is>
          <t>1.10 (표준)</t>
        </is>
      </c>
      <c r="H139" s="18" t="inlineStr">
        <is>
          <t>팀 내 OPS 단계 핵심 인력. 스쿼드당 1~2명 필수.</t>
        </is>
      </c>
    </row>
    <row r="140">
      <c r="A140" s="16" t="inlineStr">
        <is>
          <t>반도체 / 전자회로 / 하드웨어</t>
        </is>
      </c>
      <c r="B140" s="15" t="inlineStr">
        <is>
          <t>OPS</t>
        </is>
      </c>
      <c r="C140" s="15" t="inlineStr">
        <is>
          <t>3131</t>
        </is>
      </c>
      <c r="D140" s="16" t="inlineStr">
        <is>
          <t>Power Production Plant Operators</t>
        </is>
      </c>
      <c r="E140" s="15" t="inlineStr">
        <is>
          <t>Mid (4~6년)</t>
        </is>
      </c>
      <c r="F140" s="20" t="inlineStr">
        <is>
          <t>4.2%</t>
        </is>
      </c>
      <c r="G140" s="15" t="inlineStr">
        <is>
          <t>1.00 (표준)</t>
        </is>
      </c>
      <c r="H140" s="16" t="inlineStr">
        <is>
          <t>팀 내 OPS 단계 핵심 인력. 스쿼드당 1~2명 필수.</t>
        </is>
      </c>
    </row>
    <row r="141">
      <c r="A141" s="18" t="inlineStr">
        <is>
          <t>반도체 / 전자회로 / 하드웨어</t>
        </is>
      </c>
      <c r="B141" s="17" t="inlineStr">
        <is>
          <t>OPS</t>
        </is>
      </c>
      <c r="C141" s="17" t="inlineStr">
        <is>
          <t>3132</t>
        </is>
      </c>
      <c r="D141" s="18" t="inlineStr">
        <is>
          <t>Incinerator and Water Treatment Plant Operators</t>
        </is>
      </c>
      <c r="E141" s="17" t="inlineStr">
        <is>
          <t>Mid (4~6년)</t>
        </is>
      </c>
      <c r="F141" s="21" t="inlineStr">
        <is>
          <t>4.2%</t>
        </is>
      </c>
      <c r="G141" s="17" t="inlineStr">
        <is>
          <t>1.05 (표준)</t>
        </is>
      </c>
      <c r="H141" s="18" t="inlineStr">
        <is>
          <t>팀 내 OPS 단계 핵심 인력. 스쿼드당 1~2명 필수.</t>
        </is>
      </c>
    </row>
    <row r="142">
      <c r="A142" s="16" t="inlineStr">
        <is>
          <t>반도체 / 전자회로 / 하드웨어</t>
        </is>
      </c>
      <c r="B142" s="15" t="inlineStr">
        <is>
          <t>OPS</t>
        </is>
      </c>
      <c r="C142" s="15" t="inlineStr">
        <is>
          <t>3133</t>
        </is>
      </c>
      <c r="D142" s="16" t="inlineStr">
        <is>
          <t>Chemical Processing Plant Controllers</t>
        </is>
      </c>
      <c r="E142" s="15" t="inlineStr">
        <is>
          <t>Mid (4~6년)</t>
        </is>
      </c>
      <c r="F142" s="20" t="inlineStr">
        <is>
          <t>4.2%</t>
        </is>
      </c>
      <c r="G142" s="15" t="inlineStr">
        <is>
          <t>1.10 (표준)</t>
        </is>
      </c>
      <c r="H142" s="16" t="inlineStr">
        <is>
          <t>팀 내 OPS 단계 핵심 인력. 스쿼드당 1~2명 필수.</t>
        </is>
      </c>
    </row>
    <row r="143">
      <c r="A143" s="18" t="inlineStr">
        <is>
          <t>반도체 / 전자회로 / 하드웨어</t>
        </is>
      </c>
      <c r="B143" s="17" t="inlineStr">
        <is>
          <t>OPS</t>
        </is>
      </c>
      <c r="C143" s="17" t="inlineStr">
        <is>
          <t>3134</t>
        </is>
      </c>
      <c r="D143" s="18" t="inlineStr">
        <is>
          <t>Petroleum and Natural Gas Refining Plant Operators</t>
        </is>
      </c>
      <c r="E143" s="17" t="inlineStr">
        <is>
          <t>Mid (4~6년)</t>
        </is>
      </c>
      <c r="F143" s="21" t="inlineStr">
        <is>
          <t>4.2%</t>
        </is>
      </c>
      <c r="G143" s="17" t="inlineStr">
        <is>
          <t>1.15 (과대 편중)</t>
        </is>
      </c>
      <c r="H143" s="18" t="inlineStr">
        <is>
          <t>팀 내 OPS 단계 핵심 인력. 스쿼드당 1~2명 필수.</t>
        </is>
      </c>
    </row>
    <row r="144">
      <c r="A144" s="16" t="inlineStr">
        <is>
          <t>반도체 / 전자회로 / 하드웨어</t>
        </is>
      </c>
      <c r="B144" s="15" t="inlineStr">
        <is>
          <t>OPS</t>
        </is>
      </c>
      <c r="C144" s="15" t="inlineStr">
        <is>
          <t>3135</t>
        </is>
      </c>
      <c r="D144" s="16" t="inlineStr">
        <is>
          <t>Metal Production Process Controllers</t>
        </is>
      </c>
      <c r="E144" s="15" t="inlineStr">
        <is>
          <t>Mid (4~6년)</t>
        </is>
      </c>
      <c r="F144" s="20" t="inlineStr">
        <is>
          <t>4.2%</t>
        </is>
      </c>
      <c r="G144" s="15" t="inlineStr">
        <is>
          <t>0.95 (표준)</t>
        </is>
      </c>
      <c r="H144" s="16" t="inlineStr">
        <is>
          <t>팀 내 OPS 단계 핵심 인력. 스쿼드당 1~2명 필수.</t>
        </is>
      </c>
    </row>
    <row r="145">
      <c r="A145" s="18" t="inlineStr">
        <is>
          <t>반도체 / 전자회로 / 하드웨어</t>
        </is>
      </c>
      <c r="B145" s="17" t="inlineStr">
        <is>
          <t>OPS</t>
        </is>
      </c>
      <c r="C145" s="17" t="inlineStr">
        <is>
          <t>3139</t>
        </is>
      </c>
      <c r="D145" s="18" t="inlineStr">
        <is>
          <t>Process Control Technicians Not Elsewhere Classified</t>
        </is>
      </c>
      <c r="E145" s="17" t="inlineStr">
        <is>
          <t>Mid (4~6년)</t>
        </is>
      </c>
      <c r="F145" s="21" t="inlineStr">
        <is>
          <t>4.2%</t>
        </is>
      </c>
      <c r="G145" s="17" t="inlineStr">
        <is>
          <t>1.15 (과대 편중)</t>
        </is>
      </c>
      <c r="H145" s="18" t="inlineStr">
        <is>
          <t>팀 내 OPS 단계 핵심 인력. 스쿼드당 1~2명 필수.</t>
        </is>
      </c>
    </row>
    <row r="146">
      <c r="A146" s="16" t="inlineStr">
        <is>
          <t>반도체 / 전자회로 / 하드웨어</t>
        </is>
      </c>
      <c r="B146" s="15" t="inlineStr">
        <is>
          <t>OPS</t>
        </is>
      </c>
      <c r="C146" s="15" t="inlineStr">
        <is>
          <t>3141</t>
        </is>
      </c>
      <c r="D146" s="16" t="inlineStr">
        <is>
          <t>Life Science Technicians (excluding Medical)</t>
        </is>
      </c>
      <c r="E146" s="15" t="inlineStr">
        <is>
          <t>Mid (4~6년)</t>
        </is>
      </c>
      <c r="F146" s="20" t="inlineStr">
        <is>
          <t>4.2%</t>
        </is>
      </c>
      <c r="G146" s="15" t="inlineStr">
        <is>
          <t>1.00 (표준)</t>
        </is>
      </c>
      <c r="H146" s="16" t="inlineStr">
        <is>
          <t>팀 내 OPS 단계 핵심 인력. 스쿼드당 1~2명 필수.</t>
        </is>
      </c>
    </row>
    <row r="147">
      <c r="A147" s="18" t="inlineStr">
        <is>
          <t>반도체 / 전자회로 / 하드웨어</t>
        </is>
      </c>
      <c r="B147" s="17" t="inlineStr">
        <is>
          <t>OPS</t>
        </is>
      </c>
      <c r="C147" s="17" t="inlineStr">
        <is>
          <t>3142</t>
        </is>
      </c>
      <c r="D147" s="18" t="inlineStr">
        <is>
          <t>Agricultural Technicians</t>
        </is>
      </c>
      <c r="E147" s="17" t="inlineStr">
        <is>
          <t>Mid (4~6년)</t>
        </is>
      </c>
      <c r="F147" s="21" t="inlineStr">
        <is>
          <t>4.2%</t>
        </is>
      </c>
      <c r="G147" s="17" t="inlineStr">
        <is>
          <t>1.05 (표준)</t>
        </is>
      </c>
      <c r="H147" s="18" t="inlineStr">
        <is>
          <t>팀 내 OPS 단계 핵심 인력. 스쿼드당 1~2명 필수.</t>
        </is>
      </c>
    </row>
    <row r="148">
      <c r="A148" s="16" t="inlineStr">
        <is>
          <t>반도체 / 전자회로 / 하드웨어</t>
        </is>
      </c>
      <c r="B148" s="15" t="inlineStr">
        <is>
          <t>OPS</t>
        </is>
      </c>
      <c r="C148" s="15" t="inlineStr">
        <is>
          <t>3143</t>
        </is>
      </c>
      <c r="D148" s="16" t="inlineStr">
        <is>
          <t>Forestry Technicians</t>
        </is>
      </c>
      <c r="E148" s="15" t="inlineStr">
        <is>
          <t>Mid (4~6년)</t>
        </is>
      </c>
      <c r="F148" s="20" t="inlineStr">
        <is>
          <t>4.2%</t>
        </is>
      </c>
      <c r="G148" s="15" t="inlineStr">
        <is>
          <t>1.10 (표준)</t>
        </is>
      </c>
      <c r="H148" s="16" t="inlineStr">
        <is>
          <t>팀 내 OPS 단계 핵심 인력. 스쿼드당 1~2명 필수.</t>
        </is>
      </c>
    </row>
    <row r="149">
      <c r="A149" s="18" t="inlineStr">
        <is>
          <t>반도체 / 전자회로 / 하드웨어</t>
        </is>
      </c>
      <c r="B149" s="17" t="inlineStr">
        <is>
          <t>OPS</t>
        </is>
      </c>
      <c r="C149" s="17" t="inlineStr">
        <is>
          <t>3151</t>
        </is>
      </c>
      <c r="D149" s="18" t="inlineStr">
        <is>
          <t>Ships' Engineers</t>
        </is>
      </c>
      <c r="E149" s="17" t="inlineStr">
        <is>
          <t>Mid (4~6년)</t>
        </is>
      </c>
      <c r="F149" s="21" t="inlineStr">
        <is>
          <t>4.2%</t>
        </is>
      </c>
      <c r="G149" s="17" t="inlineStr">
        <is>
          <t>1.00 (표준)</t>
        </is>
      </c>
      <c r="H149" s="18" t="inlineStr">
        <is>
          <t>팀 내 OPS 단계 핵심 인력. 스쿼드당 1~2명 필수.</t>
        </is>
      </c>
    </row>
    <row r="150">
      <c r="A150" s="16" t="inlineStr">
        <is>
          <t>반도체 / 전자회로 / 하드웨어</t>
        </is>
      </c>
      <c r="B150" s="15" t="inlineStr">
        <is>
          <t>OPS</t>
        </is>
      </c>
      <c r="C150" s="15" t="inlineStr">
        <is>
          <t>3152</t>
        </is>
      </c>
      <c r="D150" s="16" t="inlineStr">
        <is>
          <t>Ships' Deck Officers and Pilots</t>
        </is>
      </c>
      <c r="E150" s="15" t="inlineStr">
        <is>
          <t>Mid (4~6년)</t>
        </is>
      </c>
      <c r="F150" s="20" t="inlineStr">
        <is>
          <t>4.2%</t>
        </is>
      </c>
      <c r="G150" s="15" t="inlineStr">
        <is>
          <t>1.05 (표준)</t>
        </is>
      </c>
      <c r="H150" s="16" t="inlineStr">
        <is>
          <t>팀 내 OPS 단계 핵심 인력. 스쿼드당 1~2명 필수.</t>
        </is>
      </c>
    </row>
    <row r="151">
      <c r="A151" s="18" t="inlineStr">
        <is>
          <t>반도체 / 전자회로 / 하드웨어</t>
        </is>
      </c>
      <c r="B151" s="17" t="inlineStr">
        <is>
          <t>OPS</t>
        </is>
      </c>
      <c r="C151" s="17" t="inlineStr">
        <is>
          <t>3153</t>
        </is>
      </c>
      <c r="D151" s="18" t="inlineStr">
        <is>
          <t>Aircraft Pilots and Related Associate Professionals</t>
        </is>
      </c>
      <c r="E151" s="17" t="inlineStr">
        <is>
          <t>Mid (4~6년)</t>
        </is>
      </c>
      <c r="F151" s="21" t="inlineStr">
        <is>
          <t>4.2%</t>
        </is>
      </c>
      <c r="G151" s="17" t="inlineStr">
        <is>
          <t>1.10 (표준)</t>
        </is>
      </c>
      <c r="H151" s="18" t="inlineStr">
        <is>
          <t>팀 내 OPS 단계 핵심 인력. 스쿼드당 1~2명 필수.</t>
        </is>
      </c>
    </row>
    <row r="152">
      <c r="A152" s="16" t="inlineStr">
        <is>
          <t>반도체 / 전자회로 / 하드웨어</t>
        </is>
      </c>
      <c r="B152" s="15" t="inlineStr">
        <is>
          <t>OPS</t>
        </is>
      </c>
      <c r="C152" s="15" t="inlineStr">
        <is>
          <t>3154</t>
        </is>
      </c>
      <c r="D152" s="16" t="inlineStr">
        <is>
          <t>Air Traffic Controllers</t>
        </is>
      </c>
      <c r="E152" s="15" t="inlineStr">
        <is>
          <t>Mid (4~6년)</t>
        </is>
      </c>
      <c r="F152" s="20" t="inlineStr">
        <is>
          <t>4.2%</t>
        </is>
      </c>
      <c r="G152" s="15" t="inlineStr">
        <is>
          <t>1.15 (과대 편중)</t>
        </is>
      </c>
      <c r="H152" s="16" t="inlineStr">
        <is>
          <t>팀 내 OPS 단계 핵심 인력. 스쿼드당 1~2명 필수.</t>
        </is>
      </c>
    </row>
    <row r="153">
      <c r="A153" s="18" t="inlineStr">
        <is>
          <t>반도체 / 전자회로 / 하드웨어</t>
        </is>
      </c>
      <c r="B153" s="17" t="inlineStr">
        <is>
          <t>OPS</t>
        </is>
      </c>
      <c r="C153" s="17" t="inlineStr">
        <is>
          <t>3155</t>
        </is>
      </c>
      <c r="D153" s="18" t="inlineStr">
        <is>
          <t>Air Traffic Safety Electronics Technicians</t>
        </is>
      </c>
      <c r="E153" s="17" t="inlineStr">
        <is>
          <t>Mid (4~6년)</t>
        </is>
      </c>
      <c r="F153" s="21" t="inlineStr">
        <is>
          <t>4.2%</t>
        </is>
      </c>
      <c r="G153" s="17" t="inlineStr">
        <is>
          <t>0.95 (표준)</t>
        </is>
      </c>
      <c r="H153" s="18" t="inlineStr">
        <is>
          <t>팀 내 OPS 단계 핵심 인력. 스쿼드당 1~2명 필수.</t>
        </is>
      </c>
    </row>
    <row r="154">
      <c r="A154" s="16" t="inlineStr">
        <is>
          <t>바이오 / 제약 / 임상헬스케어</t>
        </is>
      </c>
      <c r="B154" s="15" t="inlineStr">
        <is>
          <t>OPS</t>
        </is>
      </c>
      <c r="C154" s="15" t="inlineStr">
        <is>
          <t>3211</t>
        </is>
      </c>
      <c r="D154" s="16" t="inlineStr">
        <is>
          <t>Medical Imaging and Therapeutic Equipment Technicians</t>
        </is>
      </c>
      <c r="E154" s="15" t="inlineStr">
        <is>
          <t>Mid (4~6년)</t>
        </is>
      </c>
      <c r="F154" s="20" t="inlineStr">
        <is>
          <t>4.2%</t>
        </is>
      </c>
      <c r="G154" s="15" t="inlineStr">
        <is>
          <t>1.00 (표준)</t>
        </is>
      </c>
      <c r="H154" s="16" t="inlineStr">
        <is>
          <t>팀 내 OPS 단계 핵심 인력. 스쿼드당 1~2명 필수.</t>
        </is>
      </c>
    </row>
    <row r="155">
      <c r="A155" s="18" t="inlineStr">
        <is>
          <t>바이오 / 제약 / 임상헬스케어</t>
        </is>
      </c>
      <c r="B155" s="17" t="inlineStr">
        <is>
          <t>OPS</t>
        </is>
      </c>
      <c r="C155" s="17" t="inlineStr">
        <is>
          <t>3212</t>
        </is>
      </c>
      <c r="D155" s="18" t="inlineStr">
        <is>
          <t>Medical and Pathology Laboratory Technicians</t>
        </is>
      </c>
      <c r="E155" s="17" t="inlineStr">
        <is>
          <t>Mid (4~6년)</t>
        </is>
      </c>
      <c r="F155" s="21" t="inlineStr">
        <is>
          <t>4.2%</t>
        </is>
      </c>
      <c r="G155" s="17" t="inlineStr">
        <is>
          <t>1.05 (표준)</t>
        </is>
      </c>
      <c r="H155" s="18" t="inlineStr">
        <is>
          <t>팀 내 OPS 단계 핵심 인력. 스쿼드당 1~2명 필수.</t>
        </is>
      </c>
    </row>
    <row r="156">
      <c r="A156" s="16" t="inlineStr">
        <is>
          <t>바이오 / 제약 / 임상헬스케어</t>
        </is>
      </c>
      <c r="B156" s="15" t="inlineStr">
        <is>
          <t>OPS</t>
        </is>
      </c>
      <c r="C156" s="15" t="inlineStr">
        <is>
          <t>3213</t>
        </is>
      </c>
      <c r="D156" s="16" t="inlineStr">
        <is>
          <t>Pharmaceutical Technicians and Assistants</t>
        </is>
      </c>
      <c r="E156" s="15" t="inlineStr">
        <is>
          <t>Mid (4~6년)</t>
        </is>
      </c>
      <c r="F156" s="20" t="inlineStr">
        <is>
          <t>4.2%</t>
        </is>
      </c>
      <c r="G156" s="15" t="inlineStr">
        <is>
          <t>1.10 (표준)</t>
        </is>
      </c>
      <c r="H156" s="16" t="inlineStr">
        <is>
          <t>팀 내 OPS 단계 핵심 인력. 스쿼드당 1~2명 필수.</t>
        </is>
      </c>
    </row>
    <row r="157">
      <c r="A157" s="18" t="inlineStr">
        <is>
          <t>바이오 / 제약 / 임상헬스케어</t>
        </is>
      </c>
      <c r="B157" s="17" t="inlineStr">
        <is>
          <t>OPS</t>
        </is>
      </c>
      <c r="C157" s="17" t="inlineStr">
        <is>
          <t>3214</t>
        </is>
      </c>
      <c r="D157" s="18" t="inlineStr">
        <is>
          <t>Medical and Dental Prosthetic Technicians</t>
        </is>
      </c>
      <c r="E157" s="17" t="inlineStr">
        <is>
          <t>Mid (4~6년)</t>
        </is>
      </c>
      <c r="F157" s="21" t="inlineStr">
        <is>
          <t>4.2%</t>
        </is>
      </c>
      <c r="G157" s="17" t="inlineStr">
        <is>
          <t>1.15 (과대 편중)</t>
        </is>
      </c>
      <c r="H157" s="18" t="inlineStr">
        <is>
          <t>팀 내 OPS 단계 핵심 인력. 스쿼드당 1~2명 필수.</t>
        </is>
      </c>
    </row>
    <row r="158">
      <c r="A158" s="16" t="inlineStr">
        <is>
          <t>바이오 / 제약 / 임상헬스케어</t>
        </is>
      </c>
      <c r="B158" s="15" t="inlineStr">
        <is>
          <t>OPS</t>
        </is>
      </c>
      <c r="C158" s="15" t="inlineStr">
        <is>
          <t>3221</t>
        </is>
      </c>
      <c r="D158" s="16" t="inlineStr">
        <is>
          <t>Nursing Associate Professionals</t>
        </is>
      </c>
      <c r="E158" s="15" t="inlineStr">
        <is>
          <t>Mid (4~6년)</t>
        </is>
      </c>
      <c r="F158" s="20" t="inlineStr">
        <is>
          <t>4.2%</t>
        </is>
      </c>
      <c r="G158" s="15" t="inlineStr">
        <is>
          <t>1.00 (표준)</t>
        </is>
      </c>
      <c r="H158" s="16" t="inlineStr">
        <is>
          <t>팀 내 OPS 단계 핵심 인력. 스쿼드당 1~2명 필수.</t>
        </is>
      </c>
    </row>
    <row r="159">
      <c r="A159" s="18" t="inlineStr">
        <is>
          <t>바이오 / 제약 / 임상헬스케어</t>
        </is>
      </c>
      <c r="B159" s="17" t="inlineStr">
        <is>
          <t>OPS</t>
        </is>
      </c>
      <c r="C159" s="17" t="inlineStr">
        <is>
          <t>3222</t>
        </is>
      </c>
      <c r="D159" s="18" t="inlineStr">
        <is>
          <t>Midwifery Associate Professionals</t>
        </is>
      </c>
      <c r="E159" s="17" t="inlineStr">
        <is>
          <t>Mid (4~6년)</t>
        </is>
      </c>
      <c r="F159" s="21" t="inlineStr">
        <is>
          <t>4.2%</t>
        </is>
      </c>
      <c r="G159" s="17" t="inlineStr">
        <is>
          <t>1.05 (표준)</t>
        </is>
      </c>
      <c r="H159" s="18" t="inlineStr">
        <is>
          <t>팀 내 OPS 단계 핵심 인력. 스쿼드당 1~2명 필수.</t>
        </is>
      </c>
    </row>
    <row r="160">
      <c r="A160" s="16" t="inlineStr">
        <is>
          <t>바이오 / 제약 / 임상헬스케어</t>
        </is>
      </c>
      <c r="B160" s="15" t="inlineStr">
        <is>
          <t>OPS</t>
        </is>
      </c>
      <c r="C160" s="15" t="inlineStr">
        <is>
          <t>3230</t>
        </is>
      </c>
      <c r="D160" s="16" t="inlineStr">
        <is>
          <t>Traditional and Complementary Medicine Associate Professionals</t>
        </is>
      </c>
      <c r="E160" s="15" t="inlineStr">
        <is>
          <t>Mid (4~6년)</t>
        </is>
      </c>
      <c r="F160" s="20" t="inlineStr">
        <is>
          <t>4.2%</t>
        </is>
      </c>
      <c r="G160" s="15" t="inlineStr">
        <is>
          <t>0.95 (표준)</t>
        </is>
      </c>
      <c r="H160" s="16" t="inlineStr">
        <is>
          <t>팀 내 OPS 단계 핵심 인력. 스쿼드당 1~2명 필수.</t>
        </is>
      </c>
    </row>
    <row r="161">
      <c r="A161" s="18" t="inlineStr">
        <is>
          <t>바이오 / 제약 / 임상헬스케어</t>
        </is>
      </c>
      <c r="B161" s="17" t="inlineStr">
        <is>
          <t>OPS</t>
        </is>
      </c>
      <c r="C161" s="17" t="inlineStr">
        <is>
          <t>3240</t>
        </is>
      </c>
      <c r="D161" s="18" t="inlineStr">
        <is>
          <t>Veterinary Technicians and Assistants</t>
        </is>
      </c>
      <c r="E161" s="17" t="inlineStr">
        <is>
          <t>Mid (4~6년)</t>
        </is>
      </c>
      <c r="F161" s="21" t="inlineStr">
        <is>
          <t>4.2%</t>
        </is>
      </c>
      <c r="G161" s="17" t="inlineStr">
        <is>
          <t>0.95 (표준)</t>
        </is>
      </c>
      <c r="H161" s="18" t="inlineStr">
        <is>
          <t>팀 내 OPS 단계 핵심 인력. 스쿼드당 1~2명 필수.</t>
        </is>
      </c>
    </row>
    <row r="162">
      <c r="A162" s="16" t="inlineStr">
        <is>
          <t>바이오 / 제약 / 임상헬스케어</t>
        </is>
      </c>
      <c r="B162" s="15" t="inlineStr">
        <is>
          <t>OPS</t>
        </is>
      </c>
      <c r="C162" s="15" t="inlineStr">
        <is>
          <t>3251</t>
        </is>
      </c>
      <c r="D162" s="16" t="inlineStr">
        <is>
          <t>Dental Assistants and Therapists</t>
        </is>
      </c>
      <c r="E162" s="15" t="inlineStr">
        <is>
          <t>Mid (4~6년)</t>
        </is>
      </c>
      <c r="F162" s="20" t="inlineStr">
        <is>
          <t>4.2%</t>
        </is>
      </c>
      <c r="G162" s="15" t="inlineStr">
        <is>
          <t>1.00 (표준)</t>
        </is>
      </c>
      <c r="H162" s="16" t="inlineStr">
        <is>
          <t>팀 내 OPS 단계 핵심 인력. 스쿼드당 1~2명 필수.</t>
        </is>
      </c>
    </row>
    <row r="163">
      <c r="A163" s="18" t="inlineStr">
        <is>
          <t>바이오 / 제약 / 임상헬스케어</t>
        </is>
      </c>
      <c r="B163" s="17" t="inlineStr">
        <is>
          <t>OPS</t>
        </is>
      </c>
      <c r="C163" s="17" t="inlineStr">
        <is>
          <t>3252</t>
        </is>
      </c>
      <c r="D163" s="18" t="inlineStr">
        <is>
          <t>Medical Records and Health Information Technicians</t>
        </is>
      </c>
      <c r="E163" s="17" t="inlineStr">
        <is>
          <t>Mid (4~6년)</t>
        </is>
      </c>
      <c r="F163" s="21" t="inlineStr">
        <is>
          <t>4.2%</t>
        </is>
      </c>
      <c r="G163" s="17" t="inlineStr">
        <is>
          <t>1.05 (표준)</t>
        </is>
      </c>
      <c r="H163" s="18" t="inlineStr">
        <is>
          <t>팀 내 OPS 단계 핵심 인력. 스쿼드당 1~2명 필수.</t>
        </is>
      </c>
    </row>
    <row r="164">
      <c r="A164" s="16" t="inlineStr">
        <is>
          <t>바이오 / 제약 / 임상헬스케어</t>
        </is>
      </c>
      <c r="B164" s="15" t="inlineStr">
        <is>
          <t>OPS</t>
        </is>
      </c>
      <c r="C164" s="15" t="inlineStr">
        <is>
          <t>3253</t>
        </is>
      </c>
      <c r="D164" s="16" t="inlineStr">
        <is>
          <t>Community Health Workers</t>
        </is>
      </c>
      <c r="E164" s="15" t="inlineStr">
        <is>
          <t>Mid (4~6년)</t>
        </is>
      </c>
      <c r="F164" s="20" t="inlineStr">
        <is>
          <t>4.2%</t>
        </is>
      </c>
      <c r="G164" s="15" t="inlineStr">
        <is>
          <t>1.10 (표준)</t>
        </is>
      </c>
      <c r="H164" s="16" t="inlineStr">
        <is>
          <t>팀 내 OPS 단계 핵심 인력. 스쿼드당 1~2명 필수.</t>
        </is>
      </c>
    </row>
    <row r="165">
      <c r="A165" s="18" t="inlineStr">
        <is>
          <t>바이오 / 제약 / 임상헬스케어</t>
        </is>
      </c>
      <c r="B165" s="17" t="inlineStr">
        <is>
          <t>OPS</t>
        </is>
      </c>
      <c r="C165" s="17" t="inlineStr">
        <is>
          <t>3254</t>
        </is>
      </c>
      <c r="D165" s="18" t="inlineStr">
        <is>
          <t>Dispensing Opticians</t>
        </is>
      </c>
      <c r="E165" s="17" t="inlineStr">
        <is>
          <t>Mid (4~6년)</t>
        </is>
      </c>
      <c r="F165" s="21" t="inlineStr">
        <is>
          <t>4.2%</t>
        </is>
      </c>
      <c r="G165" s="17" t="inlineStr">
        <is>
          <t>1.15 (과대 편중)</t>
        </is>
      </c>
      <c r="H165" s="18" t="inlineStr">
        <is>
          <t>팀 내 OPS 단계 핵심 인력. 스쿼드당 1~2명 필수.</t>
        </is>
      </c>
    </row>
    <row r="166">
      <c r="A166" s="16" t="inlineStr">
        <is>
          <t>바이오 / 제약 / 임상헬스케어</t>
        </is>
      </c>
      <c r="B166" s="15" t="inlineStr">
        <is>
          <t>OPS</t>
        </is>
      </c>
      <c r="C166" s="15" t="inlineStr">
        <is>
          <t>3255</t>
        </is>
      </c>
      <c r="D166" s="16" t="inlineStr">
        <is>
          <t>Physiotherapy Technicians and Assistants</t>
        </is>
      </c>
      <c r="E166" s="15" t="inlineStr">
        <is>
          <t>Mid (4~6년)</t>
        </is>
      </c>
      <c r="F166" s="20" t="inlineStr">
        <is>
          <t>4.2%</t>
        </is>
      </c>
      <c r="G166" s="15" t="inlineStr">
        <is>
          <t>0.95 (표준)</t>
        </is>
      </c>
      <c r="H166" s="16" t="inlineStr">
        <is>
          <t>팀 내 OPS 단계 핵심 인력. 스쿼드당 1~2명 필수.</t>
        </is>
      </c>
    </row>
    <row r="167">
      <c r="A167" s="18" t="inlineStr">
        <is>
          <t>바이오 / 제약 / 임상헬스케어</t>
        </is>
      </c>
      <c r="B167" s="17" t="inlineStr">
        <is>
          <t>OPS</t>
        </is>
      </c>
      <c r="C167" s="17" t="inlineStr">
        <is>
          <t>3256</t>
        </is>
      </c>
      <c r="D167" s="18" t="inlineStr">
        <is>
          <t>Medical Assistants</t>
        </is>
      </c>
      <c r="E167" s="17" t="inlineStr">
        <is>
          <t>Mid (4~6년)</t>
        </is>
      </c>
      <c r="F167" s="21" t="inlineStr">
        <is>
          <t>4.2%</t>
        </is>
      </c>
      <c r="G167" s="17" t="inlineStr">
        <is>
          <t>1.00 (표준)</t>
        </is>
      </c>
      <c r="H167" s="18" t="inlineStr">
        <is>
          <t>팀 내 OPS 단계 핵심 인력. 스쿼드당 1~2명 필수.</t>
        </is>
      </c>
    </row>
    <row r="168">
      <c r="A168" s="16" t="inlineStr">
        <is>
          <t>바이오 / 제약 / 임상헬스케어</t>
        </is>
      </c>
      <c r="B168" s="15" t="inlineStr">
        <is>
          <t>OPS</t>
        </is>
      </c>
      <c r="C168" s="15" t="inlineStr">
        <is>
          <t>3257</t>
        </is>
      </c>
      <c r="D168" s="16" t="inlineStr">
        <is>
          <t>Environmental and Occupational Health Inspectors and Associates</t>
        </is>
      </c>
      <c r="E168" s="15" t="inlineStr">
        <is>
          <t>Mid (4~6년)</t>
        </is>
      </c>
      <c r="F168" s="20" t="inlineStr">
        <is>
          <t>4.2%</t>
        </is>
      </c>
      <c r="G168" s="15" t="inlineStr">
        <is>
          <t>1.05 (표준)</t>
        </is>
      </c>
      <c r="H168" s="16" t="inlineStr">
        <is>
          <t>팀 내 OPS 단계 핵심 인력. 스쿼드당 1~2명 필수.</t>
        </is>
      </c>
    </row>
    <row r="169">
      <c r="A169" s="18" t="inlineStr">
        <is>
          <t>바이오 / 제약 / 임상헬스케어</t>
        </is>
      </c>
      <c r="B169" s="17" t="inlineStr">
        <is>
          <t>OPS</t>
        </is>
      </c>
      <c r="C169" s="17" t="inlineStr">
        <is>
          <t>3258</t>
        </is>
      </c>
      <c r="D169" s="18" t="inlineStr">
        <is>
          <t>Ambulance Workers</t>
        </is>
      </c>
      <c r="E169" s="17" t="inlineStr">
        <is>
          <t>Mid (4~6년)</t>
        </is>
      </c>
      <c r="F169" s="21" t="inlineStr">
        <is>
          <t>4.2%</t>
        </is>
      </c>
      <c r="G169" s="17" t="inlineStr">
        <is>
          <t>1.10 (표준)</t>
        </is>
      </c>
      <c r="H169" s="18" t="inlineStr">
        <is>
          <t>팀 내 OPS 단계 핵심 인력. 스쿼드당 1~2명 필수.</t>
        </is>
      </c>
    </row>
    <row r="170">
      <c r="A170" s="16" t="inlineStr">
        <is>
          <t>바이오 / 제약 / 임상헬스케어</t>
        </is>
      </c>
      <c r="B170" s="15" t="inlineStr">
        <is>
          <t>OPS</t>
        </is>
      </c>
      <c r="C170" s="15" t="inlineStr">
        <is>
          <t>3259</t>
        </is>
      </c>
      <c r="D170" s="16" t="inlineStr">
        <is>
          <t>Health Associate Professionals Not Elsewhere Classified</t>
        </is>
      </c>
      <c r="E170" s="15" t="inlineStr">
        <is>
          <t>Mid (4~6년)</t>
        </is>
      </c>
      <c r="F170" s="20" t="inlineStr">
        <is>
          <t>4.2%</t>
        </is>
      </c>
      <c r="G170" s="15" t="inlineStr">
        <is>
          <t>1.15 (과대 편중)</t>
        </is>
      </c>
      <c r="H170" s="16" t="inlineStr">
        <is>
          <t>팀 내 OPS 단계 핵심 인력. 스쿼드당 1~2명 필수.</t>
        </is>
      </c>
    </row>
    <row r="171">
      <c r="A171" s="18" t="inlineStr">
        <is>
          <t>금융투자 / 핀테크 / 리스크</t>
        </is>
      </c>
      <c r="B171" s="17" t="inlineStr">
        <is>
          <t>OPS</t>
        </is>
      </c>
      <c r="C171" s="17" t="inlineStr">
        <is>
          <t>3311</t>
        </is>
      </c>
      <c r="D171" s="18" t="inlineStr">
        <is>
          <t>Securities and Finance Dealers and Brokers</t>
        </is>
      </c>
      <c r="E171" s="17" t="inlineStr">
        <is>
          <t>Mid (4~6년)</t>
        </is>
      </c>
      <c r="F171" s="21" t="inlineStr">
        <is>
          <t>4.2%</t>
        </is>
      </c>
      <c r="G171" s="17" t="inlineStr">
        <is>
          <t>1.00 (표준)</t>
        </is>
      </c>
      <c r="H171" s="18" t="inlineStr">
        <is>
          <t>팀 내 OPS 단계 핵심 인력. 스쿼드당 1~2명 필수.</t>
        </is>
      </c>
    </row>
    <row r="172">
      <c r="A172" s="16" t="inlineStr">
        <is>
          <t>금융투자 / 핀테크 / 리스크</t>
        </is>
      </c>
      <c r="B172" s="15" t="inlineStr">
        <is>
          <t>OPS</t>
        </is>
      </c>
      <c r="C172" s="15" t="inlineStr">
        <is>
          <t>3312</t>
        </is>
      </c>
      <c r="D172" s="16" t="inlineStr">
        <is>
          <t>Credit and Loans Officers</t>
        </is>
      </c>
      <c r="E172" s="15" t="inlineStr">
        <is>
          <t>Mid (4~6년)</t>
        </is>
      </c>
      <c r="F172" s="20" t="inlineStr">
        <is>
          <t>4.2%</t>
        </is>
      </c>
      <c r="G172" s="15" t="inlineStr">
        <is>
          <t>1.05 (표준)</t>
        </is>
      </c>
      <c r="H172" s="16" t="inlineStr">
        <is>
          <t>팀 내 OPS 단계 핵심 인력. 스쿼드당 1~2명 필수.</t>
        </is>
      </c>
    </row>
    <row r="173">
      <c r="A173" s="18" t="inlineStr">
        <is>
          <t>금융투자 / 핀테크 / 리스크</t>
        </is>
      </c>
      <c r="B173" s="17" t="inlineStr">
        <is>
          <t>OPS</t>
        </is>
      </c>
      <c r="C173" s="17" t="inlineStr">
        <is>
          <t>3313</t>
        </is>
      </c>
      <c r="D173" s="18" t="inlineStr">
        <is>
          <t>Accounting Associate Professionals</t>
        </is>
      </c>
      <c r="E173" s="17" t="inlineStr">
        <is>
          <t>Mid (4~6년)</t>
        </is>
      </c>
      <c r="F173" s="21" t="inlineStr">
        <is>
          <t>4.2%</t>
        </is>
      </c>
      <c r="G173" s="17" t="inlineStr">
        <is>
          <t>1.10 (표준)</t>
        </is>
      </c>
      <c r="H173" s="18" t="inlineStr">
        <is>
          <t>팀 내 OPS 단계 핵심 인력. 스쿼드당 1~2명 필수.</t>
        </is>
      </c>
    </row>
    <row r="174">
      <c r="A174" s="16" t="inlineStr">
        <is>
          <t>금융투자 / 핀테크 / 리스크</t>
        </is>
      </c>
      <c r="B174" s="15" t="inlineStr">
        <is>
          <t>OPS</t>
        </is>
      </c>
      <c r="C174" s="15" t="inlineStr">
        <is>
          <t>3314</t>
        </is>
      </c>
      <c r="D174" s="16" t="inlineStr">
        <is>
          <t>Statistical, Mathematical and Related Associate Professionals</t>
        </is>
      </c>
      <c r="E174" s="15" t="inlineStr">
        <is>
          <t>Mid (4~6년)</t>
        </is>
      </c>
      <c r="F174" s="20" t="inlineStr">
        <is>
          <t>4.2%</t>
        </is>
      </c>
      <c r="G174" s="15" t="inlineStr">
        <is>
          <t>1.15 (과대 편중)</t>
        </is>
      </c>
      <c r="H174" s="16" t="inlineStr">
        <is>
          <t>팀 내 OPS 단계 핵심 인력. 스쿼드당 1~2명 필수.</t>
        </is>
      </c>
    </row>
    <row r="175">
      <c r="A175" s="18" t="inlineStr">
        <is>
          <t>금융투자 / 핀테크 / 리스크</t>
        </is>
      </c>
      <c r="B175" s="17" t="inlineStr">
        <is>
          <t>OPS</t>
        </is>
      </c>
      <c r="C175" s="17" t="inlineStr">
        <is>
          <t>3315</t>
        </is>
      </c>
      <c r="D175" s="18" t="inlineStr">
        <is>
          <t>Valuers and Loss Assessors</t>
        </is>
      </c>
      <c r="E175" s="17" t="inlineStr">
        <is>
          <t>Mid (4~6년)</t>
        </is>
      </c>
      <c r="F175" s="21" t="inlineStr">
        <is>
          <t>4.2%</t>
        </is>
      </c>
      <c r="G175" s="17" t="inlineStr">
        <is>
          <t>0.95 (표준)</t>
        </is>
      </c>
      <c r="H175" s="18" t="inlineStr">
        <is>
          <t>팀 내 OPS 단계 핵심 인력. 스쿼드당 1~2명 필수.</t>
        </is>
      </c>
    </row>
    <row r="176">
      <c r="A176" s="16" t="inlineStr">
        <is>
          <t>금융투자 / 핀테크 / 리스크</t>
        </is>
      </c>
      <c r="B176" s="15" t="inlineStr">
        <is>
          <t>OPS</t>
        </is>
      </c>
      <c r="C176" s="15" t="inlineStr">
        <is>
          <t>3321</t>
        </is>
      </c>
      <c r="D176" s="16" t="inlineStr">
        <is>
          <t>Insurance Representatives</t>
        </is>
      </c>
      <c r="E176" s="15" t="inlineStr">
        <is>
          <t>Mid (4~6년)</t>
        </is>
      </c>
      <c r="F176" s="20" t="inlineStr">
        <is>
          <t>4.2%</t>
        </is>
      </c>
      <c r="G176" s="15" t="inlineStr">
        <is>
          <t>1.00 (표준)</t>
        </is>
      </c>
      <c r="H176" s="16" t="inlineStr">
        <is>
          <t>팀 내 OPS 단계 핵심 인력. 스쿼드당 1~2명 필수.</t>
        </is>
      </c>
    </row>
    <row r="177">
      <c r="A177" s="18" t="inlineStr">
        <is>
          <t>금융투자 / 핀테크 / 리스크</t>
        </is>
      </c>
      <c r="B177" s="17" t="inlineStr">
        <is>
          <t>OPS</t>
        </is>
      </c>
      <c r="C177" s="17" t="inlineStr">
        <is>
          <t>3322</t>
        </is>
      </c>
      <c r="D177" s="18" t="inlineStr">
        <is>
          <t>Commercial Sales Representatives</t>
        </is>
      </c>
      <c r="E177" s="17" t="inlineStr">
        <is>
          <t>Mid (4~6년)</t>
        </is>
      </c>
      <c r="F177" s="21" t="inlineStr">
        <is>
          <t>4.2%</t>
        </is>
      </c>
      <c r="G177" s="17" t="inlineStr">
        <is>
          <t>1.05 (표준)</t>
        </is>
      </c>
      <c r="H177" s="18" t="inlineStr">
        <is>
          <t>팀 내 OPS 단계 핵심 인력. 스쿼드당 1~2명 필수.</t>
        </is>
      </c>
    </row>
    <row r="178">
      <c r="A178" s="16" t="inlineStr">
        <is>
          <t>금융투자 / 핀테크 / 리스크</t>
        </is>
      </c>
      <c r="B178" s="15" t="inlineStr">
        <is>
          <t>OPS</t>
        </is>
      </c>
      <c r="C178" s="15" t="inlineStr">
        <is>
          <t>3323</t>
        </is>
      </c>
      <c r="D178" s="16" t="inlineStr">
        <is>
          <t>Buyers</t>
        </is>
      </c>
      <c r="E178" s="15" t="inlineStr">
        <is>
          <t>Mid (4~6년)</t>
        </is>
      </c>
      <c r="F178" s="20" t="inlineStr">
        <is>
          <t>4.2%</t>
        </is>
      </c>
      <c r="G178" s="15" t="inlineStr">
        <is>
          <t>1.10 (표준)</t>
        </is>
      </c>
      <c r="H178" s="16" t="inlineStr">
        <is>
          <t>팀 내 OPS 단계 핵심 인력. 스쿼드당 1~2명 필수.</t>
        </is>
      </c>
    </row>
    <row r="179">
      <c r="A179" s="18" t="inlineStr">
        <is>
          <t>금융투자 / 핀테크 / 리스크</t>
        </is>
      </c>
      <c r="B179" s="17" t="inlineStr">
        <is>
          <t>OPS</t>
        </is>
      </c>
      <c r="C179" s="17" t="inlineStr">
        <is>
          <t>3324</t>
        </is>
      </c>
      <c r="D179" s="18" t="inlineStr">
        <is>
          <t>Trade Brokers</t>
        </is>
      </c>
      <c r="E179" s="17" t="inlineStr">
        <is>
          <t>Mid (4~6년)</t>
        </is>
      </c>
      <c r="F179" s="21" t="inlineStr">
        <is>
          <t>4.2%</t>
        </is>
      </c>
      <c r="G179" s="17" t="inlineStr">
        <is>
          <t>1.15 (과대 편중)</t>
        </is>
      </c>
      <c r="H179" s="18" t="inlineStr">
        <is>
          <t>팀 내 OPS 단계 핵심 인력. 스쿼드당 1~2명 필수.</t>
        </is>
      </c>
    </row>
    <row r="180">
      <c r="A180" s="16" t="inlineStr">
        <is>
          <t>금융투자 / 핀테크 / 리스크</t>
        </is>
      </c>
      <c r="B180" s="15" t="inlineStr">
        <is>
          <t>OPS</t>
        </is>
      </c>
      <c r="C180" s="15" t="inlineStr">
        <is>
          <t>3331</t>
        </is>
      </c>
      <c r="D180" s="16" t="inlineStr">
        <is>
          <t>Clearing and Forwarding Aents</t>
        </is>
      </c>
      <c r="E180" s="15" t="inlineStr">
        <is>
          <t>Mid (4~6년)</t>
        </is>
      </c>
      <c r="F180" s="20" t="inlineStr">
        <is>
          <t>4.2%</t>
        </is>
      </c>
      <c r="G180" s="15" t="inlineStr">
        <is>
          <t>1.00 (표준)</t>
        </is>
      </c>
      <c r="H180" s="16" t="inlineStr">
        <is>
          <t>팀 내 OPS 단계 핵심 인력. 스쿼드당 1~2명 필수.</t>
        </is>
      </c>
    </row>
    <row r="181">
      <c r="A181" s="18" t="inlineStr">
        <is>
          <t>금융투자 / 핀테크 / 리스크</t>
        </is>
      </c>
      <c r="B181" s="17" t="inlineStr">
        <is>
          <t>OPS</t>
        </is>
      </c>
      <c r="C181" s="17" t="inlineStr">
        <is>
          <t>3332</t>
        </is>
      </c>
      <c r="D181" s="18" t="inlineStr">
        <is>
          <t>Conference and Event Planners</t>
        </is>
      </c>
      <c r="E181" s="17" t="inlineStr">
        <is>
          <t>Mid (4~6년)</t>
        </is>
      </c>
      <c r="F181" s="21" t="inlineStr">
        <is>
          <t>4.2%</t>
        </is>
      </c>
      <c r="G181" s="17" t="inlineStr">
        <is>
          <t>1.05 (표준)</t>
        </is>
      </c>
      <c r="H181" s="18" t="inlineStr">
        <is>
          <t>팀 내 OPS 단계 핵심 인력. 스쿼드당 1~2명 필수.</t>
        </is>
      </c>
    </row>
    <row r="182">
      <c r="A182" s="16" t="inlineStr">
        <is>
          <t>금융투자 / 핀테크 / 리스크</t>
        </is>
      </c>
      <c r="B182" s="15" t="inlineStr">
        <is>
          <t>OPS</t>
        </is>
      </c>
      <c r="C182" s="15" t="inlineStr">
        <is>
          <t>3333</t>
        </is>
      </c>
      <c r="D182" s="16" t="inlineStr">
        <is>
          <t>Employment agents and contractors</t>
        </is>
      </c>
      <c r="E182" s="15" t="inlineStr">
        <is>
          <t>Mid (4~6년)</t>
        </is>
      </c>
      <c r="F182" s="20" t="inlineStr">
        <is>
          <t>4.2%</t>
        </is>
      </c>
      <c r="G182" s="15" t="inlineStr">
        <is>
          <t>1.10 (표준)</t>
        </is>
      </c>
      <c r="H182" s="16" t="inlineStr">
        <is>
          <t>팀 내 OPS 단계 핵심 인력. 스쿼드당 1~2명 필수.</t>
        </is>
      </c>
    </row>
    <row r="183">
      <c r="A183" s="18" t="inlineStr">
        <is>
          <t>금융투자 / 핀테크 / 리스크</t>
        </is>
      </c>
      <c r="B183" s="17" t="inlineStr">
        <is>
          <t>OPS</t>
        </is>
      </c>
      <c r="C183" s="17" t="inlineStr">
        <is>
          <t>3334</t>
        </is>
      </c>
      <c r="D183" s="18" t="inlineStr">
        <is>
          <t>Real Estate Agents and Property Managers</t>
        </is>
      </c>
      <c r="E183" s="17" t="inlineStr">
        <is>
          <t>Mid (4~6년)</t>
        </is>
      </c>
      <c r="F183" s="21" t="inlineStr">
        <is>
          <t>4.2%</t>
        </is>
      </c>
      <c r="G183" s="17" t="inlineStr">
        <is>
          <t>1.15 (과대 편중)</t>
        </is>
      </c>
      <c r="H183" s="18" t="inlineStr">
        <is>
          <t>팀 내 OPS 단계 핵심 인력. 스쿼드당 1~2명 필수.</t>
        </is>
      </c>
    </row>
    <row r="184">
      <c r="A184" s="16" t="inlineStr">
        <is>
          <t>금융투자 / 핀테크 / 리스크</t>
        </is>
      </c>
      <c r="B184" s="15" t="inlineStr">
        <is>
          <t>OPS</t>
        </is>
      </c>
      <c r="C184" s="15" t="inlineStr">
        <is>
          <t>3339</t>
        </is>
      </c>
      <c r="D184" s="16" t="inlineStr">
        <is>
          <t>Business Services Agents Not Elsewhere Classified</t>
        </is>
      </c>
      <c r="E184" s="15" t="inlineStr">
        <is>
          <t>Mid (4~6년)</t>
        </is>
      </c>
      <c r="F184" s="20" t="inlineStr">
        <is>
          <t>4.2%</t>
        </is>
      </c>
      <c r="G184" s="15" t="inlineStr">
        <is>
          <t>1.15 (과대 편중)</t>
        </is>
      </c>
      <c r="H184" s="16" t="inlineStr">
        <is>
          <t>팀 내 OPS 단계 핵심 인력. 스쿼드당 1~2명 필수.</t>
        </is>
      </c>
    </row>
    <row r="185">
      <c r="A185" s="18" t="inlineStr">
        <is>
          <t>금융투자 / 핀테크 / 리스크</t>
        </is>
      </c>
      <c r="B185" s="17" t="inlineStr">
        <is>
          <t>OPS</t>
        </is>
      </c>
      <c r="C185" s="17" t="inlineStr">
        <is>
          <t>3341</t>
        </is>
      </c>
      <c r="D185" s="18" t="inlineStr">
        <is>
          <t>Office Supervisors</t>
        </is>
      </c>
      <c r="E185" s="17" t="inlineStr">
        <is>
          <t>Mid (4~6년)</t>
        </is>
      </c>
      <c r="F185" s="21" t="inlineStr">
        <is>
          <t>4.2%</t>
        </is>
      </c>
      <c r="G185" s="17" t="inlineStr">
        <is>
          <t>1.00 (표준)</t>
        </is>
      </c>
      <c r="H185" s="18" t="inlineStr">
        <is>
          <t>팀 내 OPS 단계 핵심 인력. 스쿼드당 1~2명 필수.</t>
        </is>
      </c>
    </row>
    <row r="186">
      <c r="A186" s="16" t="inlineStr">
        <is>
          <t>금융투자 / 핀테크 / 리스크</t>
        </is>
      </c>
      <c r="B186" s="15" t="inlineStr">
        <is>
          <t>OPS</t>
        </is>
      </c>
      <c r="C186" s="15" t="inlineStr">
        <is>
          <t>3342</t>
        </is>
      </c>
      <c r="D186" s="16" t="inlineStr">
        <is>
          <t>Legal Secretaries</t>
        </is>
      </c>
      <c r="E186" s="15" t="inlineStr">
        <is>
          <t>Mid (4~6년)</t>
        </is>
      </c>
      <c r="F186" s="20" t="inlineStr">
        <is>
          <t>4.2%</t>
        </is>
      </c>
      <c r="G186" s="15" t="inlineStr">
        <is>
          <t>1.05 (표준)</t>
        </is>
      </c>
      <c r="H186" s="16" t="inlineStr">
        <is>
          <t>팀 내 OPS 단계 핵심 인력. 스쿼드당 1~2명 필수.</t>
        </is>
      </c>
    </row>
    <row r="187">
      <c r="A187" s="18" t="inlineStr">
        <is>
          <t>금융투자 / 핀테크 / 리스크</t>
        </is>
      </c>
      <c r="B187" s="17" t="inlineStr">
        <is>
          <t>OPS</t>
        </is>
      </c>
      <c r="C187" s="17" t="inlineStr">
        <is>
          <t>3343</t>
        </is>
      </c>
      <c r="D187" s="18" t="inlineStr">
        <is>
          <t>Administrative and Executive Secretaries</t>
        </is>
      </c>
      <c r="E187" s="17" t="inlineStr">
        <is>
          <t>Mid (4~6년)</t>
        </is>
      </c>
      <c r="F187" s="21" t="inlineStr">
        <is>
          <t>4.2%</t>
        </is>
      </c>
      <c r="G187" s="17" t="inlineStr">
        <is>
          <t>1.10 (표준)</t>
        </is>
      </c>
      <c r="H187" s="18" t="inlineStr">
        <is>
          <t>팀 내 OPS 단계 핵심 인력. 스쿼드당 1~2명 필수.</t>
        </is>
      </c>
    </row>
    <row r="188">
      <c r="A188" s="16" t="inlineStr">
        <is>
          <t>금융투자 / 핀테크 / 리스크</t>
        </is>
      </c>
      <c r="B188" s="15" t="inlineStr">
        <is>
          <t>OPS</t>
        </is>
      </c>
      <c r="C188" s="15" t="inlineStr">
        <is>
          <t>3344</t>
        </is>
      </c>
      <c r="D188" s="16" t="inlineStr">
        <is>
          <t>Medical Secretaries</t>
        </is>
      </c>
      <c r="E188" s="15" t="inlineStr">
        <is>
          <t>Mid (4~6년)</t>
        </is>
      </c>
      <c r="F188" s="20" t="inlineStr">
        <is>
          <t>4.2%</t>
        </is>
      </c>
      <c r="G188" s="15" t="inlineStr">
        <is>
          <t>1.15 (과대 편중)</t>
        </is>
      </c>
      <c r="H188" s="16" t="inlineStr">
        <is>
          <t>팀 내 OPS 단계 핵심 인력. 스쿼드당 1~2명 필수.</t>
        </is>
      </c>
    </row>
    <row r="189">
      <c r="A189" s="18" t="inlineStr">
        <is>
          <t>금융투자 / 핀테크 / 리스크</t>
        </is>
      </c>
      <c r="B189" s="17" t="inlineStr">
        <is>
          <t>OPS</t>
        </is>
      </c>
      <c r="C189" s="17" t="inlineStr">
        <is>
          <t>3351</t>
        </is>
      </c>
      <c r="D189" s="18" t="inlineStr">
        <is>
          <t>Customs and Border Inspectors</t>
        </is>
      </c>
      <c r="E189" s="17" t="inlineStr">
        <is>
          <t>Mid (4~6년)</t>
        </is>
      </c>
      <c r="F189" s="21" t="inlineStr">
        <is>
          <t>4.2%</t>
        </is>
      </c>
      <c r="G189" s="17" t="inlineStr">
        <is>
          <t>1.00 (표준)</t>
        </is>
      </c>
      <c r="H189" s="18" t="inlineStr">
        <is>
          <t>팀 내 OPS 단계 핵심 인력. 스쿼드당 1~2명 필수.</t>
        </is>
      </c>
    </row>
    <row r="190">
      <c r="A190" s="16" t="inlineStr">
        <is>
          <t>금융투자 / 핀테크 / 리스크</t>
        </is>
      </c>
      <c r="B190" s="15" t="inlineStr">
        <is>
          <t>OPS</t>
        </is>
      </c>
      <c r="C190" s="15" t="inlineStr">
        <is>
          <t>3352</t>
        </is>
      </c>
      <c r="D190" s="16" t="inlineStr">
        <is>
          <t>Government Tax and Excise Officials</t>
        </is>
      </c>
      <c r="E190" s="15" t="inlineStr">
        <is>
          <t>Mid (4~6년)</t>
        </is>
      </c>
      <c r="F190" s="20" t="inlineStr">
        <is>
          <t>4.2%</t>
        </is>
      </c>
      <c r="G190" s="15" t="inlineStr">
        <is>
          <t>1.05 (표준)</t>
        </is>
      </c>
      <c r="H190" s="16" t="inlineStr">
        <is>
          <t>팀 내 OPS 단계 핵심 인력. 스쿼드당 1~2명 필수.</t>
        </is>
      </c>
    </row>
    <row r="191">
      <c r="A191" s="18" t="inlineStr">
        <is>
          <t>금융투자 / 핀테크 / 리스크</t>
        </is>
      </c>
      <c r="B191" s="17" t="inlineStr">
        <is>
          <t>OPS</t>
        </is>
      </c>
      <c r="C191" s="17" t="inlineStr">
        <is>
          <t>3353</t>
        </is>
      </c>
      <c r="D191" s="18" t="inlineStr">
        <is>
          <t>Government Social Benefits Officials</t>
        </is>
      </c>
      <c r="E191" s="17" t="inlineStr">
        <is>
          <t>Mid (4~6년)</t>
        </is>
      </c>
      <c r="F191" s="21" t="inlineStr">
        <is>
          <t>4.2%</t>
        </is>
      </c>
      <c r="G191" s="17" t="inlineStr">
        <is>
          <t>1.10 (표준)</t>
        </is>
      </c>
      <c r="H191" s="18" t="inlineStr">
        <is>
          <t>팀 내 OPS 단계 핵심 인력. 스쿼드당 1~2명 필수.</t>
        </is>
      </c>
    </row>
    <row r="192">
      <c r="A192" s="16" t="inlineStr">
        <is>
          <t>금융투자 / 핀테크 / 리스크</t>
        </is>
      </c>
      <c r="B192" s="15" t="inlineStr">
        <is>
          <t>OPS</t>
        </is>
      </c>
      <c r="C192" s="15" t="inlineStr">
        <is>
          <t>3354</t>
        </is>
      </c>
      <c r="D192" s="16" t="inlineStr">
        <is>
          <t>Government Licensing Officials</t>
        </is>
      </c>
      <c r="E192" s="15" t="inlineStr">
        <is>
          <t>Mid (4~6년)</t>
        </is>
      </c>
      <c r="F192" s="20" t="inlineStr">
        <is>
          <t>4.2%</t>
        </is>
      </c>
      <c r="G192" s="15" t="inlineStr">
        <is>
          <t>1.15 (과대 편중)</t>
        </is>
      </c>
      <c r="H192" s="16" t="inlineStr">
        <is>
          <t>팀 내 OPS 단계 핵심 인력. 스쿼드당 1~2명 필수.</t>
        </is>
      </c>
    </row>
    <row r="193">
      <c r="A193" s="18" t="inlineStr">
        <is>
          <t>금융투자 / 핀테크 / 리스크</t>
        </is>
      </c>
      <c r="B193" s="17" t="inlineStr">
        <is>
          <t>OPS</t>
        </is>
      </c>
      <c r="C193" s="17" t="inlineStr">
        <is>
          <t>3355</t>
        </is>
      </c>
      <c r="D193" s="18" t="inlineStr">
        <is>
          <t>Police Inspectors and Detectives</t>
        </is>
      </c>
      <c r="E193" s="17" t="inlineStr">
        <is>
          <t>Mid (4~6년)</t>
        </is>
      </c>
      <c r="F193" s="21" t="inlineStr">
        <is>
          <t>4.2%</t>
        </is>
      </c>
      <c r="G193" s="17" t="inlineStr">
        <is>
          <t>0.95 (표준)</t>
        </is>
      </c>
      <c r="H193" s="18" t="inlineStr">
        <is>
          <t>팀 내 OPS 단계 핵심 인력. 스쿼드당 1~2명 필수.</t>
        </is>
      </c>
    </row>
    <row r="194">
      <c r="A194" s="16" t="inlineStr">
        <is>
          <t>금융투자 / 핀테크 / 리스크</t>
        </is>
      </c>
      <c r="B194" s="15" t="inlineStr">
        <is>
          <t>OPS</t>
        </is>
      </c>
      <c r="C194" s="15" t="inlineStr">
        <is>
          <t>3359</t>
        </is>
      </c>
      <c r="D194" s="16" t="inlineStr">
        <is>
          <t>Government Regulatory AssociatePprofessionals Not Elsewhere Classified</t>
        </is>
      </c>
      <c r="E194" s="15" t="inlineStr">
        <is>
          <t>Mid (4~6년)</t>
        </is>
      </c>
      <c r="F194" s="20" t="inlineStr">
        <is>
          <t>4.2%</t>
        </is>
      </c>
      <c r="G194" s="15" t="inlineStr">
        <is>
          <t>1.15 (과대 편중)</t>
        </is>
      </c>
      <c r="H194" s="16" t="inlineStr">
        <is>
          <t>팀 내 OPS 단계 핵심 인력. 스쿼드당 1~2명 필수.</t>
        </is>
      </c>
    </row>
    <row r="195">
      <c r="A195" s="18" t="inlineStr">
        <is>
          <t>법률 / 지식재산권 / 변리</t>
        </is>
      </c>
      <c r="B195" s="17" t="inlineStr">
        <is>
          <t>OPS</t>
        </is>
      </c>
      <c r="C195" s="17" t="inlineStr">
        <is>
          <t>3411</t>
        </is>
      </c>
      <c r="D195" s="18" t="inlineStr">
        <is>
          <t>Legal and Related Associate Professionals</t>
        </is>
      </c>
      <c r="E195" s="17" t="inlineStr">
        <is>
          <t>Mid (4~6년)</t>
        </is>
      </c>
      <c r="F195" s="21" t="inlineStr">
        <is>
          <t>4.2%</t>
        </is>
      </c>
      <c r="G195" s="17" t="inlineStr">
        <is>
          <t>1.00 (표준)</t>
        </is>
      </c>
      <c r="H195" s="18" t="inlineStr">
        <is>
          <t>팀 내 OPS 단계 핵심 인력. 스쿼드당 1~2명 필수.</t>
        </is>
      </c>
    </row>
    <row r="196">
      <c r="A196" s="16" t="inlineStr">
        <is>
          <t>법률 / 지식재산권 / 변리</t>
        </is>
      </c>
      <c r="B196" s="15" t="inlineStr">
        <is>
          <t>OPS</t>
        </is>
      </c>
      <c r="C196" s="15" t="inlineStr">
        <is>
          <t>3412</t>
        </is>
      </c>
      <c r="D196" s="16" t="inlineStr">
        <is>
          <t>Social Work Associate Professionals</t>
        </is>
      </c>
      <c r="E196" s="15" t="inlineStr">
        <is>
          <t>Mid (4~6년)</t>
        </is>
      </c>
      <c r="F196" s="20" t="inlineStr">
        <is>
          <t>4.2%</t>
        </is>
      </c>
      <c r="G196" s="15" t="inlineStr">
        <is>
          <t>1.05 (표준)</t>
        </is>
      </c>
      <c r="H196" s="16" t="inlineStr">
        <is>
          <t>팀 내 OPS 단계 핵심 인력. 스쿼드당 1~2명 필수.</t>
        </is>
      </c>
    </row>
    <row r="197">
      <c r="A197" s="18" t="inlineStr">
        <is>
          <t>법률 / 지식재산권 / 변리</t>
        </is>
      </c>
      <c r="B197" s="17" t="inlineStr">
        <is>
          <t>OPS</t>
        </is>
      </c>
      <c r="C197" s="17" t="inlineStr">
        <is>
          <t>3413</t>
        </is>
      </c>
      <c r="D197" s="18" t="inlineStr">
        <is>
          <t>Religious Associate Professionals</t>
        </is>
      </c>
      <c r="E197" s="17" t="inlineStr">
        <is>
          <t>Mid (4~6년)</t>
        </is>
      </c>
      <c r="F197" s="21" t="inlineStr">
        <is>
          <t>4.2%</t>
        </is>
      </c>
      <c r="G197" s="17" t="inlineStr">
        <is>
          <t>1.10 (표준)</t>
        </is>
      </c>
      <c r="H197" s="18" t="inlineStr">
        <is>
          <t>팀 내 OPS 단계 핵심 인력. 스쿼드당 1~2명 필수.</t>
        </is>
      </c>
    </row>
    <row r="198">
      <c r="A198" s="16" t="inlineStr">
        <is>
          <t>법률 / 지식재산권 / 변리</t>
        </is>
      </c>
      <c r="B198" s="15" t="inlineStr">
        <is>
          <t>OPS</t>
        </is>
      </c>
      <c r="C198" s="15" t="inlineStr">
        <is>
          <t>3421</t>
        </is>
      </c>
      <c r="D198" s="16" t="inlineStr">
        <is>
          <t>Athletes and Sports Players</t>
        </is>
      </c>
      <c r="E198" s="15" t="inlineStr">
        <is>
          <t>Mid (4~6년)</t>
        </is>
      </c>
      <c r="F198" s="20" t="inlineStr">
        <is>
          <t>4.2%</t>
        </is>
      </c>
      <c r="G198" s="15" t="inlineStr">
        <is>
          <t>1.00 (표준)</t>
        </is>
      </c>
      <c r="H198" s="16" t="inlineStr">
        <is>
          <t>팀 내 OPS 단계 핵심 인력. 스쿼드당 1~2명 필수.</t>
        </is>
      </c>
    </row>
    <row r="199">
      <c r="A199" s="18" t="inlineStr">
        <is>
          <t>법률 / 지식재산권 / 변리</t>
        </is>
      </c>
      <c r="B199" s="17" t="inlineStr">
        <is>
          <t>OPS</t>
        </is>
      </c>
      <c r="C199" s="17" t="inlineStr">
        <is>
          <t>3422</t>
        </is>
      </c>
      <c r="D199" s="18" t="inlineStr">
        <is>
          <t>Sports Coaches, Instructors and Officials</t>
        </is>
      </c>
      <c r="E199" s="17" t="inlineStr">
        <is>
          <t>Mid (4~6년)</t>
        </is>
      </c>
      <c r="F199" s="21" t="inlineStr">
        <is>
          <t>4.2%</t>
        </is>
      </c>
      <c r="G199" s="17" t="inlineStr">
        <is>
          <t>1.05 (표준)</t>
        </is>
      </c>
      <c r="H199" s="18" t="inlineStr">
        <is>
          <t>팀 내 OPS 단계 핵심 인력. 스쿼드당 1~2명 필수.</t>
        </is>
      </c>
    </row>
    <row r="200">
      <c r="A200" s="16" t="inlineStr">
        <is>
          <t>법률 / 지식재산권 / 변리</t>
        </is>
      </c>
      <c r="B200" s="15" t="inlineStr">
        <is>
          <t>OPS</t>
        </is>
      </c>
      <c r="C200" s="15" t="inlineStr">
        <is>
          <t>3423</t>
        </is>
      </c>
      <c r="D200" s="16" t="inlineStr">
        <is>
          <t>Fitness and Recreation Instructors and Programme Leaders</t>
        </is>
      </c>
      <c r="E200" s="15" t="inlineStr">
        <is>
          <t>Mid (4~6년)</t>
        </is>
      </c>
      <c r="F200" s="20" t="inlineStr">
        <is>
          <t>4.2%</t>
        </is>
      </c>
      <c r="G200" s="15" t="inlineStr">
        <is>
          <t>1.10 (표준)</t>
        </is>
      </c>
      <c r="H200" s="16" t="inlineStr">
        <is>
          <t>팀 내 OPS 단계 핵심 인력. 스쿼드당 1~2명 필수.</t>
        </is>
      </c>
    </row>
    <row r="201">
      <c r="A201" s="18" t="inlineStr">
        <is>
          <t>법률 / 지식재산권 / 변리</t>
        </is>
      </c>
      <c r="B201" s="17" t="inlineStr">
        <is>
          <t>OPS</t>
        </is>
      </c>
      <c r="C201" s="17" t="inlineStr">
        <is>
          <t>3431</t>
        </is>
      </c>
      <c r="D201" s="18" t="inlineStr">
        <is>
          <t>Photographers</t>
        </is>
      </c>
      <c r="E201" s="17" t="inlineStr">
        <is>
          <t>Mid (4~6년)</t>
        </is>
      </c>
      <c r="F201" s="21" t="inlineStr">
        <is>
          <t>4.2%</t>
        </is>
      </c>
      <c r="G201" s="17" t="inlineStr">
        <is>
          <t>1.00 (표준)</t>
        </is>
      </c>
      <c r="H201" s="18" t="inlineStr">
        <is>
          <t>팀 내 OPS 단계 핵심 인력. 스쿼드당 1~2명 필수.</t>
        </is>
      </c>
    </row>
    <row r="202">
      <c r="A202" s="16" t="inlineStr">
        <is>
          <t>법률 / 지식재산권 / 변리</t>
        </is>
      </c>
      <c r="B202" s="15" t="inlineStr">
        <is>
          <t>OPS</t>
        </is>
      </c>
      <c r="C202" s="15" t="inlineStr">
        <is>
          <t>3432</t>
        </is>
      </c>
      <c r="D202" s="16" t="inlineStr">
        <is>
          <t>Interior Designers and Decorators</t>
        </is>
      </c>
      <c r="E202" s="15" t="inlineStr">
        <is>
          <t>Mid (4~6년)</t>
        </is>
      </c>
      <c r="F202" s="20" t="inlineStr">
        <is>
          <t>4.2%</t>
        </is>
      </c>
      <c r="G202" s="15" t="inlineStr">
        <is>
          <t>1.05 (표준)</t>
        </is>
      </c>
      <c r="H202" s="16" t="inlineStr">
        <is>
          <t>팀 내 OPS 단계 핵심 인력. 스쿼드당 1~2명 필수.</t>
        </is>
      </c>
    </row>
    <row r="203">
      <c r="A203" s="18" t="inlineStr">
        <is>
          <t>법률 / 지식재산권 / 변리</t>
        </is>
      </c>
      <c r="B203" s="17" t="inlineStr">
        <is>
          <t>OPS</t>
        </is>
      </c>
      <c r="C203" s="17" t="inlineStr">
        <is>
          <t>3433</t>
        </is>
      </c>
      <c r="D203" s="18" t="inlineStr">
        <is>
          <t>Gallery, Museum and Library Technicians</t>
        </is>
      </c>
      <c r="E203" s="17" t="inlineStr">
        <is>
          <t>Mid (4~6년)</t>
        </is>
      </c>
      <c r="F203" s="21" t="inlineStr">
        <is>
          <t>4.2%</t>
        </is>
      </c>
      <c r="G203" s="17" t="inlineStr">
        <is>
          <t>1.10 (표준)</t>
        </is>
      </c>
      <c r="H203" s="18" t="inlineStr">
        <is>
          <t>팀 내 OPS 단계 핵심 인력. 스쿼드당 1~2명 필수.</t>
        </is>
      </c>
    </row>
    <row r="204">
      <c r="A204" s="16" t="inlineStr">
        <is>
          <t>법률 / 지식재산권 / 변리</t>
        </is>
      </c>
      <c r="B204" s="15" t="inlineStr">
        <is>
          <t>OPS</t>
        </is>
      </c>
      <c r="C204" s="15" t="inlineStr">
        <is>
          <t>3434</t>
        </is>
      </c>
      <c r="D204" s="16" t="inlineStr">
        <is>
          <t>Chefs</t>
        </is>
      </c>
      <c r="E204" s="15" t="inlineStr">
        <is>
          <t>Mid (4~6년)</t>
        </is>
      </c>
      <c r="F204" s="20" t="inlineStr">
        <is>
          <t>4.2%</t>
        </is>
      </c>
      <c r="G204" s="15" t="inlineStr">
        <is>
          <t>1.15 (과대 편중)</t>
        </is>
      </c>
      <c r="H204" s="16" t="inlineStr">
        <is>
          <t>팀 내 OPS 단계 핵심 인력. 스쿼드당 1~2명 필수.</t>
        </is>
      </c>
    </row>
    <row r="205">
      <c r="A205" s="18" t="inlineStr">
        <is>
          <t>법률 / 지식재산권 / 변리</t>
        </is>
      </c>
      <c r="B205" s="17" t="inlineStr">
        <is>
          <t>OPS</t>
        </is>
      </c>
      <c r="C205" s="17" t="inlineStr">
        <is>
          <t>3435</t>
        </is>
      </c>
      <c r="D205" s="18" t="inlineStr">
        <is>
          <t>Other Artistic and Cultural Associate Professionals</t>
        </is>
      </c>
      <c r="E205" s="17" t="inlineStr">
        <is>
          <t>Mid (4~6년)</t>
        </is>
      </c>
      <c r="F205" s="21" t="inlineStr">
        <is>
          <t>4.2%</t>
        </is>
      </c>
      <c r="G205" s="17" t="inlineStr">
        <is>
          <t>0.95 (표준)</t>
        </is>
      </c>
      <c r="H205" s="18" t="inlineStr">
        <is>
          <t>팀 내 OPS 단계 핵심 인력. 스쿼드당 1~2명 필수.</t>
        </is>
      </c>
    </row>
    <row r="206">
      <c r="A206" s="16" t="inlineStr">
        <is>
          <t>ICT / Software &amp; Data / AI</t>
        </is>
      </c>
      <c r="B206" s="15" t="inlineStr">
        <is>
          <t>OPS</t>
        </is>
      </c>
      <c r="C206" s="15" t="inlineStr">
        <is>
          <t>3511</t>
        </is>
      </c>
      <c r="D206" s="16" t="inlineStr">
        <is>
          <t>Information and Communications Technology Operations Technicians</t>
        </is>
      </c>
      <c r="E206" s="15" t="inlineStr">
        <is>
          <t>Mid (4~6년)</t>
        </is>
      </c>
      <c r="F206" s="20" t="inlineStr">
        <is>
          <t>4.2%</t>
        </is>
      </c>
      <c r="G206" s="15" t="inlineStr">
        <is>
          <t>1.00 (표준)</t>
        </is>
      </c>
      <c r="H206" s="16" t="inlineStr">
        <is>
          <t>팀 내 OPS 단계 핵심 인력. 스쿼드당 1~2명 필수.</t>
        </is>
      </c>
    </row>
    <row r="207">
      <c r="A207" s="18" t="inlineStr">
        <is>
          <t>ICT / Software &amp; Data / AI</t>
        </is>
      </c>
      <c r="B207" s="17" t="inlineStr">
        <is>
          <t>OPS</t>
        </is>
      </c>
      <c r="C207" s="17" t="inlineStr">
        <is>
          <t>3512</t>
        </is>
      </c>
      <c r="D207" s="18" t="inlineStr">
        <is>
          <t>Information and Communications Technology User Support Technicians</t>
        </is>
      </c>
      <c r="E207" s="17" t="inlineStr">
        <is>
          <t>Mid (4~6년)</t>
        </is>
      </c>
      <c r="F207" s="21" t="inlineStr">
        <is>
          <t>4.2%</t>
        </is>
      </c>
      <c r="G207" s="17" t="inlineStr">
        <is>
          <t>1.05 (표준)</t>
        </is>
      </c>
      <c r="H207" s="18" t="inlineStr">
        <is>
          <t>팀 내 OPS 단계 핵심 인력. 스쿼드당 1~2명 필수.</t>
        </is>
      </c>
    </row>
    <row r="208">
      <c r="A208" s="16" t="inlineStr">
        <is>
          <t>ICT / Software &amp; Data / AI</t>
        </is>
      </c>
      <c r="B208" s="15" t="inlineStr">
        <is>
          <t>OPS</t>
        </is>
      </c>
      <c r="C208" s="15" t="inlineStr">
        <is>
          <t>3513</t>
        </is>
      </c>
      <c r="D208" s="16" t="inlineStr">
        <is>
          <t>Computer Network and Systems Technicians</t>
        </is>
      </c>
      <c r="E208" s="15" t="inlineStr">
        <is>
          <t>Mid (4~6년)</t>
        </is>
      </c>
      <c r="F208" s="20" t="inlineStr">
        <is>
          <t>4.2%</t>
        </is>
      </c>
      <c r="G208" s="15" t="inlineStr">
        <is>
          <t>1.10 (표준)</t>
        </is>
      </c>
      <c r="H208" s="16" t="inlineStr">
        <is>
          <t>팀 내 OPS 단계 핵심 인력. 스쿼드당 1~2명 필수.</t>
        </is>
      </c>
    </row>
    <row r="209">
      <c r="A209" s="18" t="inlineStr">
        <is>
          <t>ICT / Software &amp; Data / AI</t>
        </is>
      </c>
      <c r="B209" s="17" t="inlineStr">
        <is>
          <t>OPS</t>
        </is>
      </c>
      <c r="C209" s="17" t="inlineStr">
        <is>
          <t>3514</t>
        </is>
      </c>
      <c r="D209" s="18" t="inlineStr">
        <is>
          <t>Web Technicians</t>
        </is>
      </c>
      <c r="E209" s="17" t="inlineStr">
        <is>
          <t>Mid (4~6년)</t>
        </is>
      </c>
      <c r="F209" s="21" t="inlineStr">
        <is>
          <t>4.2%</t>
        </is>
      </c>
      <c r="G209" s="17" t="inlineStr">
        <is>
          <t>1.15 (과대 편중)</t>
        </is>
      </c>
      <c r="H209" s="18" t="inlineStr">
        <is>
          <t>팀 내 OPS 단계 핵심 인력. 스쿼드당 1~2명 필수.</t>
        </is>
      </c>
    </row>
    <row r="210">
      <c r="A210" s="16" t="inlineStr">
        <is>
          <t>ICT / Software &amp; Data / AI</t>
        </is>
      </c>
      <c r="B210" s="15" t="inlineStr">
        <is>
          <t>OPS</t>
        </is>
      </c>
      <c r="C210" s="15" t="inlineStr">
        <is>
          <t>3521</t>
        </is>
      </c>
      <c r="D210" s="16" t="inlineStr">
        <is>
          <t>Broadcasting and Audio-visual Technicians</t>
        </is>
      </c>
      <c r="E210" s="15" t="inlineStr">
        <is>
          <t>Mid (4~6년)</t>
        </is>
      </c>
      <c r="F210" s="20" t="inlineStr">
        <is>
          <t>4.2%</t>
        </is>
      </c>
      <c r="G210" s="15" t="inlineStr">
        <is>
          <t>1.00 (표준)</t>
        </is>
      </c>
      <c r="H210" s="16" t="inlineStr">
        <is>
          <t>팀 내 OPS 단계 핵심 인력. 스쿼드당 1~2명 필수.</t>
        </is>
      </c>
    </row>
    <row r="211">
      <c r="A211" s="18" t="inlineStr">
        <is>
          <t>ICT / Software &amp; Data / AI</t>
        </is>
      </c>
      <c r="B211" s="17" t="inlineStr">
        <is>
          <t>OPS</t>
        </is>
      </c>
      <c r="C211" s="17" t="inlineStr">
        <is>
          <t>3522</t>
        </is>
      </c>
      <c r="D211" s="18" t="inlineStr">
        <is>
          <t>Telecommunications Engineering Technicians</t>
        </is>
      </c>
      <c r="E211" s="17" t="inlineStr">
        <is>
          <t>Mid (4~6년)</t>
        </is>
      </c>
      <c r="F211" s="21" t="inlineStr">
        <is>
          <t>4.2%</t>
        </is>
      </c>
      <c r="G211" s="17" t="inlineStr">
        <is>
          <t>1.05 (표준)</t>
        </is>
      </c>
      <c r="H211" s="18" t="inlineStr">
        <is>
          <t>팀 내 OPS 단계 핵심 인력. 스쿼드당 1~2명 필수.</t>
        </is>
      </c>
    </row>
    <row r="212">
      <c r="A212" s="16" t="inlineStr">
        <is>
          <t>경영전략 / 인사 / 사업개발</t>
        </is>
      </c>
      <c r="B212" s="15" t="inlineStr">
        <is>
          <t>OPS</t>
        </is>
      </c>
      <c r="C212" s="15" t="inlineStr">
        <is>
          <t>4110</t>
        </is>
      </c>
      <c r="D212" s="16" t="inlineStr">
        <is>
          <t>General Office Clerks</t>
        </is>
      </c>
      <c r="E212" s="15" t="inlineStr">
        <is>
          <t>Junior (1~3년)</t>
        </is>
      </c>
      <c r="F212" s="20" t="inlineStr">
        <is>
          <t>4.2%</t>
        </is>
      </c>
      <c r="G212" s="15" t="inlineStr">
        <is>
          <t>0.95 (표준)</t>
        </is>
      </c>
      <c r="H212" s="16" t="inlineStr">
        <is>
          <t>팀 내 OPS 단계 핵심 인력. 스쿼드당 1~2명 필수.</t>
        </is>
      </c>
    </row>
    <row r="213">
      <c r="A213" s="18" t="inlineStr">
        <is>
          <t>경영전략 / 인사 / 사업개발</t>
        </is>
      </c>
      <c r="B213" s="17" t="inlineStr">
        <is>
          <t>OPS</t>
        </is>
      </c>
      <c r="C213" s="17" t="inlineStr">
        <is>
          <t>4120</t>
        </is>
      </c>
      <c r="D213" s="18" t="inlineStr">
        <is>
          <t>Secretaries (general)</t>
        </is>
      </c>
      <c r="E213" s="17" t="inlineStr">
        <is>
          <t>Junior (1~3년)</t>
        </is>
      </c>
      <c r="F213" s="21" t="inlineStr">
        <is>
          <t>4.2%</t>
        </is>
      </c>
      <c r="G213" s="17" t="inlineStr">
        <is>
          <t>0.95 (표준)</t>
        </is>
      </c>
      <c r="H213" s="18" t="inlineStr">
        <is>
          <t>팀 내 OPS 단계 핵심 인력. 스쿼드당 1~2명 필수.</t>
        </is>
      </c>
    </row>
    <row r="214">
      <c r="A214" s="16" t="inlineStr">
        <is>
          <t>경영전략 / 인사 / 사업개발</t>
        </is>
      </c>
      <c r="B214" s="15" t="inlineStr">
        <is>
          <t>OPS</t>
        </is>
      </c>
      <c r="C214" s="15" t="inlineStr">
        <is>
          <t>4131</t>
        </is>
      </c>
      <c r="D214" s="16" t="inlineStr">
        <is>
          <t>Typists and Word Processing Operators</t>
        </is>
      </c>
      <c r="E214" s="15" t="inlineStr">
        <is>
          <t>Junior (1~3년)</t>
        </is>
      </c>
      <c r="F214" s="20" t="inlineStr">
        <is>
          <t>4.2%</t>
        </is>
      </c>
      <c r="G214" s="15" t="inlineStr">
        <is>
          <t>1.00 (표준)</t>
        </is>
      </c>
      <c r="H214" s="16" t="inlineStr">
        <is>
          <t>팀 내 OPS 단계 핵심 인력. 스쿼드당 1~2명 필수.</t>
        </is>
      </c>
    </row>
    <row r="215">
      <c r="A215" s="18" t="inlineStr">
        <is>
          <t>경영전략 / 인사 / 사업개발</t>
        </is>
      </c>
      <c r="B215" s="17" t="inlineStr">
        <is>
          <t>OPS</t>
        </is>
      </c>
      <c r="C215" s="17" t="inlineStr">
        <is>
          <t>4132</t>
        </is>
      </c>
      <c r="D215" s="18" t="inlineStr">
        <is>
          <t>Data Entry Clerks</t>
        </is>
      </c>
      <c r="E215" s="17" t="inlineStr">
        <is>
          <t>Junior (1~3년)</t>
        </is>
      </c>
      <c r="F215" s="21" t="inlineStr">
        <is>
          <t>4.2%</t>
        </is>
      </c>
      <c r="G215" s="17" t="inlineStr">
        <is>
          <t>1.05 (표준)</t>
        </is>
      </c>
      <c r="H215" s="18" t="inlineStr">
        <is>
          <t>팀 내 OPS 단계 핵심 인력. 스쿼드당 1~2명 필수.</t>
        </is>
      </c>
    </row>
    <row r="216">
      <c r="A216" s="16" t="inlineStr">
        <is>
          <t>B2B영업 / 마케팅 / GTM</t>
        </is>
      </c>
      <c r="B216" s="15" t="inlineStr">
        <is>
          <t>OPS</t>
        </is>
      </c>
      <c r="C216" s="15" t="inlineStr">
        <is>
          <t>4211</t>
        </is>
      </c>
      <c r="D216" s="16" t="inlineStr">
        <is>
          <t>Bank Tellers and Related Clerks</t>
        </is>
      </c>
      <c r="E216" s="15" t="inlineStr">
        <is>
          <t>Junior (1~3년)</t>
        </is>
      </c>
      <c r="F216" s="20" t="inlineStr">
        <is>
          <t>4.2%</t>
        </is>
      </c>
      <c r="G216" s="15" t="inlineStr">
        <is>
          <t>1.00 (표준)</t>
        </is>
      </c>
      <c r="H216" s="16" t="inlineStr">
        <is>
          <t>팀 내 OPS 단계 핵심 인력. 스쿼드당 1~2명 필수.</t>
        </is>
      </c>
    </row>
    <row r="217">
      <c r="A217" s="18" t="inlineStr">
        <is>
          <t>B2B영업 / 마케팅 / GTM</t>
        </is>
      </c>
      <c r="B217" s="17" t="inlineStr">
        <is>
          <t>OPS</t>
        </is>
      </c>
      <c r="C217" s="17" t="inlineStr">
        <is>
          <t>4212</t>
        </is>
      </c>
      <c r="D217" s="18" t="inlineStr">
        <is>
          <t>Bookmakers, Croupiers and Related Gaming Workers</t>
        </is>
      </c>
      <c r="E217" s="17" t="inlineStr">
        <is>
          <t>Junior (1~3년)</t>
        </is>
      </c>
      <c r="F217" s="21" t="inlineStr">
        <is>
          <t>4.2%</t>
        </is>
      </c>
      <c r="G217" s="17" t="inlineStr">
        <is>
          <t>1.05 (표준)</t>
        </is>
      </c>
      <c r="H217" s="18" t="inlineStr">
        <is>
          <t>팀 내 OPS 단계 핵심 인력. 스쿼드당 1~2명 필수.</t>
        </is>
      </c>
    </row>
    <row r="218">
      <c r="A218" s="16" t="inlineStr">
        <is>
          <t>B2B영업 / 마케팅 / GTM</t>
        </is>
      </c>
      <c r="B218" s="15" t="inlineStr">
        <is>
          <t>OPS</t>
        </is>
      </c>
      <c r="C218" s="15" t="inlineStr">
        <is>
          <t>4213</t>
        </is>
      </c>
      <c r="D218" s="16" t="inlineStr">
        <is>
          <t>Pawnbrokers and Money-lenders</t>
        </is>
      </c>
      <c r="E218" s="15" t="inlineStr">
        <is>
          <t>Junior (1~3년)</t>
        </is>
      </c>
      <c r="F218" s="20" t="inlineStr">
        <is>
          <t>4.2%</t>
        </is>
      </c>
      <c r="G218" s="15" t="inlineStr">
        <is>
          <t>1.10 (표준)</t>
        </is>
      </c>
      <c r="H218" s="16" t="inlineStr">
        <is>
          <t>팀 내 OPS 단계 핵심 인력. 스쿼드당 1~2명 필수.</t>
        </is>
      </c>
    </row>
    <row r="219">
      <c r="A219" s="18" t="inlineStr">
        <is>
          <t>B2B영업 / 마케팅 / GTM</t>
        </is>
      </c>
      <c r="B219" s="17" t="inlineStr">
        <is>
          <t>OPS</t>
        </is>
      </c>
      <c r="C219" s="17" t="inlineStr">
        <is>
          <t>4214</t>
        </is>
      </c>
      <c r="D219" s="18" t="inlineStr">
        <is>
          <t>Debt Collectors and Related Workers</t>
        </is>
      </c>
      <c r="E219" s="17" t="inlineStr">
        <is>
          <t>Junior (1~3년)</t>
        </is>
      </c>
      <c r="F219" s="21" t="inlineStr">
        <is>
          <t>4.2%</t>
        </is>
      </c>
      <c r="G219" s="17" t="inlineStr">
        <is>
          <t>1.15 (과대 편중)</t>
        </is>
      </c>
      <c r="H219" s="18" t="inlineStr">
        <is>
          <t>팀 내 OPS 단계 핵심 인력. 스쿼드당 1~2명 필수.</t>
        </is>
      </c>
    </row>
    <row r="220">
      <c r="A220" s="16" t="inlineStr">
        <is>
          <t>B2B영업 / 마케팅 / GTM</t>
        </is>
      </c>
      <c r="B220" s="15" t="inlineStr">
        <is>
          <t>OPS</t>
        </is>
      </c>
      <c r="C220" s="15" t="inlineStr">
        <is>
          <t>4221</t>
        </is>
      </c>
      <c r="D220" s="16" t="inlineStr">
        <is>
          <t>Travel Consultants and Clerks</t>
        </is>
      </c>
      <c r="E220" s="15" t="inlineStr">
        <is>
          <t>Junior (1~3년)</t>
        </is>
      </c>
      <c r="F220" s="20" t="inlineStr">
        <is>
          <t>4.2%</t>
        </is>
      </c>
      <c r="G220" s="15" t="inlineStr">
        <is>
          <t>1.00 (표준)</t>
        </is>
      </c>
      <c r="H220" s="16" t="inlineStr">
        <is>
          <t>팀 내 OPS 단계 핵심 인력. 스쿼드당 1~2명 필수.</t>
        </is>
      </c>
    </row>
    <row r="221">
      <c r="A221" s="18" t="inlineStr">
        <is>
          <t>B2B영업 / 마케팅 / GTM</t>
        </is>
      </c>
      <c r="B221" s="17" t="inlineStr">
        <is>
          <t>OPS</t>
        </is>
      </c>
      <c r="C221" s="17" t="inlineStr">
        <is>
          <t>4222</t>
        </is>
      </c>
      <c r="D221" s="18" t="inlineStr">
        <is>
          <t>Contact Centre Information Clerks</t>
        </is>
      </c>
      <c r="E221" s="17" t="inlineStr">
        <is>
          <t>Junior (1~3년)</t>
        </is>
      </c>
      <c r="F221" s="21" t="inlineStr">
        <is>
          <t>4.2%</t>
        </is>
      </c>
      <c r="G221" s="17" t="inlineStr">
        <is>
          <t>1.05 (표준)</t>
        </is>
      </c>
      <c r="H221" s="18" t="inlineStr">
        <is>
          <t>팀 내 OPS 단계 핵심 인력. 스쿼드당 1~2명 필수.</t>
        </is>
      </c>
    </row>
    <row r="222">
      <c r="A222" s="16" t="inlineStr">
        <is>
          <t>B2B영업 / 마케팅 / GTM</t>
        </is>
      </c>
      <c r="B222" s="15" t="inlineStr">
        <is>
          <t>OPS</t>
        </is>
      </c>
      <c r="C222" s="15" t="inlineStr">
        <is>
          <t>4223</t>
        </is>
      </c>
      <c r="D222" s="16" t="inlineStr">
        <is>
          <t>Telephone Switchboard Operators</t>
        </is>
      </c>
      <c r="E222" s="15" t="inlineStr">
        <is>
          <t>Junior (1~3년)</t>
        </is>
      </c>
      <c r="F222" s="20" t="inlineStr">
        <is>
          <t>4.2%</t>
        </is>
      </c>
      <c r="G222" s="15" t="inlineStr">
        <is>
          <t>1.10 (표준)</t>
        </is>
      </c>
      <c r="H222" s="16" t="inlineStr">
        <is>
          <t>팀 내 OPS 단계 핵심 인력. 스쿼드당 1~2명 필수.</t>
        </is>
      </c>
    </row>
    <row r="223">
      <c r="A223" s="18" t="inlineStr">
        <is>
          <t>B2B영업 / 마케팅 / GTM</t>
        </is>
      </c>
      <c r="B223" s="17" t="inlineStr">
        <is>
          <t>OPS</t>
        </is>
      </c>
      <c r="C223" s="17" t="inlineStr">
        <is>
          <t>4224</t>
        </is>
      </c>
      <c r="D223" s="18" t="inlineStr">
        <is>
          <t>Hotel Receptionists</t>
        </is>
      </c>
      <c r="E223" s="17" t="inlineStr">
        <is>
          <t>Junior (1~3년)</t>
        </is>
      </c>
      <c r="F223" s="21" t="inlineStr">
        <is>
          <t>4.2%</t>
        </is>
      </c>
      <c r="G223" s="17" t="inlineStr">
        <is>
          <t>1.15 (과대 편중)</t>
        </is>
      </c>
      <c r="H223" s="18" t="inlineStr">
        <is>
          <t>팀 내 OPS 단계 핵심 인력. 스쿼드당 1~2명 필수.</t>
        </is>
      </c>
    </row>
    <row r="224">
      <c r="A224" s="16" t="inlineStr">
        <is>
          <t>B2B영업 / 마케팅 / GTM</t>
        </is>
      </c>
      <c r="B224" s="15" t="inlineStr">
        <is>
          <t>OPS</t>
        </is>
      </c>
      <c r="C224" s="15" t="inlineStr">
        <is>
          <t>4225</t>
        </is>
      </c>
      <c r="D224" s="16" t="inlineStr">
        <is>
          <t>Inquiry Clerks</t>
        </is>
      </c>
      <c r="E224" s="15" t="inlineStr">
        <is>
          <t>Junior (1~3년)</t>
        </is>
      </c>
      <c r="F224" s="20" t="inlineStr">
        <is>
          <t>4.2%</t>
        </is>
      </c>
      <c r="G224" s="15" t="inlineStr">
        <is>
          <t>0.95 (표준)</t>
        </is>
      </c>
      <c r="H224" s="16" t="inlineStr">
        <is>
          <t>팀 내 OPS 단계 핵심 인력. 스쿼드당 1~2명 필수.</t>
        </is>
      </c>
    </row>
    <row r="225">
      <c r="A225" s="18" t="inlineStr">
        <is>
          <t>B2B영업 / 마케팅 / GTM</t>
        </is>
      </c>
      <c r="B225" s="17" t="inlineStr">
        <is>
          <t>OPS</t>
        </is>
      </c>
      <c r="C225" s="17" t="inlineStr">
        <is>
          <t>4226</t>
        </is>
      </c>
      <c r="D225" s="18" t="inlineStr">
        <is>
          <t>Receptionists (general)</t>
        </is>
      </c>
      <c r="E225" s="17" t="inlineStr">
        <is>
          <t>Junior (1~3년)</t>
        </is>
      </c>
      <c r="F225" s="21" t="inlineStr">
        <is>
          <t>4.2%</t>
        </is>
      </c>
      <c r="G225" s="17" t="inlineStr">
        <is>
          <t>1.00 (표준)</t>
        </is>
      </c>
      <c r="H225" s="18" t="inlineStr">
        <is>
          <t>팀 내 OPS 단계 핵심 인력. 스쿼드당 1~2명 필수.</t>
        </is>
      </c>
    </row>
    <row r="226">
      <c r="A226" s="16" t="inlineStr">
        <is>
          <t>B2B영업 / 마케팅 / GTM</t>
        </is>
      </c>
      <c r="B226" s="15" t="inlineStr">
        <is>
          <t>OPS</t>
        </is>
      </c>
      <c r="C226" s="15" t="inlineStr">
        <is>
          <t>4227</t>
        </is>
      </c>
      <c r="D226" s="16" t="inlineStr">
        <is>
          <t>Survey and Market Research Interviewers</t>
        </is>
      </c>
      <c r="E226" s="15" t="inlineStr">
        <is>
          <t>Junior (1~3년)</t>
        </is>
      </c>
      <c r="F226" s="20" t="inlineStr">
        <is>
          <t>4.2%</t>
        </is>
      </c>
      <c r="G226" s="15" t="inlineStr">
        <is>
          <t>1.05 (표준)</t>
        </is>
      </c>
      <c r="H226" s="16" t="inlineStr">
        <is>
          <t>팀 내 OPS 단계 핵심 인력. 스쿼드당 1~2명 필수.</t>
        </is>
      </c>
    </row>
    <row r="227">
      <c r="A227" s="18" t="inlineStr">
        <is>
          <t>B2B영업 / 마케팅 / GTM</t>
        </is>
      </c>
      <c r="B227" s="17" t="inlineStr">
        <is>
          <t>OPS</t>
        </is>
      </c>
      <c r="C227" s="17" t="inlineStr">
        <is>
          <t>4229</t>
        </is>
      </c>
      <c r="D227" s="18" t="inlineStr">
        <is>
          <t>Client Information Workers Not Elsewhere Classified</t>
        </is>
      </c>
      <c r="E227" s="17" t="inlineStr">
        <is>
          <t>Junior (1~3년)</t>
        </is>
      </c>
      <c r="F227" s="21" t="inlineStr">
        <is>
          <t>4.2%</t>
        </is>
      </c>
      <c r="G227" s="17" t="inlineStr">
        <is>
          <t>1.15 (과대 편중)</t>
        </is>
      </c>
      <c r="H227" s="18" t="inlineStr">
        <is>
          <t>팀 내 OPS 단계 핵심 인력. 스쿼드당 1~2명 필수.</t>
        </is>
      </c>
    </row>
    <row r="228">
      <c r="A228" s="16" t="inlineStr">
        <is>
          <t>경영전략 / 인사 / 사업개발</t>
        </is>
      </c>
      <c r="B228" s="15" t="inlineStr">
        <is>
          <t>OPS</t>
        </is>
      </c>
      <c r="C228" s="15" t="inlineStr">
        <is>
          <t>4311</t>
        </is>
      </c>
      <c r="D228" s="16" t="inlineStr">
        <is>
          <t>Accounting and Bookkeeping Clerks</t>
        </is>
      </c>
      <c r="E228" s="15" t="inlineStr">
        <is>
          <t>Junior (1~3년)</t>
        </is>
      </c>
      <c r="F228" s="20" t="inlineStr">
        <is>
          <t>4.2%</t>
        </is>
      </c>
      <c r="G228" s="15" t="inlineStr">
        <is>
          <t>1.00 (표준)</t>
        </is>
      </c>
      <c r="H228" s="16" t="inlineStr">
        <is>
          <t>팀 내 OPS 단계 핵심 인력. 스쿼드당 1~2명 필수.</t>
        </is>
      </c>
    </row>
    <row r="229">
      <c r="A229" s="18" t="inlineStr">
        <is>
          <t>경영전략 / 인사 / 사업개발</t>
        </is>
      </c>
      <c r="B229" s="17" t="inlineStr">
        <is>
          <t>OPS</t>
        </is>
      </c>
      <c r="C229" s="17" t="inlineStr">
        <is>
          <t>4312</t>
        </is>
      </c>
      <c r="D229" s="18" t="inlineStr">
        <is>
          <t>Statistical, Finance and Insurance Clerks</t>
        </is>
      </c>
      <c r="E229" s="17" t="inlineStr">
        <is>
          <t>Junior (1~3년)</t>
        </is>
      </c>
      <c r="F229" s="21" t="inlineStr">
        <is>
          <t>4.2%</t>
        </is>
      </c>
      <c r="G229" s="17" t="inlineStr">
        <is>
          <t>1.05 (표준)</t>
        </is>
      </c>
      <c r="H229" s="18" t="inlineStr">
        <is>
          <t>팀 내 OPS 단계 핵심 인력. 스쿼드당 1~2명 필수.</t>
        </is>
      </c>
    </row>
    <row r="230">
      <c r="A230" s="16" t="inlineStr">
        <is>
          <t>경영전략 / 인사 / 사업개발</t>
        </is>
      </c>
      <c r="B230" s="15" t="inlineStr">
        <is>
          <t>OPS</t>
        </is>
      </c>
      <c r="C230" s="15" t="inlineStr">
        <is>
          <t>4313</t>
        </is>
      </c>
      <c r="D230" s="16" t="inlineStr">
        <is>
          <t>Payroll Clerks</t>
        </is>
      </c>
      <c r="E230" s="15" t="inlineStr">
        <is>
          <t>Junior (1~3년)</t>
        </is>
      </c>
      <c r="F230" s="20" t="inlineStr">
        <is>
          <t>4.2%</t>
        </is>
      </c>
      <c r="G230" s="15" t="inlineStr">
        <is>
          <t>1.10 (표준)</t>
        </is>
      </c>
      <c r="H230" s="16" t="inlineStr">
        <is>
          <t>팀 내 OPS 단계 핵심 인력. 스쿼드당 1~2명 필수.</t>
        </is>
      </c>
    </row>
    <row r="231">
      <c r="A231" s="18" t="inlineStr">
        <is>
          <t>경영전략 / 인사 / 사업개발</t>
        </is>
      </c>
      <c r="B231" s="17" t="inlineStr">
        <is>
          <t>OPS</t>
        </is>
      </c>
      <c r="C231" s="17" t="inlineStr">
        <is>
          <t>4321</t>
        </is>
      </c>
      <c r="D231" s="18" t="inlineStr">
        <is>
          <t>Stock Clerks</t>
        </is>
      </c>
      <c r="E231" s="17" t="inlineStr">
        <is>
          <t>Junior (1~3년)</t>
        </is>
      </c>
      <c r="F231" s="21" t="inlineStr">
        <is>
          <t>4.2%</t>
        </is>
      </c>
      <c r="G231" s="17" t="inlineStr">
        <is>
          <t>1.00 (표준)</t>
        </is>
      </c>
      <c r="H231" s="18" t="inlineStr">
        <is>
          <t>팀 내 OPS 단계 핵심 인력. 스쿼드당 1~2명 필수.</t>
        </is>
      </c>
    </row>
    <row r="232">
      <c r="A232" s="16" t="inlineStr">
        <is>
          <t>경영전략 / 인사 / 사업개발</t>
        </is>
      </c>
      <c r="B232" s="15" t="inlineStr">
        <is>
          <t>OPS</t>
        </is>
      </c>
      <c r="C232" s="15" t="inlineStr">
        <is>
          <t>4322</t>
        </is>
      </c>
      <c r="D232" s="16" t="inlineStr">
        <is>
          <t>Production Clerks</t>
        </is>
      </c>
      <c r="E232" s="15" t="inlineStr">
        <is>
          <t>Junior (1~3년)</t>
        </is>
      </c>
      <c r="F232" s="20" t="inlineStr">
        <is>
          <t>4.2%</t>
        </is>
      </c>
      <c r="G232" s="15" t="inlineStr">
        <is>
          <t>1.05 (표준)</t>
        </is>
      </c>
      <c r="H232" s="16" t="inlineStr">
        <is>
          <t>팀 내 OPS 단계 핵심 인력. 스쿼드당 1~2명 필수.</t>
        </is>
      </c>
    </row>
    <row r="233">
      <c r="A233" s="18" t="inlineStr">
        <is>
          <t>경영전략 / 인사 / 사업개발</t>
        </is>
      </c>
      <c r="B233" s="17" t="inlineStr">
        <is>
          <t>OPS</t>
        </is>
      </c>
      <c r="C233" s="17" t="inlineStr">
        <is>
          <t>4323</t>
        </is>
      </c>
      <c r="D233" s="18" t="inlineStr">
        <is>
          <t>Transport Clerks</t>
        </is>
      </c>
      <c r="E233" s="17" t="inlineStr">
        <is>
          <t>Junior (1~3년)</t>
        </is>
      </c>
      <c r="F233" s="21" t="inlineStr">
        <is>
          <t>4.2%</t>
        </is>
      </c>
      <c r="G233" s="17" t="inlineStr">
        <is>
          <t>1.10 (표준)</t>
        </is>
      </c>
      <c r="H233" s="18" t="inlineStr">
        <is>
          <t>팀 내 OPS 단계 핵심 인력. 스쿼드당 1~2명 필수.</t>
        </is>
      </c>
    </row>
    <row r="234">
      <c r="A234" s="16" t="inlineStr">
        <is>
          <t>경영전략 / 인사 / 사업개발</t>
        </is>
      </c>
      <c r="B234" s="15" t="inlineStr">
        <is>
          <t>OPS</t>
        </is>
      </c>
      <c r="C234" s="15" t="inlineStr">
        <is>
          <t>4411</t>
        </is>
      </c>
      <c r="D234" s="16" t="inlineStr">
        <is>
          <t>Library Clerks</t>
        </is>
      </c>
      <c r="E234" s="15" t="inlineStr">
        <is>
          <t>Junior (1~3년)</t>
        </is>
      </c>
      <c r="F234" s="20" t="inlineStr">
        <is>
          <t>4.2%</t>
        </is>
      </c>
      <c r="G234" s="15" t="inlineStr">
        <is>
          <t>1.00 (표준)</t>
        </is>
      </c>
      <c r="H234" s="16" t="inlineStr">
        <is>
          <t>팀 내 OPS 단계 핵심 인력. 스쿼드당 1~2명 필수.</t>
        </is>
      </c>
    </row>
    <row r="235">
      <c r="A235" s="18" t="inlineStr">
        <is>
          <t>경영전략 / 인사 / 사업개발</t>
        </is>
      </c>
      <c r="B235" s="17" t="inlineStr">
        <is>
          <t>OPS</t>
        </is>
      </c>
      <c r="C235" s="17" t="inlineStr">
        <is>
          <t>4412</t>
        </is>
      </c>
      <c r="D235" s="18" t="inlineStr">
        <is>
          <t>Mail Carriers and Sorting Clerks</t>
        </is>
      </c>
      <c r="E235" s="17" t="inlineStr">
        <is>
          <t>Junior (1~3년)</t>
        </is>
      </c>
      <c r="F235" s="21" t="inlineStr">
        <is>
          <t>4.2%</t>
        </is>
      </c>
      <c r="G235" s="17" t="inlineStr">
        <is>
          <t>1.05 (표준)</t>
        </is>
      </c>
      <c r="H235" s="18" t="inlineStr">
        <is>
          <t>팀 내 OPS 단계 핵심 인력. 스쿼드당 1~2명 필수.</t>
        </is>
      </c>
    </row>
    <row r="236">
      <c r="A236" s="16" t="inlineStr">
        <is>
          <t>경영전략 / 인사 / 사업개발</t>
        </is>
      </c>
      <c r="B236" s="15" t="inlineStr">
        <is>
          <t>OPS</t>
        </is>
      </c>
      <c r="C236" s="15" t="inlineStr">
        <is>
          <t>4413</t>
        </is>
      </c>
      <c r="D236" s="16" t="inlineStr">
        <is>
          <t>Coding, Proofreading and Related Clerks</t>
        </is>
      </c>
      <c r="E236" s="15" t="inlineStr">
        <is>
          <t>Junior (1~3년)</t>
        </is>
      </c>
      <c r="F236" s="20" t="inlineStr">
        <is>
          <t>4.2%</t>
        </is>
      </c>
      <c r="G236" s="15" t="inlineStr">
        <is>
          <t>1.10 (표준)</t>
        </is>
      </c>
      <c r="H236" s="16" t="inlineStr">
        <is>
          <t>팀 내 OPS 단계 핵심 인력. 스쿼드당 1~2명 필수.</t>
        </is>
      </c>
    </row>
    <row r="237">
      <c r="A237" s="18" t="inlineStr">
        <is>
          <t>경영전략 / 인사 / 사업개발</t>
        </is>
      </c>
      <c r="B237" s="17" t="inlineStr">
        <is>
          <t>OPS</t>
        </is>
      </c>
      <c r="C237" s="17" t="inlineStr">
        <is>
          <t>4414</t>
        </is>
      </c>
      <c r="D237" s="18" t="inlineStr">
        <is>
          <t>Scribes and Related Workers</t>
        </is>
      </c>
      <c r="E237" s="17" t="inlineStr">
        <is>
          <t>Junior (1~3년)</t>
        </is>
      </c>
      <c r="F237" s="21" t="inlineStr">
        <is>
          <t>4.2%</t>
        </is>
      </c>
      <c r="G237" s="17" t="inlineStr">
        <is>
          <t>1.15 (과대 편중)</t>
        </is>
      </c>
      <c r="H237" s="18" t="inlineStr">
        <is>
          <t>팀 내 OPS 단계 핵심 인력. 스쿼드당 1~2명 필수.</t>
        </is>
      </c>
    </row>
    <row r="238">
      <c r="A238" s="16" t="inlineStr">
        <is>
          <t>경영전략 / 인사 / 사업개발</t>
        </is>
      </c>
      <c r="B238" s="15" t="inlineStr">
        <is>
          <t>OPS</t>
        </is>
      </c>
      <c r="C238" s="15" t="inlineStr">
        <is>
          <t>4415</t>
        </is>
      </c>
      <c r="D238" s="16" t="inlineStr">
        <is>
          <t>Filing and Copying Clerks</t>
        </is>
      </c>
      <c r="E238" s="15" t="inlineStr">
        <is>
          <t>Junior (1~3년)</t>
        </is>
      </c>
      <c r="F238" s="20" t="inlineStr">
        <is>
          <t>4.2%</t>
        </is>
      </c>
      <c r="G238" s="15" t="inlineStr">
        <is>
          <t>0.95 (표준)</t>
        </is>
      </c>
      <c r="H238" s="16" t="inlineStr">
        <is>
          <t>팀 내 OPS 단계 핵심 인력. 스쿼드당 1~2명 필수.</t>
        </is>
      </c>
    </row>
    <row r="239">
      <c r="A239" s="18" t="inlineStr">
        <is>
          <t>경영전략 / 인사 / 사업개발</t>
        </is>
      </c>
      <c r="B239" s="17" t="inlineStr">
        <is>
          <t>OPS</t>
        </is>
      </c>
      <c r="C239" s="17" t="inlineStr">
        <is>
          <t>4416</t>
        </is>
      </c>
      <c r="D239" s="18" t="inlineStr">
        <is>
          <t>Personnel Clerks</t>
        </is>
      </c>
      <c r="E239" s="17" t="inlineStr">
        <is>
          <t>Junior (1~3년)</t>
        </is>
      </c>
      <c r="F239" s="21" t="inlineStr">
        <is>
          <t>4.2%</t>
        </is>
      </c>
      <c r="G239" s="17" t="inlineStr">
        <is>
          <t>1.00 (표준)</t>
        </is>
      </c>
      <c r="H239" s="18" t="inlineStr">
        <is>
          <t>팀 내 OPS 단계 핵심 인력. 스쿼드당 1~2명 필수.</t>
        </is>
      </c>
    </row>
    <row r="240">
      <c r="A240" s="16" t="inlineStr">
        <is>
          <t>경영전략 / 인사 / 사업개발</t>
        </is>
      </c>
      <c r="B240" s="15" t="inlineStr">
        <is>
          <t>OPS</t>
        </is>
      </c>
      <c r="C240" s="15" t="inlineStr">
        <is>
          <t>4419</t>
        </is>
      </c>
      <c r="D240" s="16" t="inlineStr">
        <is>
          <t>Clerical Support Workers Not Elsewhere Classified</t>
        </is>
      </c>
      <c r="E240" s="15" t="inlineStr">
        <is>
          <t>Junior (1~3년)</t>
        </is>
      </c>
      <c r="F240" s="20" t="inlineStr">
        <is>
          <t>4.2%</t>
        </is>
      </c>
      <c r="G240" s="15" t="inlineStr">
        <is>
          <t>1.15 (과대 편중)</t>
        </is>
      </c>
      <c r="H240" s="16" t="inlineStr">
        <is>
          <t>팀 내 OPS 단계 핵심 인력. 스쿼드당 1~2명 필수.</t>
        </is>
      </c>
    </row>
    <row r="241">
      <c r="A241" s="18" t="inlineStr">
        <is>
          <t>B2B영업 / 마케팅 / GTM</t>
        </is>
      </c>
      <c r="B241" s="17" t="inlineStr">
        <is>
          <t>GTM</t>
        </is>
      </c>
      <c r="C241" s="17" t="inlineStr">
        <is>
          <t>5111</t>
        </is>
      </c>
      <c r="D241" s="18" t="inlineStr">
        <is>
          <t>Travel Attendants and Travel Stewards</t>
        </is>
      </c>
      <c r="E241" s="17" t="inlineStr">
        <is>
          <t>Junior (1~3년)</t>
        </is>
      </c>
      <c r="F241" s="21" t="inlineStr">
        <is>
          <t>4.2%</t>
        </is>
      </c>
      <c r="G241" s="17" t="inlineStr">
        <is>
          <t>1.00 (표준)</t>
        </is>
      </c>
      <c r="H241" s="18" t="inlineStr">
        <is>
          <t>팀 내 GTM 단계 핵심 인력. 스쿼드당 1~2명 필수.</t>
        </is>
      </c>
    </row>
    <row r="242">
      <c r="A242" s="16" t="inlineStr">
        <is>
          <t>B2B영업 / 마케팅 / GTM</t>
        </is>
      </c>
      <c r="B242" s="15" t="inlineStr">
        <is>
          <t>GTM</t>
        </is>
      </c>
      <c r="C242" s="15" t="inlineStr">
        <is>
          <t>5112</t>
        </is>
      </c>
      <c r="D242" s="16" t="inlineStr">
        <is>
          <t>Transport Conductors</t>
        </is>
      </c>
      <c r="E242" s="15" t="inlineStr">
        <is>
          <t>Junior (1~3년)</t>
        </is>
      </c>
      <c r="F242" s="20" t="inlineStr">
        <is>
          <t>4.2%</t>
        </is>
      </c>
      <c r="G242" s="15" t="inlineStr">
        <is>
          <t>1.05 (표준)</t>
        </is>
      </c>
      <c r="H242" s="16" t="inlineStr">
        <is>
          <t>팀 내 GTM 단계 핵심 인력. 스쿼드당 1~2명 필수.</t>
        </is>
      </c>
    </row>
    <row r="243">
      <c r="A243" s="18" t="inlineStr">
        <is>
          <t>B2B영업 / 마케팅 / GTM</t>
        </is>
      </c>
      <c r="B243" s="17" t="inlineStr">
        <is>
          <t>GTM</t>
        </is>
      </c>
      <c r="C243" s="17" t="inlineStr">
        <is>
          <t>5113</t>
        </is>
      </c>
      <c r="D243" s="18" t="inlineStr">
        <is>
          <t>Travel Guides</t>
        </is>
      </c>
      <c r="E243" s="17" t="inlineStr">
        <is>
          <t>Junior (1~3년)</t>
        </is>
      </c>
      <c r="F243" s="21" t="inlineStr">
        <is>
          <t>4.2%</t>
        </is>
      </c>
      <c r="G243" s="17" t="inlineStr">
        <is>
          <t>1.10 (표준)</t>
        </is>
      </c>
      <c r="H243" s="18" t="inlineStr">
        <is>
          <t>팀 내 GTM 단계 핵심 인력. 스쿼드당 1~2명 필수.</t>
        </is>
      </c>
    </row>
    <row r="244">
      <c r="A244" s="16" t="inlineStr">
        <is>
          <t>B2B영업 / 마케팅 / GTM</t>
        </is>
      </c>
      <c r="B244" s="15" t="inlineStr">
        <is>
          <t>GTM</t>
        </is>
      </c>
      <c r="C244" s="15" t="inlineStr">
        <is>
          <t>5120</t>
        </is>
      </c>
      <c r="D244" s="16" t="inlineStr">
        <is>
          <t>Cooks</t>
        </is>
      </c>
      <c r="E244" s="15" t="inlineStr">
        <is>
          <t>Junior (1~3년)</t>
        </is>
      </c>
      <c r="F244" s="20" t="inlineStr">
        <is>
          <t>4.2%</t>
        </is>
      </c>
      <c r="G244" s="15" t="inlineStr">
        <is>
          <t>0.95 (표준)</t>
        </is>
      </c>
      <c r="H244" s="16" t="inlineStr">
        <is>
          <t>팀 내 GTM 단계 핵심 인력. 스쿼드당 1~2명 필수.</t>
        </is>
      </c>
    </row>
    <row r="245">
      <c r="A245" s="18" t="inlineStr">
        <is>
          <t>B2B영업 / 마케팅 / GTM</t>
        </is>
      </c>
      <c r="B245" s="17" t="inlineStr">
        <is>
          <t>GTM</t>
        </is>
      </c>
      <c r="C245" s="17" t="inlineStr">
        <is>
          <t>5131</t>
        </is>
      </c>
      <c r="D245" s="18" t="inlineStr">
        <is>
          <t>Waiters</t>
        </is>
      </c>
      <c r="E245" s="17" t="inlineStr">
        <is>
          <t>Junior (1~3년)</t>
        </is>
      </c>
      <c r="F245" s="21" t="inlineStr">
        <is>
          <t>4.2%</t>
        </is>
      </c>
      <c r="G245" s="17" t="inlineStr">
        <is>
          <t>1.00 (표준)</t>
        </is>
      </c>
      <c r="H245" s="18" t="inlineStr">
        <is>
          <t>팀 내 GTM 단계 핵심 인력. 스쿼드당 1~2명 필수.</t>
        </is>
      </c>
    </row>
    <row r="246">
      <c r="A246" s="16" t="inlineStr">
        <is>
          <t>B2B영업 / 마케팅 / GTM</t>
        </is>
      </c>
      <c r="B246" s="15" t="inlineStr">
        <is>
          <t>GTM</t>
        </is>
      </c>
      <c r="C246" s="15" t="inlineStr">
        <is>
          <t>5132</t>
        </is>
      </c>
      <c r="D246" s="16" t="inlineStr">
        <is>
          <t>Bartenders</t>
        </is>
      </c>
      <c r="E246" s="15" t="inlineStr">
        <is>
          <t>Junior (1~3년)</t>
        </is>
      </c>
      <c r="F246" s="20" t="inlineStr">
        <is>
          <t>4.2%</t>
        </is>
      </c>
      <c r="G246" s="15" t="inlineStr">
        <is>
          <t>1.05 (표준)</t>
        </is>
      </c>
      <c r="H246" s="16" t="inlineStr">
        <is>
          <t>팀 내 GTM 단계 핵심 인력. 스쿼드당 1~2명 필수.</t>
        </is>
      </c>
    </row>
    <row r="247">
      <c r="A247" s="18" t="inlineStr">
        <is>
          <t>B2B영업 / 마케팅 / GTM</t>
        </is>
      </c>
      <c r="B247" s="17" t="inlineStr">
        <is>
          <t>GTM</t>
        </is>
      </c>
      <c r="C247" s="17" t="inlineStr">
        <is>
          <t>5141</t>
        </is>
      </c>
      <c r="D247" s="18" t="inlineStr">
        <is>
          <t>Hairdressers</t>
        </is>
      </c>
      <c r="E247" s="17" t="inlineStr">
        <is>
          <t>Junior (1~3년)</t>
        </is>
      </c>
      <c r="F247" s="21" t="inlineStr">
        <is>
          <t>4.2%</t>
        </is>
      </c>
      <c r="G247" s="17" t="inlineStr">
        <is>
          <t>1.00 (표준)</t>
        </is>
      </c>
      <c r="H247" s="18" t="inlineStr">
        <is>
          <t>팀 내 GTM 단계 핵심 인력. 스쿼드당 1~2명 필수.</t>
        </is>
      </c>
    </row>
    <row r="248">
      <c r="A248" s="16" t="inlineStr">
        <is>
          <t>B2B영업 / 마케팅 / GTM</t>
        </is>
      </c>
      <c r="B248" s="15" t="inlineStr">
        <is>
          <t>GTM</t>
        </is>
      </c>
      <c r="C248" s="15" t="inlineStr">
        <is>
          <t>5142</t>
        </is>
      </c>
      <c r="D248" s="16" t="inlineStr">
        <is>
          <t>Beauticians and Related Workers</t>
        </is>
      </c>
      <c r="E248" s="15" t="inlineStr">
        <is>
          <t>Junior (1~3년)</t>
        </is>
      </c>
      <c r="F248" s="20" t="inlineStr">
        <is>
          <t>4.2%</t>
        </is>
      </c>
      <c r="G248" s="15" t="inlineStr">
        <is>
          <t>1.05 (표준)</t>
        </is>
      </c>
      <c r="H248" s="16" t="inlineStr">
        <is>
          <t>팀 내 GTM 단계 핵심 인력. 스쿼드당 1~2명 필수.</t>
        </is>
      </c>
    </row>
    <row r="249">
      <c r="A249" s="18" t="inlineStr">
        <is>
          <t>B2B영업 / 마케팅 / GTM</t>
        </is>
      </c>
      <c r="B249" s="17" t="inlineStr">
        <is>
          <t>GTM</t>
        </is>
      </c>
      <c r="C249" s="17" t="inlineStr">
        <is>
          <t>5151</t>
        </is>
      </c>
      <c r="D249" s="18" t="inlineStr">
        <is>
          <t>Cleaning and Housekeeping Supervisors in Offices, Hotels and Other Establishments</t>
        </is>
      </c>
      <c r="E249" s="17" t="inlineStr">
        <is>
          <t>Junior (1~3년)</t>
        </is>
      </c>
      <c r="F249" s="21" t="inlineStr">
        <is>
          <t>4.2%</t>
        </is>
      </c>
      <c r="G249" s="17" t="inlineStr">
        <is>
          <t>1.00 (표준)</t>
        </is>
      </c>
      <c r="H249" s="18" t="inlineStr">
        <is>
          <t>팀 내 GTM 단계 핵심 인력. 스쿼드당 1~2명 필수.</t>
        </is>
      </c>
    </row>
    <row r="250">
      <c r="A250" s="16" t="inlineStr">
        <is>
          <t>B2B영업 / 마케팅 / GTM</t>
        </is>
      </c>
      <c r="B250" s="15" t="inlineStr">
        <is>
          <t>GTM</t>
        </is>
      </c>
      <c r="C250" s="15" t="inlineStr">
        <is>
          <t>5152</t>
        </is>
      </c>
      <c r="D250" s="16" t="inlineStr">
        <is>
          <t>Domestic Housekeepers</t>
        </is>
      </c>
      <c r="E250" s="15" t="inlineStr">
        <is>
          <t>Junior (1~3년)</t>
        </is>
      </c>
      <c r="F250" s="20" t="inlineStr">
        <is>
          <t>4.2%</t>
        </is>
      </c>
      <c r="G250" s="15" t="inlineStr">
        <is>
          <t>1.05 (표준)</t>
        </is>
      </c>
      <c r="H250" s="16" t="inlineStr">
        <is>
          <t>팀 내 GTM 단계 핵심 인력. 스쿼드당 1~2명 필수.</t>
        </is>
      </c>
    </row>
    <row r="251">
      <c r="A251" s="18" t="inlineStr">
        <is>
          <t>B2B영업 / 마케팅 / GTM</t>
        </is>
      </c>
      <c r="B251" s="17" t="inlineStr">
        <is>
          <t>GTM</t>
        </is>
      </c>
      <c r="C251" s="17" t="inlineStr">
        <is>
          <t>5153</t>
        </is>
      </c>
      <c r="D251" s="18" t="inlineStr">
        <is>
          <t>Building Caretakers</t>
        </is>
      </c>
      <c r="E251" s="17" t="inlineStr">
        <is>
          <t>Junior (1~3년)</t>
        </is>
      </c>
      <c r="F251" s="21" t="inlineStr">
        <is>
          <t>4.2%</t>
        </is>
      </c>
      <c r="G251" s="17" t="inlineStr">
        <is>
          <t>1.10 (표준)</t>
        </is>
      </c>
      <c r="H251" s="18" t="inlineStr">
        <is>
          <t>팀 내 GTM 단계 핵심 인력. 스쿼드당 1~2명 필수.</t>
        </is>
      </c>
    </row>
    <row r="252">
      <c r="A252" s="16" t="inlineStr">
        <is>
          <t>B2B영업 / 마케팅 / GTM</t>
        </is>
      </c>
      <c r="B252" s="15" t="inlineStr">
        <is>
          <t>GTM</t>
        </is>
      </c>
      <c r="C252" s="15" t="inlineStr">
        <is>
          <t>5161</t>
        </is>
      </c>
      <c r="D252" s="16" t="inlineStr">
        <is>
          <t>Astrologers, Fortune-tellers and Related Workers</t>
        </is>
      </c>
      <c r="E252" s="15" t="inlineStr">
        <is>
          <t>Junior (1~3년)</t>
        </is>
      </c>
      <c r="F252" s="20" t="inlineStr">
        <is>
          <t>4.2%</t>
        </is>
      </c>
      <c r="G252" s="15" t="inlineStr">
        <is>
          <t>1.00 (표준)</t>
        </is>
      </c>
      <c r="H252" s="16" t="inlineStr">
        <is>
          <t>팀 내 GTM 단계 핵심 인력. 스쿼드당 1~2명 필수.</t>
        </is>
      </c>
    </row>
    <row r="253">
      <c r="A253" s="18" t="inlineStr">
        <is>
          <t>B2B영업 / 마케팅 / GTM</t>
        </is>
      </c>
      <c r="B253" s="17" t="inlineStr">
        <is>
          <t>GTM</t>
        </is>
      </c>
      <c r="C253" s="17" t="inlineStr">
        <is>
          <t>5162</t>
        </is>
      </c>
      <c r="D253" s="18" t="inlineStr">
        <is>
          <t>Companions and Valets</t>
        </is>
      </c>
      <c r="E253" s="17" t="inlineStr">
        <is>
          <t>Junior (1~3년)</t>
        </is>
      </c>
      <c r="F253" s="21" t="inlineStr">
        <is>
          <t>4.2%</t>
        </is>
      </c>
      <c r="G253" s="17" t="inlineStr">
        <is>
          <t>1.05 (표준)</t>
        </is>
      </c>
      <c r="H253" s="18" t="inlineStr">
        <is>
          <t>팀 내 GTM 단계 핵심 인력. 스쿼드당 1~2명 필수.</t>
        </is>
      </c>
    </row>
    <row r="254">
      <c r="A254" s="16" t="inlineStr">
        <is>
          <t>B2B영업 / 마케팅 / GTM</t>
        </is>
      </c>
      <c r="B254" s="15" t="inlineStr">
        <is>
          <t>GTM</t>
        </is>
      </c>
      <c r="C254" s="15" t="inlineStr">
        <is>
          <t>5163</t>
        </is>
      </c>
      <c r="D254" s="16" t="inlineStr">
        <is>
          <t>Undertakers and Embalmers</t>
        </is>
      </c>
      <c r="E254" s="15" t="inlineStr">
        <is>
          <t>Junior (1~3년)</t>
        </is>
      </c>
      <c r="F254" s="20" t="inlineStr">
        <is>
          <t>4.2%</t>
        </is>
      </c>
      <c r="G254" s="15" t="inlineStr">
        <is>
          <t>1.10 (표준)</t>
        </is>
      </c>
      <c r="H254" s="16" t="inlineStr">
        <is>
          <t>팀 내 GTM 단계 핵심 인력. 스쿼드당 1~2명 필수.</t>
        </is>
      </c>
    </row>
    <row r="255">
      <c r="A255" s="18" t="inlineStr">
        <is>
          <t>B2B영업 / 마케팅 / GTM</t>
        </is>
      </c>
      <c r="B255" s="17" t="inlineStr">
        <is>
          <t>GTM</t>
        </is>
      </c>
      <c r="C255" s="17" t="inlineStr">
        <is>
          <t>5164</t>
        </is>
      </c>
      <c r="D255" s="18" t="inlineStr">
        <is>
          <t>Pet Groomers and Animal Care Workers</t>
        </is>
      </c>
      <c r="E255" s="17" t="inlineStr">
        <is>
          <t>Junior (1~3년)</t>
        </is>
      </c>
      <c r="F255" s="21" t="inlineStr">
        <is>
          <t>4.2%</t>
        </is>
      </c>
      <c r="G255" s="17" t="inlineStr">
        <is>
          <t>1.15 (과대 편중)</t>
        </is>
      </c>
      <c r="H255" s="18" t="inlineStr">
        <is>
          <t>팀 내 GTM 단계 핵심 인력. 스쿼드당 1~2명 필수.</t>
        </is>
      </c>
    </row>
    <row r="256">
      <c r="A256" s="16" t="inlineStr">
        <is>
          <t>B2B영업 / 마케팅 / GTM</t>
        </is>
      </c>
      <c r="B256" s="15" t="inlineStr">
        <is>
          <t>GTM</t>
        </is>
      </c>
      <c r="C256" s="15" t="inlineStr">
        <is>
          <t>5165</t>
        </is>
      </c>
      <c r="D256" s="16" t="inlineStr">
        <is>
          <t>Driving Instructors</t>
        </is>
      </c>
      <c r="E256" s="15" t="inlineStr">
        <is>
          <t>Junior (1~3년)</t>
        </is>
      </c>
      <c r="F256" s="20" t="inlineStr">
        <is>
          <t>4.2%</t>
        </is>
      </c>
      <c r="G256" s="15" t="inlineStr">
        <is>
          <t>0.95 (표준)</t>
        </is>
      </c>
      <c r="H256" s="16" t="inlineStr">
        <is>
          <t>팀 내 GTM 단계 핵심 인력. 스쿼드당 1~2명 필수.</t>
        </is>
      </c>
    </row>
    <row r="257">
      <c r="A257" s="18" t="inlineStr">
        <is>
          <t>B2B영업 / 마케팅 / GTM</t>
        </is>
      </c>
      <c r="B257" s="17" t="inlineStr">
        <is>
          <t>GTM</t>
        </is>
      </c>
      <c r="C257" s="17" t="inlineStr">
        <is>
          <t>5169</t>
        </is>
      </c>
      <c r="D257" s="18" t="inlineStr">
        <is>
          <t>Personal Services Workers Not Elsewhere Classified</t>
        </is>
      </c>
      <c r="E257" s="17" t="inlineStr">
        <is>
          <t>Junior (1~3년)</t>
        </is>
      </c>
      <c r="F257" s="21" t="inlineStr">
        <is>
          <t>4.2%</t>
        </is>
      </c>
      <c r="G257" s="17" t="inlineStr">
        <is>
          <t>1.15 (과대 편중)</t>
        </is>
      </c>
      <c r="H257" s="18" t="inlineStr">
        <is>
          <t>팀 내 GTM 단계 핵심 인력. 스쿼드당 1~2명 필수.</t>
        </is>
      </c>
    </row>
    <row r="258">
      <c r="A258" s="16" t="inlineStr">
        <is>
          <t>B2B영업 / 마케팅 / GTM</t>
        </is>
      </c>
      <c r="B258" s="15" t="inlineStr">
        <is>
          <t>GTM</t>
        </is>
      </c>
      <c r="C258" s="15" t="inlineStr">
        <is>
          <t>5211</t>
        </is>
      </c>
      <c r="D258" s="16" t="inlineStr">
        <is>
          <t>Stall and Market Salespersons</t>
        </is>
      </c>
      <c r="E258" s="15" t="inlineStr">
        <is>
          <t>Junior (1~3년)</t>
        </is>
      </c>
      <c r="F258" s="20" t="inlineStr">
        <is>
          <t>4.2%</t>
        </is>
      </c>
      <c r="G258" s="15" t="inlineStr">
        <is>
          <t>1.00 (표준)</t>
        </is>
      </c>
      <c r="H258" s="16" t="inlineStr">
        <is>
          <t>팀 내 GTM 단계 핵심 인력. 스쿼드당 1~2명 필수.</t>
        </is>
      </c>
    </row>
    <row r="259">
      <c r="A259" s="18" t="inlineStr">
        <is>
          <t>B2B영업 / 마케팅 / GTM</t>
        </is>
      </c>
      <c r="B259" s="17" t="inlineStr">
        <is>
          <t>GTM</t>
        </is>
      </c>
      <c r="C259" s="17" t="inlineStr">
        <is>
          <t>5212</t>
        </is>
      </c>
      <c r="D259" s="18" t="inlineStr">
        <is>
          <t>Street Food Salespersons</t>
        </is>
      </c>
      <c r="E259" s="17" t="inlineStr">
        <is>
          <t>Junior (1~3년)</t>
        </is>
      </c>
      <c r="F259" s="21" t="inlineStr">
        <is>
          <t>4.2%</t>
        </is>
      </c>
      <c r="G259" s="17" t="inlineStr">
        <is>
          <t>1.05 (표준)</t>
        </is>
      </c>
      <c r="H259" s="18" t="inlineStr">
        <is>
          <t>팀 내 GTM 단계 핵심 인력. 스쿼드당 1~2명 필수.</t>
        </is>
      </c>
    </row>
    <row r="260">
      <c r="A260" s="16" t="inlineStr">
        <is>
          <t>B2B영업 / 마케팅 / GTM</t>
        </is>
      </c>
      <c r="B260" s="15" t="inlineStr">
        <is>
          <t>GTM</t>
        </is>
      </c>
      <c r="C260" s="15" t="inlineStr">
        <is>
          <t>5221</t>
        </is>
      </c>
      <c r="D260" s="16" t="inlineStr">
        <is>
          <t>Shopkeepers</t>
        </is>
      </c>
      <c r="E260" s="15" t="inlineStr">
        <is>
          <t>Junior (1~3년)</t>
        </is>
      </c>
      <c r="F260" s="20" t="inlineStr">
        <is>
          <t>4.2%</t>
        </is>
      </c>
      <c r="G260" s="15" t="inlineStr">
        <is>
          <t>1.00 (표준)</t>
        </is>
      </c>
      <c r="H260" s="16" t="inlineStr">
        <is>
          <t>팀 내 GTM 단계 핵심 인력. 스쿼드당 1~2명 필수.</t>
        </is>
      </c>
    </row>
    <row r="261">
      <c r="A261" s="18" t="inlineStr">
        <is>
          <t>B2B영업 / 마케팅 / GTM</t>
        </is>
      </c>
      <c r="B261" s="17" t="inlineStr">
        <is>
          <t>GTM</t>
        </is>
      </c>
      <c r="C261" s="17" t="inlineStr">
        <is>
          <t>5222</t>
        </is>
      </c>
      <c r="D261" s="18" t="inlineStr">
        <is>
          <t>Shop Supervisors</t>
        </is>
      </c>
      <c r="E261" s="17" t="inlineStr">
        <is>
          <t>Junior (1~3년)</t>
        </is>
      </c>
      <c r="F261" s="21" t="inlineStr">
        <is>
          <t>4.2%</t>
        </is>
      </c>
      <c r="G261" s="17" t="inlineStr">
        <is>
          <t>1.05 (표준)</t>
        </is>
      </c>
      <c r="H261" s="18" t="inlineStr">
        <is>
          <t>팀 내 GTM 단계 핵심 인력. 스쿼드당 1~2명 필수.</t>
        </is>
      </c>
    </row>
    <row r="262">
      <c r="A262" s="16" t="inlineStr">
        <is>
          <t>B2B영업 / 마케팅 / GTM</t>
        </is>
      </c>
      <c r="B262" s="15" t="inlineStr">
        <is>
          <t>GTM</t>
        </is>
      </c>
      <c r="C262" s="15" t="inlineStr">
        <is>
          <t>5223</t>
        </is>
      </c>
      <c r="D262" s="16" t="inlineStr">
        <is>
          <t>Shop Sales Assistants</t>
        </is>
      </c>
      <c r="E262" s="15" t="inlineStr">
        <is>
          <t>Junior (1~3년)</t>
        </is>
      </c>
      <c r="F262" s="20" t="inlineStr">
        <is>
          <t>4.2%</t>
        </is>
      </c>
      <c r="G262" s="15" t="inlineStr">
        <is>
          <t>1.10 (표준)</t>
        </is>
      </c>
      <c r="H262" s="16" t="inlineStr">
        <is>
          <t>팀 내 GTM 단계 핵심 인력. 스쿼드당 1~2명 필수.</t>
        </is>
      </c>
    </row>
    <row r="263">
      <c r="A263" s="18" t="inlineStr">
        <is>
          <t>B2B영업 / 마케팅 / GTM</t>
        </is>
      </c>
      <c r="B263" s="17" t="inlineStr">
        <is>
          <t>GTM</t>
        </is>
      </c>
      <c r="C263" s="17" t="inlineStr">
        <is>
          <t>5230</t>
        </is>
      </c>
      <c r="D263" s="18" t="inlineStr">
        <is>
          <t>Cashiers and Ticket Clerks</t>
        </is>
      </c>
      <c r="E263" s="17" t="inlineStr">
        <is>
          <t>Junior (1~3년)</t>
        </is>
      </c>
      <c r="F263" s="21" t="inlineStr">
        <is>
          <t>4.2%</t>
        </is>
      </c>
      <c r="G263" s="17" t="inlineStr">
        <is>
          <t>0.95 (표준)</t>
        </is>
      </c>
      <c r="H263" s="18" t="inlineStr">
        <is>
          <t>팀 내 GTM 단계 핵심 인력. 스쿼드당 1~2명 필수.</t>
        </is>
      </c>
    </row>
    <row r="264">
      <c r="A264" s="16" t="inlineStr">
        <is>
          <t>B2B영업 / 마케팅 / GTM</t>
        </is>
      </c>
      <c r="B264" s="15" t="inlineStr">
        <is>
          <t>GTM</t>
        </is>
      </c>
      <c r="C264" s="15" t="inlineStr">
        <is>
          <t>5241</t>
        </is>
      </c>
      <c r="D264" s="16" t="inlineStr">
        <is>
          <t>Fashion and Other Models</t>
        </is>
      </c>
      <c r="E264" s="15" t="inlineStr">
        <is>
          <t>Junior (1~3년)</t>
        </is>
      </c>
      <c r="F264" s="20" t="inlineStr">
        <is>
          <t>4.2%</t>
        </is>
      </c>
      <c r="G264" s="15" t="inlineStr">
        <is>
          <t>1.00 (표준)</t>
        </is>
      </c>
      <c r="H264" s="16" t="inlineStr">
        <is>
          <t>팀 내 GTM 단계 핵심 인력. 스쿼드당 1~2명 필수.</t>
        </is>
      </c>
    </row>
    <row r="265">
      <c r="A265" s="18" t="inlineStr">
        <is>
          <t>B2B영업 / 마케팅 / GTM</t>
        </is>
      </c>
      <c r="B265" s="17" t="inlineStr">
        <is>
          <t>GTM</t>
        </is>
      </c>
      <c r="C265" s="17" t="inlineStr">
        <is>
          <t>5242</t>
        </is>
      </c>
      <c r="D265" s="18" t="inlineStr">
        <is>
          <t>Sales Demonstrators</t>
        </is>
      </c>
      <c r="E265" s="17" t="inlineStr">
        <is>
          <t>Junior (1~3년)</t>
        </is>
      </c>
      <c r="F265" s="21" t="inlineStr">
        <is>
          <t>4.2%</t>
        </is>
      </c>
      <c r="G265" s="17" t="inlineStr">
        <is>
          <t>1.05 (표준)</t>
        </is>
      </c>
      <c r="H265" s="18" t="inlineStr">
        <is>
          <t>팀 내 GTM 단계 핵심 인력. 스쿼드당 1~2명 필수.</t>
        </is>
      </c>
    </row>
    <row r="266">
      <c r="A266" s="16" t="inlineStr">
        <is>
          <t>B2B영업 / 마케팅 / GTM</t>
        </is>
      </c>
      <c r="B266" s="15" t="inlineStr">
        <is>
          <t>GTM</t>
        </is>
      </c>
      <c r="C266" s="15" t="inlineStr">
        <is>
          <t>5243</t>
        </is>
      </c>
      <c r="D266" s="16" t="inlineStr">
        <is>
          <t>Door-to-door Salespersons</t>
        </is>
      </c>
      <c r="E266" s="15" t="inlineStr">
        <is>
          <t>Junior (1~3년)</t>
        </is>
      </c>
      <c r="F266" s="20" t="inlineStr">
        <is>
          <t>4.2%</t>
        </is>
      </c>
      <c r="G266" s="15" t="inlineStr">
        <is>
          <t>1.10 (표준)</t>
        </is>
      </c>
      <c r="H266" s="16" t="inlineStr">
        <is>
          <t>팀 내 GTM 단계 핵심 인력. 스쿼드당 1~2명 필수.</t>
        </is>
      </c>
    </row>
    <row r="267">
      <c r="A267" s="18" t="inlineStr">
        <is>
          <t>B2B영업 / 마케팅 / GTM</t>
        </is>
      </c>
      <c r="B267" s="17" t="inlineStr">
        <is>
          <t>GTM</t>
        </is>
      </c>
      <c r="C267" s="17" t="inlineStr">
        <is>
          <t>5244</t>
        </is>
      </c>
      <c r="D267" s="18" t="inlineStr">
        <is>
          <t>Contact Centre Salespersons</t>
        </is>
      </c>
      <c r="E267" s="17" t="inlineStr">
        <is>
          <t>Junior (1~3년)</t>
        </is>
      </c>
      <c r="F267" s="21" t="inlineStr">
        <is>
          <t>4.2%</t>
        </is>
      </c>
      <c r="G267" s="17" t="inlineStr">
        <is>
          <t>1.15 (과대 편중)</t>
        </is>
      </c>
      <c r="H267" s="18" t="inlineStr">
        <is>
          <t>팀 내 GTM 단계 핵심 인력. 스쿼드당 1~2명 필수.</t>
        </is>
      </c>
    </row>
    <row r="268">
      <c r="A268" s="16" t="inlineStr">
        <is>
          <t>B2B영업 / 마케팅 / GTM</t>
        </is>
      </c>
      <c r="B268" s="15" t="inlineStr">
        <is>
          <t>GTM</t>
        </is>
      </c>
      <c r="C268" s="15" t="inlineStr">
        <is>
          <t>5245</t>
        </is>
      </c>
      <c r="D268" s="16" t="inlineStr">
        <is>
          <t>Service Station Attendants</t>
        </is>
      </c>
      <c r="E268" s="15" t="inlineStr">
        <is>
          <t>Junior (1~3년)</t>
        </is>
      </c>
      <c r="F268" s="20" t="inlineStr">
        <is>
          <t>4.2%</t>
        </is>
      </c>
      <c r="G268" s="15" t="inlineStr">
        <is>
          <t>0.95 (표준)</t>
        </is>
      </c>
      <c r="H268" s="16" t="inlineStr">
        <is>
          <t>팀 내 GTM 단계 핵심 인력. 스쿼드당 1~2명 필수.</t>
        </is>
      </c>
    </row>
    <row r="269">
      <c r="A269" s="18" t="inlineStr">
        <is>
          <t>B2B영업 / 마케팅 / GTM</t>
        </is>
      </c>
      <c r="B269" s="17" t="inlineStr">
        <is>
          <t>GTM</t>
        </is>
      </c>
      <c r="C269" s="17" t="inlineStr">
        <is>
          <t>5246</t>
        </is>
      </c>
      <c r="D269" s="18" t="inlineStr">
        <is>
          <t>Food Service Counter Attendants</t>
        </is>
      </c>
      <c r="E269" s="17" t="inlineStr">
        <is>
          <t>Junior (1~3년)</t>
        </is>
      </c>
      <c r="F269" s="21" t="inlineStr">
        <is>
          <t>4.2%</t>
        </is>
      </c>
      <c r="G269" s="17" t="inlineStr">
        <is>
          <t>1.00 (표준)</t>
        </is>
      </c>
      <c r="H269" s="18" t="inlineStr">
        <is>
          <t>팀 내 GTM 단계 핵심 인력. 스쿼드당 1~2명 필수.</t>
        </is>
      </c>
    </row>
    <row r="270">
      <c r="A270" s="16" t="inlineStr">
        <is>
          <t>B2B영업 / 마케팅 / GTM</t>
        </is>
      </c>
      <c r="B270" s="15" t="inlineStr">
        <is>
          <t>GTM</t>
        </is>
      </c>
      <c r="C270" s="15" t="inlineStr">
        <is>
          <t>5249</t>
        </is>
      </c>
      <c r="D270" s="16" t="inlineStr">
        <is>
          <t>Sales Workers Not Elsewhere Classified</t>
        </is>
      </c>
      <c r="E270" s="15" t="inlineStr">
        <is>
          <t>Junior (1~3년)</t>
        </is>
      </c>
      <c r="F270" s="20" t="inlineStr">
        <is>
          <t>4.2%</t>
        </is>
      </c>
      <c r="G270" s="15" t="inlineStr">
        <is>
          <t>1.15 (과대 편중)</t>
        </is>
      </c>
      <c r="H270" s="16" t="inlineStr">
        <is>
          <t>팀 내 GTM 단계 핵심 인력. 스쿼드당 1~2명 필수.</t>
        </is>
      </c>
    </row>
    <row r="271">
      <c r="A271" s="18" t="inlineStr">
        <is>
          <t>바이오 / 제약 / 임상헬스케어</t>
        </is>
      </c>
      <c r="B271" s="17" t="inlineStr">
        <is>
          <t>GTM</t>
        </is>
      </c>
      <c r="C271" s="17" t="inlineStr">
        <is>
          <t>5311</t>
        </is>
      </c>
      <c r="D271" s="18" t="inlineStr">
        <is>
          <t>Child Care Workers</t>
        </is>
      </c>
      <c r="E271" s="17" t="inlineStr">
        <is>
          <t>Junior (1~3년)</t>
        </is>
      </c>
      <c r="F271" s="21" t="inlineStr">
        <is>
          <t>4.2%</t>
        </is>
      </c>
      <c r="G271" s="17" t="inlineStr">
        <is>
          <t>1.00 (표준)</t>
        </is>
      </c>
      <c r="H271" s="18" t="inlineStr">
        <is>
          <t>팀 내 GTM 단계 핵심 인력. 스쿼드당 1~2명 필수.</t>
        </is>
      </c>
    </row>
    <row r="272">
      <c r="A272" s="16" t="inlineStr">
        <is>
          <t>바이오 / 제약 / 임상헬스케어</t>
        </is>
      </c>
      <c r="B272" s="15" t="inlineStr">
        <is>
          <t>GTM</t>
        </is>
      </c>
      <c r="C272" s="15" t="inlineStr">
        <is>
          <t>5312</t>
        </is>
      </c>
      <c r="D272" s="16" t="inlineStr">
        <is>
          <t>Teachers' Aides</t>
        </is>
      </c>
      <c r="E272" s="15" t="inlineStr">
        <is>
          <t>Junior (1~3년)</t>
        </is>
      </c>
      <c r="F272" s="20" t="inlineStr">
        <is>
          <t>4.2%</t>
        </is>
      </c>
      <c r="G272" s="15" t="inlineStr">
        <is>
          <t>1.05 (표준)</t>
        </is>
      </c>
      <c r="H272" s="16" t="inlineStr">
        <is>
          <t>팀 내 GTM 단계 핵심 인력. 스쿼드당 1~2명 필수.</t>
        </is>
      </c>
    </row>
    <row r="273">
      <c r="A273" s="18" t="inlineStr">
        <is>
          <t>바이오 / 제약 / 임상헬스케어</t>
        </is>
      </c>
      <c r="B273" s="17" t="inlineStr">
        <is>
          <t>GTM</t>
        </is>
      </c>
      <c r="C273" s="17" t="inlineStr">
        <is>
          <t>5321</t>
        </is>
      </c>
      <c r="D273" s="18" t="inlineStr">
        <is>
          <t>Health Care Assistants</t>
        </is>
      </c>
      <c r="E273" s="17" t="inlineStr">
        <is>
          <t>Junior (1~3년)</t>
        </is>
      </c>
      <c r="F273" s="21" t="inlineStr">
        <is>
          <t>4.2%</t>
        </is>
      </c>
      <c r="G273" s="17" t="inlineStr">
        <is>
          <t>1.00 (표준)</t>
        </is>
      </c>
      <c r="H273" s="18" t="inlineStr">
        <is>
          <t>팀 내 GTM 단계 핵심 인력. 스쿼드당 1~2명 필수.</t>
        </is>
      </c>
    </row>
    <row r="274">
      <c r="A274" s="16" t="inlineStr">
        <is>
          <t>바이오 / 제약 / 임상헬스케어</t>
        </is>
      </c>
      <c r="B274" s="15" t="inlineStr">
        <is>
          <t>GTM</t>
        </is>
      </c>
      <c r="C274" s="15" t="inlineStr">
        <is>
          <t>5322</t>
        </is>
      </c>
      <c r="D274" s="16" t="inlineStr">
        <is>
          <t>Home-based Personal Care Workers</t>
        </is>
      </c>
      <c r="E274" s="15" t="inlineStr">
        <is>
          <t>Junior (1~3년)</t>
        </is>
      </c>
      <c r="F274" s="20" t="inlineStr">
        <is>
          <t>4.2%</t>
        </is>
      </c>
      <c r="G274" s="15" t="inlineStr">
        <is>
          <t>1.05 (표준)</t>
        </is>
      </c>
      <c r="H274" s="16" t="inlineStr">
        <is>
          <t>팀 내 GTM 단계 핵심 인력. 스쿼드당 1~2명 필수.</t>
        </is>
      </c>
    </row>
    <row r="275">
      <c r="A275" s="18" t="inlineStr">
        <is>
          <t>바이오 / 제약 / 임상헬스케어</t>
        </is>
      </c>
      <c r="B275" s="17" t="inlineStr">
        <is>
          <t>GTM</t>
        </is>
      </c>
      <c r="C275" s="17" t="inlineStr">
        <is>
          <t>5329</t>
        </is>
      </c>
      <c r="D275" s="18" t="inlineStr">
        <is>
          <t>Personal Care Workers in Health Services Not Elsewhere Classified</t>
        </is>
      </c>
      <c r="E275" s="17" t="inlineStr">
        <is>
          <t>Junior (1~3년)</t>
        </is>
      </c>
      <c r="F275" s="21" t="inlineStr">
        <is>
          <t>4.2%</t>
        </is>
      </c>
      <c r="G275" s="17" t="inlineStr">
        <is>
          <t>1.15 (과대 편중)</t>
        </is>
      </c>
      <c r="H275" s="18" t="inlineStr">
        <is>
          <t>팀 내 GTM 단계 핵심 인력. 스쿼드당 1~2명 필수.</t>
        </is>
      </c>
    </row>
    <row r="276">
      <c r="A276" s="16" t="inlineStr">
        <is>
          <t>탄소중립 / 산업안전 / ESG</t>
        </is>
      </c>
      <c r="B276" s="15" t="inlineStr">
        <is>
          <t>GTM</t>
        </is>
      </c>
      <c r="C276" s="15" t="inlineStr">
        <is>
          <t>5411</t>
        </is>
      </c>
      <c r="D276" s="16" t="inlineStr">
        <is>
          <t>Fire Fighters</t>
        </is>
      </c>
      <c r="E276" s="15" t="inlineStr">
        <is>
          <t>Junior (1~3년)</t>
        </is>
      </c>
      <c r="F276" s="20" t="inlineStr">
        <is>
          <t>4.2%</t>
        </is>
      </c>
      <c r="G276" s="15" t="inlineStr">
        <is>
          <t>1.00 (표준)</t>
        </is>
      </c>
      <c r="H276" s="16" t="inlineStr">
        <is>
          <t>팀 내 GTM 단계 핵심 인력. 스쿼드당 1~2명 필수.</t>
        </is>
      </c>
    </row>
    <row r="277">
      <c r="A277" s="18" t="inlineStr">
        <is>
          <t>탄소중립 / 산업안전 / ESG</t>
        </is>
      </c>
      <c r="B277" s="17" t="inlineStr">
        <is>
          <t>GTM</t>
        </is>
      </c>
      <c r="C277" s="17" t="inlineStr">
        <is>
          <t>5412</t>
        </is>
      </c>
      <c r="D277" s="18" t="inlineStr">
        <is>
          <t>Police Officers</t>
        </is>
      </c>
      <c r="E277" s="17" t="inlineStr">
        <is>
          <t>Junior (1~3년)</t>
        </is>
      </c>
      <c r="F277" s="21" t="inlineStr">
        <is>
          <t>4.2%</t>
        </is>
      </c>
      <c r="G277" s="17" t="inlineStr">
        <is>
          <t>1.05 (표준)</t>
        </is>
      </c>
      <c r="H277" s="18" t="inlineStr">
        <is>
          <t>팀 내 GTM 단계 핵심 인력. 스쿼드당 1~2명 필수.</t>
        </is>
      </c>
    </row>
    <row r="278">
      <c r="A278" s="16" t="inlineStr">
        <is>
          <t>탄소중립 / 산업안전 / ESG</t>
        </is>
      </c>
      <c r="B278" s="15" t="inlineStr">
        <is>
          <t>GTM</t>
        </is>
      </c>
      <c r="C278" s="15" t="inlineStr">
        <is>
          <t>5413</t>
        </is>
      </c>
      <c r="D278" s="16" t="inlineStr">
        <is>
          <t>Prison Guards</t>
        </is>
      </c>
      <c r="E278" s="15" t="inlineStr">
        <is>
          <t>Junior (1~3년)</t>
        </is>
      </c>
      <c r="F278" s="20" t="inlineStr">
        <is>
          <t>4.2%</t>
        </is>
      </c>
      <c r="G278" s="15" t="inlineStr">
        <is>
          <t>1.10 (표준)</t>
        </is>
      </c>
      <c r="H278" s="16" t="inlineStr">
        <is>
          <t>팀 내 GTM 단계 핵심 인력. 스쿼드당 1~2명 필수.</t>
        </is>
      </c>
    </row>
    <row r="279">
      <c r="A279" s="18" t="inlineStr">
        <is>
          <t>탄소중립 / 산업안전 / ESG</t>
        </is>
      </c>
      <c r="B279" s="17" t="inlineStr">
        <is>
          <t>GTM</t>
        </is>
      </c>
      <c r="C279" s="17" t="inlineStr">
        <is>
          <t>5414</t>
        </is>
      </c>
      <c r="D279" s="18" t="inlineStr">
        <is>
          <t>Security Guards</t>
        </is>
      </c>
      <c r="E279" s="17" t="inlineStr">
        <is>
          <t>Junior (1~3년)</t>
        </is>
      </c>
      <c r="F279" s="21" t="inlineStr">
        <is>
          <t>4.2%</t>
        </is>
      </c>
      <c r="G279" s="17" t="inlineStr">
        <is>
          <t>1.15 (과대 편중)</t>
        </is>
      </c>
      <c r="H279" s="18" t="inlineStr">
        <is>
          <t>팀 내 GTM 단계 핵심 인력. 스쿼드당 1~2명 필수.</t>
        </is>
      </c>
    </row>
    <row r="280">
      <c r="A280" s="16" t="inlineStr">
        <is>
          <t>탄소중립 / 산업안전 / ESG</t>
        </is>
      </c>
      <c r="B280" s="15" t="inlineStr">
        <is>
          <t>GTM</t>
        </is>
      </c>
      <c r="C280" s="15" t="inlineStr">
        <is>
          <t>5419</t>
        </is>
      </c>
      <c r="D280" s="16" t="inlineStr">
        <is>
          <t>Protective Services Workers Not Elsewhere Classified</t>
        </is>
      </c>
      <c r="E280" s="15" t="inlineStr">
        <is>
          <t>Junior (1~3년)</t>
        </is>
      </c>
      <c r="F280" s="20" t="inlineStr">
        <is>
          <t>4.2%</t>
        </is>
      </c>
      <c r="G280" s="15" t="inlineStr">
        <is>
          <t>1.15 (과대 편중)</t>
        </is>
      </c>
      <c r="H280" s="16" t="inlineStr">
        <is>
          <t>팀 내 GTM 단계 핵심 인력. 스쿼드당 1~2명 필수.</t>
        </is>
      </c>
    </row>
    <row r="281">
      <c r="A281" s="18" t="inlineStr">
        <is>
          <t>탄소중립 / 산업안전 / ESG</t>
        </is>
      </c>
      <c r="B281" s="17" t="inlineStr">
        <is>
          <t>OPS</t>
        </is>
      </c>
      <c r="C281" s="17" t="inlineStr">
        <is>
          <t>6111</t>
        </is>
      </c>
      <c r="D281" s="18" t="inlineStr">
        <is>
          <t>Field Crop and Vegetable Growers</t>
        </is>
      </c>
      <c r="E281" s="17" t="inlineStr">
        <is>
          <t>Junior (1~3년)</t>
        </is>
      </c>
      <c r="F281" s="21" t="inlineStr">
        <is>
          <t>4.2%</t>
        </is>
      </c>
      <c r="G281" s="17" t="inlineStr">
        <is>
          <t>1.00 (표준)</t>
        </is>
      </c>
      <c r="H281" s="18" t="inlineStr">
        <is>
          <t>팀 내 OPS 단계 핵심 인력. 스쿼드당 1~2명 필수.</t>
        </is>
      </c>
    </row>
    <row r="282">
      <c r="A282" s="16" t="inlineStr">
        <is>
          <t>탄소중립 / 산업안전 / ESG</t>
        </is>
      </c>
      <c r="B282" s="15" t="inlineStr">
        <is>
          <t>OPS</t>
        </is>
      </c>
      <c r="C282" s="15" t="inlineStr">
        <is>
          <t>6112</t>
        </is>
      </c>
      <c r="D282" s="16" t="inlineStr">
        <is>
          <t>Tree and Shrub Crop Growers</t>
        </is>
      </c>
      <c r="E282" s="15" t="inlineStr">
        <is>
          <t>Junior (1~3년)</t>
        </is>
      </c>
      <c r="F282" s="20" t="inlineStr">
        <is>
          <t>4.2%</t>
        </is>
      </c>
      <c r="G282" s="15" t="inlineStr">
        <is>
          <t>1.05 (표준)</t>
        </is>
      </c>
      <c r="H282" s="16" t="inlineStr">
        <is>
          <t>팀 내 OPS 단계 핵심 인력. 스쿼드당 1~2명 필수.</t>
        </is>
      </c>
    </row>
    <row r="283">
      <c r="A283" s="18" t="inlineStr">
        <is>
          <t>탄소중립 / 산업안전 / ESG</t>
        </is>
      </c>
      <c r="B283" s="17" t="inlineStr">
        <is>
          <t>OPS</t>
        </is>
      </c>
      <c r="C283" s="17" t="inlineStr">
        <is>
          <t>6113</t>
        </is>
      </c>
      <c r="D283" s="18" t="inlineStr">
        <is>
          <t>Gardeners, Horticultural and Nursery Growers</t>
        </is>
      </c>
      <c r="E283" s="17" t="inlineStr">
        <is>
          <t>Junior (1~3년)</t>
        </is>
      </c>
      <c r="F283" s="21" t="inlineStr">
        <is>
          <t>4.2%</t>
        </is>
      </c>
      <c r="G283" s="17" t="inlineStr">
        <is>
          <t>1.10 (표준)</t>
        </is>
      </c>
      <c r="H283" s="18" t="inlineStr">
        <is>
          <t>팀 내 OPS 단계 핵심 인력. 스쿼드당 1~2명 필수.</t>
        </is>
      </c>
    </row>
    <row r="284">
      <c r="A284" s="16" t="inlineStr">
        <is>
          <t>탄소중립 / 산업안전 / ESG</t>
        </is>
      </c>
      <c r="B284" s="15" t="inlineStr">
        <is>
          <t>OPS</t>
        </is>
      </c>
      <c r="C284" s="15" t="inlineStr">
        <is>
          <t>6114</t>
        </is>
      </c>
      <c r="D284" s="16" t="inlineStr">
        <is>
          <t>Mixed Crop Growers</t>
        </is>
      </c>
      <c r="E284" s="15" t="inlineStr">
        <is>
          <t>Junior (1~3년)</t>
        </is>
      </c>
      <c r="F284" s="20" t="inlineStr">
        <is>
          <t>4.2%</t>
        </is>
      </c>
      <c r="G284" s="15" t="inlineStr">
        <is>
          <t>1.15 (과대 편중)</t>
        </is>
      </c>
      <c r="H284" s="16" t="inlineStr">
        <is>
          <t>팀 내 OPS 단계 핵심 인력. 스쿼드당 1~2명 필수.</t>
        </is>
      </c>
    </row>
    <row r="285">
      <c r="A285" s="18" t="inlineStr">
        <is>
          <t>탄소중립 / 산업안전 / ESG</t>
        </is>
      </c>
      <c r="B285" s="17" t="inlineStr">
        <is>
          <t>OPS</t>
        </is>
      </c>
      <c r="C285" s="17" t="inlineStr">
        <is>
          <t>6121</t>
        </is>
      </c>
      <c r="D285" s="18" t="inlineStr">
        <is>
          <t>Livestock and Dairy Producers</t>
        </is>
      </c>
      <c r="E285" s="17" t="inlineStr">
        <is>
          <t>Junior (1~3년)</t>
        </is>
      </c>
      <c r="F285" s="21" t="inlineStr">
        <is>
          <t>4.2%</t>
        </is>
      </c>
      <c r="G285" s="17" t="inlineStr">
        <is>
          <t>1.00 (표준)</t>
        </is>
      </c>
      <c r="H285" s="18" t="inlineStr">
        <is>
          <t>팀 내 OPS 단계 핵심 인력. 스쿼드당 1~2명 필수.</t>
        </is>
      </c>
    </row>
    <row r="286">
      <c r="A286" s="16" t="inlineStr">
        <is>
          <t>탄소중립 / 산업안전 / ESG</t>
        </is>
      </c>
      <c r="B286" s="15" t="inlineStr">
        <is>
          <t>OPS</t>
        </is>
      </c>
      <c r="C286" s="15" t="inlineStr">
        <is>
          <t>6122</t>
        </is>
      </c>
      <c r="D286" s="16" t="inlineStr">
        <is>
          <t>Poultry Producers</t>
        </is>
      </c>
      <c r="E286" s="15" t="inlineStr">
        <is>
          <t>Junior (1~3년)</t>
        </is>
      </c>
      <c r="F286" s="20" t="inlineStr">
        <is>
          <t>4.2%</t>
        </is>
      </c>
      <c r="G286" s="15" t="inlineStr">
        <is>
          <t>1.05 (표준)</t>
        </is>
      </c>
      <c r="H286" s="16" t="inlineStr">
        <is>
          <t>팀 내 OPS 단계 핵심 인력. 스쿼드당 1~2명 필수.</t>
        </is>
      </c>
    </row>
    <row r="287">
      <c r="A287" s="18" t="inlineStr">
        <is>
          <t>탄소중립 / 산업안전 / ESG</t>
        </is>
      </c>
      <c r="B287" s="17" t="inlineStr">
        <is>
          <t>OPS</t>
        </is>
      </c>
      <c r="C287" s="17" t="inlineStr">
        <is>
          <t>6123</t>
        </is>
      </c>
      <c r="D287" s="18" t="inlineStr">
        <is>
          <t>Apiarists and Sericulturists</t>
        </is>
      </c>
      <c r="E287" s="17" t="inlineStr">
        <is>
          <t>Junior (1~3년)</t>
        </is>
      </c>
      <c r="F287" s="21" t="inlineStr">
        <is>
          <t>4.2%</t>
        </is>
      </c>
      <c r="G287" s="17" t="inlineStr">
        <is>
          <t>1.10 (표준)</t>
        </is>
      </c>
      <c r="H287" s="18" t="inlineStr">
        <is>
          <t>팀 내 OPS 단계 핵심 인력. 스쿼드당 1~2명 필수.</t>
        </is>
      </c>
    </row>
    <row r="288">
      <c r="A288" s="16" t="inlineStr">
        <is>
          <t>탄소중립 / 산업안전 / ESG</t>
        </is>
      </c>
      <c r="B288" s="15" t="inlineStr">
        <is>
          <t>OPS</t>
        </is>
      </c>
      <c r="C288" s="15" t="inlineStr">
        <is>
          <t>6129</t>
        </is>
      </c>
      <c r="D288" s="16" t="inlineStr">
        <is>
          <t>Animal Producers Not Elsewhere Classified</t>
        </is>
      </c>
      <c r="E288" s="15" t="inlineStr">
        <is>
          <t>Junior (1~3년)</t>
        </is>
      </c>
      <c r="F288" s="20" t="inlineStr">
        <is>
          <t>4.2%</t>
        </is>
      </c>
      <c r="G288" s="15" t="inlineStr">
        <is>
          <t>1.15 (과대 편중)</t>
        </is>
      </c>
      <c r="H288" s="16" t="inlineStr">
        <is>
          <t>팀 내 OPS 단계 핵심 인력. 스쿼드당 1~2명 필수.</t>
        </is>
      </c>
    </row>
    <row r="289">
      <c r="A289" s="18" t="inlineStr">
        <is>
          <t>탄소중립 / 산업안전 / ESG</t>
        </is>
      </c>
      <c r="B289" s="17" t="inlineStr">
        <is>
          <t>OPS</t>
        </is>
      </c>
      <c r="C289" s="17" t="inlineStr">
        <is>
          <t>6130</t>
        </is>
      </c>
      <c r="D289" s="18" t="inlineStr">
        <is>
          <t>Mixed Crop and Animal Producers</t>
        </is>
      </c>
      <c r="E289" s="17" t="inlineStr">
        <is>
          <t>Junior (1~3년)</t>
        </is>
      </c>
      <c r="F289" s="21" t="inlineStr">
        <is>
          <t>4.2%</t>
        </is>
      </c>
      <c r="G289" s="17" t="inlineStr">
        <is>
          <t>0.95 (표준)</t>
        </is>
      </c>
      <c r="H289" s="18" t="inlineStr">
        <is>
          <t>팀 내 OPS 단계 핵심 인력. 스쿼드당 1~2명 필수.</t>
        </is>
      </c>
    </row>
    <row r="290">
      <c r="A290" s="16" t="inlineStr">
        <is>
          <t>탄소중립 / 산업안전 / ESG</t>
        </is>
      </c>
      <c r="B290" s="15" t="inlineStr">
        <is>
          <t>OPS</t>
        </is>
      </c>
      <c r="C290" s="15" t="inlineStr">
        <is>
          <t>6210</t>
        </is>
      </c>
      <c r="D290" s="16" t="inlineStr">
        <is>
          <t>Forestry and Related Workers</t>
        </is>
      </c>
      <c r="E290" s="15" t="inlineStr">
        <is>
          <t>Junior (1~3년)</t>
        </is>
      </c>
      <c r="F290" s="20" t="inlineStr">
        <is>
          <t>4.2%</t>
        </is>
      </c>
      <c r="G290" s="15" t="inlineStr">
        <is>
          <t>0.95 (표준)</t>
        </is>
      </c>
      <c r="H290" s="16" t="inlineStr">
        <is>
          <t>팀 내 OPS 단계 핵심 인력. 스쿼드당 1~2명 필수.</t>
        </is>
      </c>
    </row>
    <row r="291">
      <c r="A291" s="18" t="inlineStr">
        <is>
          <t>탄소중립 / 산업안전 / ESG</t>
        </is>
      </c>
      <c r="B291" s="17" t="inlineStr">
        <is>
          <t>OPS</t>
        </is>
      </c>
      <c r="C291" s="17" t="inlineStr">
        <is>
          <t>6221</t>
        </is>
      </c>
      <c r="D291" s="18" t="inlineStr">
        <is>
          <t>Aquaculture Workers</t>
        </is>
      </c>
      <c r="E291" s="17" t="inlineStr">
        <is>
          <t>Junior (1~3년)</t>
        </is>
      </c>
      <c r="F291" s="21" t="inlineStr">
        <is>
          <t>4.2%</t>
        </is>
      </c>
      <c r="G291" s="17" t="inlineStr">
        <is>
          <t>1.00 (표준)</t>
        </is>
      </c>
      <c r="H291" s="18" t="inlineStr">
        <is>
          <t>팀 내 OPS 단계 핵심 인력. 스쿼드당 1~2명 필수.</t>
        </is>
      </c>
    </row>
    <row r="292">
      <c r="A292" s="16" t="inlineStr">
        <is>
          <t>탄소중립 / 산업안전 / ESG</t>
        </is>
      </c>
      <c r="B292" s="15" t="inlineStr">
        <is>
          <t>OPS</t>
        </is>
      </c>
      <c r="C292" s="15" t="inlineStr">
        <is>
          <t>6222</t>
        </is>
      </c>
      <c r="D292" s="16" t="inlineStr">
        <is>
          <t>Inland and Coastal Waters Fishery Workers</t>
        </is>
      </c>
      <c r="E292" s="15" t="inlineStr">
        <is>
          <t>Junior (1~3년)</t>
        </is>
      </c>
      <c r="F292" s="20" t="inlineStr">
        <is>
          <t>4.2%</t>
        </is>
      </c>
      <c r="G292" s="15" t="inlineStr">
        <is>
          <t>1.05 (표준)</t>
        </is>
      </c>
      <c r="H292" s="16" t="inlineStr">
        <is>
          <t>팀 내 OPS 단계 핵심 인력. 스쿼드당 1~2명 필수.</t>
        </is>
      </c>
    </row>
    <row r="293">
      <c r="A293" s="18" t="inlineStr">
        <is>
          <t>탄소중립 / 산업안전 / ESG</t>
        </is>
      </c>
      <c r="B293" s="17" t="inlineStr">
        <is>
          <t>OPS</t>
        </is>
      </c>
      <c r="C293" s="17" t="inlineStr">
        <is>
          <t>6223</t>
        </is>
      </c>
      <c r="D293" s="18" t="inlineStr">
        <is>
          <t>Deep-sea Fishery Workers</t>
        </is>
      </c>
      <c r="E293" s="17" t="inlineStr">
        <is>
          <t>Junior (1~3년)</t>
        </is>
      </c>
      <c r="F293" s="21" t="inlineStr">
        <is>
          <t>4.2%</t>
        </is>
      </c>
      <c r="G293" s="17" t="inlineStr">
        <is>
          <t>1.10 (표준)</t>
        </is>
      </c>
      <c r="H293" s="18" t="inlineStr">
        <is>
          <t>팀 내 OPS 단계 핵심 인력. 스쿼드당 1~2명 필수.</t>
        </is>
      </c>
    </row>
    <row r="294">
      <c r="A294" s="16" t="inlineStr">
        <is>
          <t>탄소중립 / 산업안전 / ESG</t>
        </is>
      </c>
      <c r="B294" s="15" t="inlineStr">
        <is>
          <t>OPS</t>
        </is>
      </c>
      <c r="C294" s="15" t="inlineStr">
        <is>
          <t>6224</t>
        </is>
      </c>
      <c r="D294" s="16" t="inlineStr">
        <is>
          <t>Hunters and Trappers</t>
        </is>
      </c>
      <c r="E294" s="15" t="inlineStr">
        <is>
          <t>Junior (1~3년)</t>
        </is>
      </c>
      <c r="F294" s="20" t="inlineStr">
        <is>
          <t>4.2%</t>
        </is>
      </c>
      <c r="G294" s="15" t="inlineStr">
        <is>
          <t>1.15 (과대 편중)</t>
        </is>
      </c>
      <c r="H294" s="16" t="inlineStr">
        <is>
          <t>팀 내 OPS 단계 핵심 인력. 스쿼드당 1~2명 필수.</t>
        </is>
      </c>
    </row>
    <row r="295">
      <c r="A295" s="18" t="inlineStr">
        <is>
          <t>탄소중립 / 산업안전 / ESG</t>
        </is>
      </c>
      <c r="B295" s="17" t="inlineStr">
        <is>
          <t>OPS</t>
        </is>
      </c>
      <c r="C295" s="17" t="inlineStr">
        <is>
          <t>6310</t>
        </is>
      </c>
      <c r="D295" s="18" t="inlineStr">
        <is>
          <t>Subsistence Crop Farmers</t>
        </is>
      </c>
      <c r="E295" s="17" t="inlineStr">
        <is>
          <t>Junior (1~3년)</t>
        </is>
      </c>
      <c r="F295" s="21" t="inlineStr">
        <is>
          <t>4.2%</t>
        </is>
      </c>
      <c r="G295" s="17" t="inlineStr">
        <is>
          <t>0.95 (표준)</t>
        </is>
      </c>
      <c r="H295" s="18" t="inlineStr">
        <is>
          <t>팀 내 OPS 단계 핵심 인력. 스쿼드당 1~2명 필수.</t>
        </is>
      </c>
    </row>
    <row r="296">
      <c r="A296" s="16" t="inlineStr">
        <is>
          <t>탄소중립 / 산업안전 / ESG</t>
        </is>
      </c>
      <c r="B296" s="15" t="inlineStr">
        <is>
          <t>OPS</t>
        </is>
      </c>
      <c r="C296" s="15" t="inlineStr">
        <is>
          <t>6320</t>
        </is>
      </c>
      <c r="D296" s="16" t="inlineStr">
        <is>
          <t>Subsistence Livestock Farmers</t>
        </is>
      </c>
      <c r="E296" s="15" t="inlineStr">
        <is>
          <t>Junior (1~3년)</t>
        </is>
      </c>
      <c r="F296" s="20" t="inlineStr">
        <is>
          <t>4.2%</t>
        </is>
      </c>
      <c r="G296" s="15" t="inlineStr">
        <is>
          <t>0.95 (표준)</t>
        </is>
      </c>
      <c r="H296" s="16" t="inlineStr">
        <is>
          <t>팀 내 OPS 단계 핵심 인력. 스쿼드당 1~2명 필수.</t>
        </is>
      </c>
    </row>
    <row r="297">
      <c r="A297" s="18" t="inlineStr">
        <is>
          <t>탄소중립 / 산업안전 / ESG</t>
        </is>
      </c>
      <c r="B297" s="17" t="inlineStr">
        <is>
          <t>OPS</t>
        </is>
      </c>
      <c r="C297" s="17" t="inlineStr">
        <is>
          <t>6330</t>
        </is>
      </c>
      <c r="D297" s="18" t="inlineStr">
        <is>
          <t>Subsistence Mixed Crop and Livestock Farmers</t>
        </is>
      </c>
      <c r="E297" s="17" t="inlineStr">
        <is>
          <t>Junior (1~3년)</t>
        </is>
      </c>
      <c r="F297" s="21" t="inlineStr">
        <is>
          <t>4.2%</t>
        </is>
      </c>
      <c r="G297" s="17" t="inlineStr">
        <is>
          <t>0.95 (표준)</t>
        </is>
      </c>
      <c r="H297" s="18" t="inlineStr">
        <is>
          <t>팀 내 OPS 단계 핵심 인력. 스쿼드당 1~2명 필수.</t>
        </is>
      </c>
    </row>
    <row r="298">
      <c r="A298" s="16" t="inlineStr">
        <is>
          <t>탄소중립 / 산업안전 / ESG</t>
        </is>
      </c>
      <c r="B298" s="15" t="inlineStr">
        <is>
          <t>OPS</t>
        </is>
      </c>
      <c r="C298" s="15" t="inlineStr">
        <is>
          <t>6340</t>
        </is>
      </c>
      <c r="D298" s="16" t="inlineStr">
        <is>
          <t>Subsistence Fishers, Hunters, Trappers and Gatherers</t>
        </is>
      </c>
      <c r="E298" s="15" t="inlineStr">
        <is>
          <t>Junior (1~3년)</t>
        </is>
      </c>
      <c r="F298" s="20" t="inlineStr">
        <is>
          <t>4.2%</t>
        </is>
      </c>
      <c r="G298" s="15" t="inlineStr">
        <is>
          <t>0.95 (표준)</t>
        </is>
      </c>
      <c r="H298" s="16" t="inlineStr">
        <is>
          <t>팀 내 OPS 단계 핵심 인력. 스쿼드당 1~2명 필수.</t>
        </is>
      </c>
    </row>
    <row r="299">
      <c r="A299" s="18" t="inlineStr">
        <is>
          <t>스마트건축 / 토목 / 인프라</t>
        </is>
      </c>
      <c r="B299" s="17" t="inlineStr">
        <is>
          <t>OPS</t>
        </is>
      </c>
      <c r="C299" s="17" t="inlineStr">
        <is>
          <t>7111</t>
        </is>
      </c>
      <c r="D299" s="18" t="inlineStr">
        <is>
          <t>House Builders</t>
        </is>
      </c>
      <c r="E299" s="17" t="inlineStr">
        <is>
          <t>Junior (1~3년)</t>
        </is>
      </c>
      <c r="F299" s="21" t="inlineStr">
        <is>
          <t>4.2%</t>
        </is>
      </c>
      <c r="G299" s="17" t="inlineStr">
        <is>
          <t>1.00 (표준)</t>
        </is>
      </c>
      <c r="H299" s="18" t="inlineStr">
        <is>
          <t>팀 내 OPS 단계 핵심 인력. 스쿼드당 1~2명 필수.</t>
        </is>
      </c>
    </row>
    <row r="300">
      <c r="A300" s="16" t="inlineStr">
        <is>
          <t>스마트건축 / 토목 / 인프라</t>
        </is>
      </c>
      <c r="B300" s="15" t="inlineStr">
        <is>
          <t>OPS</t>
        </is>
      </c>
      <c r="C300" s="15" t="inlineStr">
        <is>
          <t>7112</t>
        </is>
      </c>
      <c r="D300" s="16" t="inlineStr">
        <is>
          <t>Bricklayers and Related Workers</t>
        </is>
      </c>
      <c r="E300" s="15" t="inlineStr">
        <is>
          <t>Junior (1~3년)</t>
        </is>
      </c>
      <c r="F300" s="20" t="inlineStr">
        <is>
          <t>4.2%</t>
        </is>
      </c>
      <c r="G300" s="15" t="inlineStr">
        <is>
          <t>1.05 (표준)</t>
        </is>
      </c>
      <c r="H300" s="16" t="inlineStr">
        <is>
          <t>팀 내 OPS 단계 핵심 인력. 스쿼드당 1~2명 필수.</t>
        </is>
      </c>
    </row>
    <row r="301">
      <c r="A301" s="18" t="inlineStr">
        <is>
          <t>스마트건축 / 토목 / 인프라</t>
        </is>
      </c>
      <c r="B301" s="17" t="inlineStr">
        <is>
          <t>OPS</t>
        </is>
      </c>
      <c r="C301" s="17" t="inlineStr">
        <is>
          <t>7113</t>
        </is>
      </c>
      <c r="D301" s="18" t="inlineStr">
        <is>
          <t>Stonemasons, Stone Cutters, Splitters and Carvers</t>
        </is>
      </c>
      <c r="E301" s="17" t="inlineStr">
        <is>
          <t>Junior (1~3년)</t>
        </is>
      </c>
      <c r="F301" s="21" t="inlineStr">
        <is>
          <t>4.2%</t>
        </is>
      </c>
      <c r="G301" s="17" t="inlineStr">
        <is>
          <t>1.10 (표준)</t>
        </is>
      </c>
      <c r="H301" s="18" t="inlineStr">
        <is>
          <t>팀 내 OPS 단계 핵심 인력. 스쿼드당 1~2명 필수.</t>
        </is>
      </c>
    </row>
    <row r="302">
      <c r="A302" s="16" t="inlineStr">
        <is>
          <t>스마트건축 / 토목 / 인프라</t>
        </is>
      </c>
      <c r="B302" s="15" t="inlineStr">
        <is>
          <t>OPS</t>
        </is>
      </c>
      <c r="C302" s="15" t="inlineStr">
        <is>
          <t>7114</t>
        </is>
      </c>
      <c r="D302" s="16" t="inlineStr">
        <is>
          <t>Concrete Placers, Concrete Finishers and Related Workers</t>
        </is>
      </c>
      <c r="E302" s="15" t="inlineStr">
        <is>
          <t>Junior (1~3년)</t>
        </is>
      </c>
      <c r="F302" s="20" t="inlineStr">
        <is>
          <t>4.2%</t>
        </is>
      </c>
      <c r="G302" s="15" t="inlineStr">
        <is>
          <t>1.15 (과대 편중)</t>
        </is>
      </c>
      <c r="H302" s="16" t="inlineStr">
        <is>
          <t>팀 내 OPS 단계 핵심 인력. 스쿼드당 1~2명 필수.</t>
        </is>
      </c>
    </row>
    <row r="303">
      <c r="A303" s="18" t="inlineStr">
        <is>
          <t>스마트건축 / 토목 / 인프라</t>
        </is>
      </c>
      <c r="B303" s="17" t="inlineStr">
        <is>
          <t>OPS</t>
        </is>
      </c>
      <c r="C303" s="17" t="inlineStr">
        <is>
          <t>7115</t>
        </is>
      </c>
      <c r="D303" s="18" t="inlineStr">
        <is>
          <t>Carpenters and Joiners</t>
        </is>
      </c>
      <c r="E303" s="17" t="inlineStr">
        <is>
          <t>Junior (1~3년)</t>
        </is>
      </c>
      <c r="F303" s="21" t="inlineStr">
        <is>
          <t>4.2%</t>
        </is>
      </c>
      <c r="G303" s="17" t="inlineStr">
        <is>
          <t>0.95 (표준)</t>
        </is>
      </c>
      <c r="H303" s="18" t="inlineStr">
        <is>
          <t>팀 내 OPS 단계 핵심 인력. 스쿼드당 1~2명 필수.</t>
        </is>
      </c>
    </row>
    <row r="304">
      <c r="A304" s="16" t="inlineStr">
        <is>
          <t>스마트건축 / 토목 / 인프라</t>
        </is>
      </c>
      <c r="B304" s="15" t="inlineStr">
        <is>
          <t>OPS</t>
        </is>
      </c>
      <c r="C304" s="15" t="inlineStr">
        <is>
          <t>7119</t>
        </is>
      </c>
      <c r="D304" s="16" t="inlineStr">
        <is>
          <t>Building Frame and Related Trades Workers Not Elsewhere Classified</t>
        </is>
      </c>
      <c r="E304" s="15" t="inlineStr">
        <is>
          <t>Junior (1~3년)</t>
        </is>
      </c>
      <c r="F304" s="20" t="inlineStr">
        <is>
          <t>4.2%</t>
        </is>
      </c>
      <c r="G304" s="15" t="inlineStr">
        <is>
          <t>1.15 (과대 편중)</t>
        </is>
      </c>
      <c r="H304" s="16" t="inlineStr">
        <is>
          <t>팀 내 OPS 단계 핵심 인력. 스쿼드당 1~2명 필수.</t>
        </is>
      </c>
    </row>
    <row r="305">
      <c r="A305" s="18" t="inlineStr">
        <is>
          <t>스마트건축 / 토목 / 인프라</t>
        </is>
      </c>
      <c r="B305" s="17" t="inlineStr">
        <is>
          <t>OPS</t>
        </is>
      </c>
      <c r="C305" s="17" t="inlineStr">
        <is>
          <t>7121</t>
        </is>
      </c>
      <c r="D305" s="18" t="inlineStr">
        <is>
          <t>Roofers</t>
        </is>
      </c>
      <c r="E305" s="17" t="inlineStr">
        <is>
          <t>Junior (1~3년)</t>
        </is>
      </c>
      <c r="F305" s="21" t="inlineStr">
        <is>
          <t>4.2%</t>
        </is>
      </c>
      <c r="G305" s="17" t="inlineStr">
        <is>
          <t>1.00 (표준)</t>
        </is>
      </c>
      <c r="H305" s="18" t="inlineStr">
        <is>
          <t>팀 내 OPS 단계 핵심 인력. 스쿼드당 1~2명 필수.</t>
        </is>
      </c>
    </row>
    <row r="306">
      <c r="A306" s="16" t="inlineStr">
        <is>
          <t>스마트건축 / 토목 / 인프라</t>
        </is>
      </c>
      <c r="B306" s="15" t="inlineStr">
        <is>
          <t>OPS</t>
        </is>
      </c>
      <c r="C306" s="15" t="inlineStr">
        <is>
          <t>7122</t>
        </is>
      </c>
      <c r="D306" s="16" t="inlineStr">
        <is>
          <t>Floor Layers and Tile Setters</t>
        </is>
      </c>
      <c r="E306" s="15" t="inlineStr">
        <is>
          <t>Junior (1~3년)</t>
        </is>
      </c>
      <c r="F306" s="20" t="inlineStr">
        <is>
          <t>4.2%</t>
        </is>
      </c>
      <c r="G306" s="15" t="inlineStr">
        <is>
          <t>1.05 (표준)</t>
        </is>
      </c>
      <c r="H306" s="16" t="inlineStr">
        <is>
          <t>팀 내 OPS 단계 핵심 인력. 스쿼드당 1~2명 필수.</t>
        </is>
      </c>
    </row>
    <row r="307">
      <c r="A307" s="18" t="inlineStr">
        <is>
          <t>스마트건축 / 토목 / 인프라</t>
        </is>
      </c>
      <c r="B307" s="17" t="inlineStr">
        <is>
          <t>OPS</t>
        </is>
      </c>
      <c r="C307" s="17" t="inlineStr">
        <is>
          <t>7123</t>
        </is>
      </c>
      <c r="D307" s="18" t="inlineStr">
        <is>
          <t>Plasterers</t>
        </is>
      </c>
      <c r="E307" s="17" t="inlineStr">
        <is>
          <t>Junior (1~3년)</t>
        </is>
      </c>
      <c r="F307" s="21" t="inlineStr">
        <is>
          <t>4.2%</t>
        </is>
      </c>
      <c r="G307" s="17" t="inlineStr">
        <is>
          <t>1.10 (표준)</t>
        </is>
      </c>
      <c r="H307" s="18" t="inlineStr">
        <is>
          <t>팀 내 OPS 단계 핵심 인력. 스쿼드당 1~2명 필수.</t>
        </is>
      </c>
    </row>
    <row r="308">
      <c r="A308" s="16" t="inlineStr">
        <is>
          <t>스마트건축 / 토목 / 인프라</t>
        </is>
      </c>
      <c r="B308" s="15" t="inlineStr">
        <is>
          <t>OPS</t>
        </is>
      </c>
      <c r="C308" s="15" t="inlineStr">
        <is>
          <t>7124</t>
        </is>
      </c>
      <c r="D308" s="16" t="inlineStr">
        <is>
          <t>Insulation Workers</t>
        </is>
      </c>
      <c r="E308" s="15" t="inlineStr">
        <is>
          <t>Junior (1~3년)</t>
        </is>
      </c>
      <c r="F308" s="20" t="inlineStr">
        <is>
          <t>4.2%</t>
        </is>
      </c>
      <c r="G308" s="15" t="inlineStr">
        <is>
          <t>1.15 (과대 편중)</t>
        </is>
      </c>
      <c r="H308" s="16" t="inlineStr">
        <is>
          <t>팀 내 OPS 단계 핵심 인력. 스쿼드당 1~2명 필수.</t>
        </is>
      </c>
    </row>
    <row r="309">
      <c r="A309" s="18" t="inlineStr">
        <is>
          <t>스마트건축 / 토목 / 인프라</t>
        </is>
      </c>
      <c r="B309" s="17" t="inlineStr">
        <is>
          <t>OPS</t>
        </is>
      </c>
      <c r="C309" s="17" t="inlineStr">
        <is>
          <t>7125</t>
        </is>
      </c>
      <c r="D309" s="18" t="inlineStr">
        <is>
          <t>Glaziers</t>
        </is>
      </c>
      <c r="E309" s="17" t="inlineStr">
        <is>
          <t>Junior (1~3년)</t>
        </is>
      </c>
      <c r="F309" s="21" t="inlineStr">
        <is>
          <t>4.2%</t>
        </is>
      </c>
      <c r="G309" s="17" t="inlineStr">
        <is>
          <t>0.95 (표준)</t>
        </is>
      </c>
      <c r="H309" s="18" t="inlineStr">
        <is>
          <t>팀 내 OPS 단계 핵심 인력. 스쿼드당 1~2명 필수.</t>
        </is>
      </c>
    </row>
    <row r="310">
      <c r="A310" s="16" t="inlineStr">
        <is>
          <t>스마트건축 / 토목 / 인프라</t>
        </is>
      </c>
      <c r="B310" s="15" t="inlineStr">
        <is>
          <t>OPS</t>
        </is>
      </c>
      <c r="C310" s="15" t="inlineStr">
        <is>
          <t>7126</t>
        </is>
      </c>
      <c r="D310" s="16" t="inlineStr">
        <is>
          <t>Plumbers and Pipe Fitters</t>
        </is>
      </c>
      <c r="E310" s="15" t="inlineStr">
        <is>
          <t>Junior (1~3년)</t>
        </is>
      </c>
      <c r="F310" s="20" t="inlineStr">
        <is>
          <t>4.2%</t>
        </is>
      </c>
      <c r="G310" s="15" t="inlineStr">
        <is>
          <t>1.00 (표준)</t>
        </is>
      </c>
      <c r="H310" s="16" t="inlineStr">
        <is>
          <t>팀 내 OPS 단계 핵심 인력. 스쿼드당 1~2명 필수.</t>
        </is>
      </c>
    </row>
    <row r="311">
      <c r="A311" s="18" t="inlineStr">
        <is>
          <t>스마트건축 / 토목 / 인프라</t>
        </is>
      </c>
      <c r="B311" s="17" t="inlineStr">
        <is>
          <t>OPS</t>
        </is>
      </c>
      <c r="C311" s="17" t="inlineStr">
        <is>
          <t>7127</t>
        </is>
      </c>
      <c r="D311" s="18" t="inlineStr">
        <is>
          <t>Air Conditioning and Refrigeration Mechanics</t>
        </is>
      </c>
      <c r="E311" s="17" t="inlineStr">
        <is>
          <t>Junior (1~3년)</t>
        </is>
      </c>
      <c r="F311" s="21" t="inlineStr">
        <is>
          <t>4.2%</t>
        </is>
      </c>
      <c r="G311" s="17" t="inlineStr">
        <is>
          <t>1.05 (표준)</t>
        </is>
      </c>
      <c r="H311" s="18" t="inlineStr">
        <is>
          <t>팀 내 OPS 단계 핵심 인력. 스쿼드당 1~2명 필수.</t>
        </is>
      </c>
    </row>
    <row r="312">
      <c r="A312" s="16" t="inlineStr">
        <is>
          <t>스마트건축 / 토목 / 인프라</t>
        </is>
      </c>
      <c r="B312" s="15" t="inlineStr">
        <is>
          <t>OPS</t>
        </is>
      </c>
      <c r="C312" s="15" t="inlineStr">
        <is>
          <t>7131</t>
        </is>
      </c>
      <c r="D312" s="16" t="inlineStr">
        <is>
          <t>Painters and Related Workers</t>
        </is>
      </c>
      <c r="E312" s="15" t="inlineStr">
        <is>
          <t>Junior (1~3년)</t>
        </is>
      </c>
      <c r="F312" s="20" t="inlineStr">
        <is>
          <t>4.2%</t>
        </is>
      </c>
      <c r="G312" s="15" t="inlineStr">
        <is>
          <t>1.00 (표준)</t>
        </is>
      </c>
      <c r="H312" s="16" t="inlineStr">
        <is>
          <t>팀 내 OPS 단계 핵심 인력. 스쿼드당 1~2명 필수.</t>
        </is>
      </c>
    </row>
    <row r="313">
      <c r="A313" s="18" t="inlineStr">
        <is>
          <t>스마트건축 / 토목 / 인프라</t>
        </is>
      </c>
      <c r="B313" s="17" t="inlineStr">
        <is>
          <t>OPS</t>
        </is>
      </c>
      <c r="C313" s="17" t="inlineStr">
        <is>
          <t>7132</t>
        </is>
      </c>
      <c r="D313" s="18" t="inlineStr">
        <is>
          <t>Spray Painters and Varnishers</t>
        </is>
      </c>
      <c r="E313" s="17" t="inlineStr">
        <is>
          <t>Junior (1~3년)</t>
        </is>
      </c>
      <c r="F313" s="21" t="inlineStr">
        <is>
          <t>4.2%</t>
        </is>
      </c>
      <c r="G313" s="17" t="inlineStr">
        <is>
          <t>1.05 (표준)</t>
        </is>
      </c>
      <c r="H313" s="18" t="inlineStr">
        <is>
          <t>팀 내 OPS 단계 핵심 인력. 스쿼드당 1~2명 필수.</t>
        </is>
      </c>
    </row>
    <row r="314">
      <c r="A314" s="16" t="inlineStr">
        <is>
          <t>스마트건축 / 토목 / 인프라</t>
        </is>
      </c>
      <c r="B314" s="15" t="inlineStr">
        <is>
          <t>OPS</t>
        </is>
      </c>
      <c r="C314" s="15" t="inlineStr">
        <is>
          <t>7133</t>
        </is>
      </c>
      <c r="D314" s="16" t="inlineStr">
        <is>
          <t>Building Structure Cleaners</t>
        </is>
      </c>
      <c r="E314" s="15" t="inlineStr">
        <is>
          <t>Junior (1~3년)</t>
        </is>
      </c>
      <c r="F314" s="20" t="inlineStr">
        <is>
          <t>4.2%</t>
        </is>
      </c>
      <c r="G314" s="15" t="inlineStr">
        <is>
          <t>1.10 (표준)</t>
        </is>
      </c>
      <c r="H314" s="16" t="inlineStr">
        <is>
          <t>팀 내 OPS 단계 핵심 인력. 스쿼드당 1~2명 필수.</t>
        </is>
      </c>
    </row>
    <row r="315">
      <c r="A315" s="18" t="inlineStr">
        <is>
          <t>모빌리티 / 자율주행 / 로보틱스</t>
        </is>
      </c>
      <c r="B315" s="17" t="inlineStr">
        <is>
          <t>OPS</t>
        </is>
      </c>
      <c r="C315" s="17" t="inlineStr">
        <is>
          <t>7211</t>
        </is>
      </c>
      <c r="D315" s="18" t="inlineStr">
        <is>
          <t>Metal Moulders and Coremakers</t>
        </is>
      </c>
      <c r="E315" s="17" t="inlineStr">
        <is>
          <t>Junior (1~3년)</t>
        </is>
      </c>
      <c r="F315" s="21" t="inlineStr">
        <is>
          <t>4.2%</t>
        </is>
      </c>
      <c r="G315" s="17" t="inlineStr">
        <is>
          <t>1.00 (표준)</t>
        </is>
      </c>
      <c r="H315" s="18" t="inlineStr">
        <is>
          <t>팀 내 OPS 단계 핵심 인력. 스쿼드당 1~2명 필수.</t>
        </is>
      </c>
    </row>
    <row r="316">
      <c r="A316" s="16" t="inlineStr">
        <is>
          <t>모빌리티 / 자율주행 / 로보틱스</t>
        </is>
      </c>
      <c r="B316" s="15" t="inlineStr">
        <is>
          <t>OPS</t>
        </is>
      </c>
      <c r="C316" s="15" t="inlineStr">
        <is>
          <t>7212</t>
        </is>
      </c>
      <c r="D316" s="16" t="inlineStr">
        <is>
          <t>Welders and Flame Cutters</t>
        </is>
      </c>
      <c r="E316" s="15" t="inlineStr">
        <is>
          <t>Junior (1~3년)</t>
        </is>
      </c>
      <c r="F316" s="20" t="inlineStr">
        <is>
          <t>4.2%</t>
        </is>
      </c>
      <c r="G316" s="15" t="inlineStr">
        <is>
          <t>1.05 (표준)</t>
        </is>
      </c>
      <c r="H316" s="16" t="inlineStr">
        <is>
          <t>팀 내 OPS 단계 핵심 인력. 스쿼드당 1~2명 필수.</t>
        </is>
      </c>
    </row>
    <row r="317">
      <c r="A317" s="18" t="inlineStr">
        <is>
          <t>모빌리티 / 자율주행 / 로보틱스</t>
        </is>
      </c>
      <c r="B317" s="17" t="inlineStr">
        <is>
          <t>OPS</t>
        </is>
      </c>
      <c r="C317" s="17" t="inlineStr">
        <is>
          <t>7213</t>
        </is>
      </c>
      <c r="D317" s="18" t="inlineStr">
        <is>
          <t>Sheet Metal Workers</t>
        </is>
      </c>
      <c r="E317" s="17" t="inlineStr">
        <is>
          <t>Junior (1~3년)</t>
        </is>
      </c>
      <c r="F317" s="21" t="inlineStr">
        <is>
          <t>4.2%</t>
        </is>
      </c>
      <c r="G317" s="17" t="inlineStr">
        <is>
          <t>1.10 (표준)</t>
        </is>
      </c>
      <c r="H317" s="18" t="inlineStr">
        <is>
          <t>팀 내 OPS 단계 핵심 인력. 스쿼드당 1~2명 필수.</t>
        </is>
      </c>
    </row>
    <row r="318">
      <c r="A318" s="16" t="inlineStr">
        <is>
          <t>모빌리티 / 자율주행 / 로보틱스</t>
        </is>
      </c>
      <c r="B318" s="15" t="inlineStr">
        <is>
          <t>OPS</t>
        </is>
      </c>
      <c r="C318" s="15" t="inlineStr">
        <is>
          <t>7214</t>
        </is>
      </c>
      <c r="D318" s="16" t="inlineStr">
        <is>
          <t>Structural Metal Preparers and Erectors</t>
        </is>
      </c>
      <c r="E318" s="15" t="inlineStr">
        <is>
          <t>Junior (1~3년)</t>
        </is>
      </c>
      <c r="F318" s="20" t="inlineStr">
        <is>
          <t>4.2%</t>
        </is>
      </c>
      <c r="G318" s="15" t="inlineStr">
        <is>
          <t>1.15 (과대 편중)</t>
        </is>
      </c>
      <c r="H318" s="16" t="inlineStr">
        <is>
          <t>팀 내 OPS 단계 핵심 인력. 스쿼드당 1~2명 필수.</t>
        </is>
      </c>
    </row>
    <row r="319">
      <c r="A319" s="18" t="inlineStr">
        <is>
          <t>모빌리티 / 자율주행 / 로보틱스</t>
        </is>
      </c>
      <c r="B319" s="17" t="inlineStr">
        <is>
          <t>OPS</t>
        </is>
      </c>
      <c r="C319" s="17" t="inlineStr">
        <is>
          <t>7215</t>
        </is>
      </c>
      <c r="D319" s="18" t="inlineStr">
        <is>
          <t>Riggers and Cable Splicers</t>
        </is>
      </c>
      <c r="E319" s="17" t="inlineStr">
        <is>
          <t>Junior (1~3년)</t>
        </is>
      </c>
      <c r="F319" s="21" t="inlineStr">
        <is>
          <t>4.2%</t>
        </is>
      </c>
      <c r="G319" s="17" t="inlineStr">
        <is>
          <t>0.95 (표준)</t>
        </is>
      </c>
      <c r="H319" s="18" t="inlineStr">
        <is>
          <t>팀 내 OPS 단계 핵심 인력. 스쿼드당 1~2명 필수.</t>
        </is>
      </c>
    </row>
    <row r="320">
      <c r="A320" s="16" t="inlineStr">
        <is>
          <t>모빌리티 / 자율주행 / 로보틱스</t>
        </is>
      </c>
      <c r="B320" s="15" t="inlineStr">
        <is>
          <t>OPS</t>
        </is>
      </c>
      <c r="C320" s="15" t="inlineStr">
        <is>
          <t>7221</t>
        </is>
      </c>
      <c r="D320" s="16" t="inlineStr">
        <is>
          <t>Blacksmiths, Hammersmiths and Forging Press Workers</t>
        </is>
      </c>
      <c r="E320" s="15" t="inlineStr">
        <is>
          <t>Junior (1~3년)</t>
        </is>
      </c>
      <c r="F320" s="20" t="inlineStr">
        <is>
          <t>4.2%</t>
        </is>
      </c>
      <c r="G320" s="15" t="inlineStr">
        <is>
          <t>1.00 (표준)</t>
        </is>
      </c>
      <c r="H320" s="16" t="inlineStr">
        <is>
          <t>팀 내 OPS 단계 핵심 인력. 스쿼드당 1~2명 필수.</t>
        </is>
      </c>
    </row>
    <row r="321">
      <c r="A321" s="18" t="inlineStr">
        <is>
          <t>모빌리티 / 자율주행 / 로보틱스</t>
        </is>
      </c>
      <c r="B321" s="17" t="inlineStr">
        <is>
          <t>OPS</t>
        </is>
      </c>
      <c r="C321" s="17" t="inlineStr">
        <is>
          <t>7222</t>
        </is>
      </c>
      <c r="D321" s="18" t="inlineStr">
        <is>
          <t>Toolmakers and Related Workers</t>
        </is>
      </c>
      <c r="E321" s="17" t="inlineStr">
        <is>
          <t>Junior (1~3년)</t>
        </is>
      </c>
      <c r="F321" s="21" t="inlineStr">
        <is>
          <t>4.2%</t>
        </is>
      </c>
      <c r="G321" s="17" t="inlineStr">
        <is>
          <t>1.05 (표준)</t>
        </is>
      </c>
      <c r="H321" s="18" t="inlineStr">
        <is>
          <t>팀 내 OPS 단계 핵심 인력. 스쿼드당 1~2명 필수.</t>
        </is>
      </c>
    </row>
    <row r="322">
      <c r="A322" s="16" t="inlineStr">
        <is>
          <t>모빌리티 / 자율주행 / 로보틱스</t>
        </is>
      </c>
      <c r="B322" s="15" t="inlineStr">
        <is>
          <t>OPS</t>
        </is>
      </c>
      <c r="C322" s="15" t="inlineStr">
        <is>
          <t>7223</t>
        </is>
      </c>
      <c r="D322" s="16" t="inlineStr">
        <is>
          <t>Metal Working Machine Tool Setters and  Operators</t>
        </is>
      </c>
      <c r="E322" s="15" t="inlineStr">
        <is>
          <t>Junior (1~3년)</t>
        </is>
      </c>
      <c r="F322" s="20" t="inlineStr">
        <is>
          <t>4.2%</t>
        </is>
      </c>
      <c r="G322" s="15" t="inlineStr">
        <is>
          <t>1.10 (표준)</t>
        </is>
      </c>
      <c r="H322" s="16" t="inlineStr">
        <is>
          <t>팀 내 OPS 단계 핵심 인력. 스쿼드당 1~2명 필수.</t>
        </is>
      </c>
    </row>
    <row r="323">
      <c r="A323" s="18" t="inlineStr">
        <is>
          <t>모빌리티 / 자율주행 / 로보틱스</t>
        </is>
      </c>
      <c r="B323" s="17" t="inlineStr">
        <is>
          <t>OPS</t>
        </is>
      </c>
      <c r="C323" s="17" t="inlineStr">
        <is>
          <t>7224</t>
        </is>
      </c>
      <c r="D323" s="18" t="inlineStr">
        <is>
          <t>Metal Polishers, Wheel Grinders and Tool Sharpeners</t>
        </is>
      </c>
      <c r="E323" s="17" t="inlineStr">
        <is>
          <t>Junior (1~3년)</t>
        </is>
      </c>
      <c r="F323" s="21" t="inlineStr">
        <is>
          <t>4.2%</t>
        </is>
      </c>
      <c r="G323" s="17" t="inlineStr">
        <is>
          <t>1.15 (과대 편중)</t>
        </is>
      </c>
      <c r="H323" s="18" t="inlineStr">
        <is>
          <t>팀 내 OPS 단계 핵심 인력. 스쿼드당 1~2명 필수.</t>
        </is>
      </c>
    </row>
    <row r="324">
      <c r="A324" s="16" t="inlineStr">
        <is>
          <t>모빌리티 / 자율주행 / 로보틱스</t>
        </is>
      </c>
      <c r="B324" s="15" t="inlineStr">
        <is>
          <t>OPS</t>
        </is>
      </c>
      <c r="C324" s="15" t="inlineStr">
        <is>
          <t>7231</t>
        </is>
      </c>
      <c r="D324" s="16" t="inlineStr">
        <is>
          <t>Motor Vehicle Mechanics and Repairers</t>
        </is>
      </c>
      <c r="E324" s="15" t="inlineStr">
        <is>
          <t>Junior (1~3년)</t>
        </is>
      </c>
      <c r="F324" s="20" t="inlineStr">
        <is>
          <t>4.2%</t>
        </is>
      </c>
      <c r="G324" s="15" t="inlineStr">
        <is>
          <t>1.00 (표준)</t>
        </is>
      </c>
      <c r="H324" s="16" t="inlineStr">
        <is>
          <t>팀 내 OPS 단계 핵심 인력. 스쿼드당 1~2명 필수.</t>
        </is>
      </c>
    </row>
    <row r="325">
      <c r="A325" s="18" t="inlineStr">
        <is>
          <t>모빌리티 / 자율주행 / 로보틱스</t>
        </is>
      </c>
      <c r="B325" s="17" t="inlineStr">
        <is>
          <t>OPS</t>
        </is>
      </c>
      <c r="C325" s="17" t="inlineStr">
        <is>
          <t>7232</t>
        </is>
      </c>
      <c r="D325" s="18" t="inlineStr">
        <is>
          <t>Aircraft Engine Mechanics and Repairers</t>
        </is>
      </c>
      <c r="E325" s="17" t="inlineStr">
        <is>
          <t>Junior (1~3년)</t>
        </is>
      </c>
      <c r="F325" s="21" t="inlineStr">
        <is>
          <t>4.2%</t>
        </is>
      </c>
      <c r="G325" s="17" t="inlineStr">
        <is>
          <t>1.05 (표준)</t>
        </is>
      </c>
      <c r="H325" s="18" t="inlineStr">
        <is>
          <t>팀 내 OPS 단계 핵심 인력. 스쿼드당 1~2명 필수.</t>
        </is>
      </c>
    </row>
    <row r="326">
      <c r="A326" s="16" t="inlineStr">
        <is>
          <t>모빌리티 / 자율주행 / 로보틱스</t>
        </is>
      </c>
      <c r="B326" s="15" t="inlineStr">
        <is>
          <t>OPS</t>
        </is>
      </c>
      <c r="C326" s="15" t="inlineStr">
        <is>
          <t>7233</t>
        </is>
      </c>
      <c r="D326" s="16" t="inlineStr">
        <is>
          <t>Agricultural and Industrial Machinery Mechanics and Repairers</t>
        </is>
      </c>
      <c r="E326" s="15" t="inlineStr">
        <is>
          <t>Junior (1~3년)</t>
        </is>
      </c>
      <c r="F326" s="20" t="inlineStr">
        <is>
          <t>4.2%</t>
        </is>
      </c>
      <c r="G326" s="15" t="inlineStr">
        <is>
          <t>1.10 (표준)</t>
        </is>
      </c>
      <c r="H326" s="16" t="inlineStr">
        <is>
          <t>팀 내 OPS 단계 핵심 인력. 스쿼드당 1~2명 필수.</t>
        </is>
      </c>
    </row>
    <row r="327">
      <c r="A327" s="18" t="inlineStr">
        <is>
          <t>모빌리티 / 자율주행 / 로보틱스</t>
        </is>
      </c>
      <c r="B327" s="17" t="inlineStr">
        <is>
          <t>OPS</t>
        </is>
      </c>
      <c r="C327" s="17" t="inlineStr">
        <is>
          <t>7234</t>
        </is>
      </c>
      <c r="D327" s="18" t="inlineStr">
        <is>
          <t>Bicycle and Related Repairers</t>
        </is>
      </c>
      <c r="E327" s="17" t="inlineStr">
        <is>
          <t>Junior (1~3년)</t>
        </is>
      </c>
      <c r="F327" s="21" t="inlineStr">
        <is>
          <t>4.2%</t>
        </is>
      </c>
      <c r="G327" s="17" t="inlineStr">
        <is>
          <t>1.15 (과대 편중)</t>
        </is>
      </c>
      <c r="H327" s="18" t="inlineStr">
        <is>
          <t>팀 내 OPS 단계 핵심 인력. 스쿼드당 1~2명 필수.</t>
        </is>
      </c>
    </row>
    <row r="328">
      <c r="A328" s="16" t="inlineStr">
        <is>
          <t>디자인 / 디지털미디어 / 콘텐츠</t>
        </is>
      </c>
      <c r="B328" s="15" t="inlineStr">
        <is>
          <t>OPS</t>
        </is>
      </c>
      <c r="C328" s="15" t="inlineStr">
        <is>
          <t>7311</t>
        </is>
      </c>
      <c r="D328" s="16" t="inlineStr">
        <is>
          <t>Precision-instrument Makers and Repairers</t>
        </is>
      </c>
      <c r="E328" s="15" t="inlineStr">
        <is>
          <t>Junior (1~3년)</t>
        </is>
      </c>
      <c r="F328" s="20" t="inlineStr">
        <is>
          <t>4.2%</t>
        </is>
      </c>
      <c r="G328" s="15" t="inlineStr">
        <is>
          <t>1.00 (표준)</t>
        </is>
      </c>
      <c r="H328" s="16" t="inlineStr">
        <is>
          <t>팀 내 OPS 단계 핵심 인력. 스쿼드당 1~2명 필수.</t>
        </is>
      </c>
    </row>
    <row r="329">
      <c r="A329" s="18" t="inlineStr">
        <is>
          <t>디자인 / 디지털미디어 / 콘텐츠</t>
        </is>
      </c>
      <c r="B329" s="17" t="inlineStr">
        <is>
          <t>OPS</t>
        </is>
      </c>
      <c r="C329" s="17" t="inlineStr">
        <is>
          <t>7312</t>
        </is>
      </c>
      <c r="D329" s="18" t="inlineStr">
        <is>
          <t>Musical Instrument Makers and Tuners</t>
        </is>
      </c>
      <c r="E329" s="17" t="inlineStr">
        <is>
          <t>Junior (1~3년)</t>
        </is>
      </c>
      <c r="F329" s="21" t="inlineStr">
        <is>
          <t>4.2%</t>
        </is>
      </c>
      <c r="G329" s="17" t="inlineStr">
        <is>
          <t>1.05 (표준)</t>
        </is>
      </c>
      <c r="H329" s="18" t="inlineStr">
        <is>
          <t>팀 내 OPS 단계 핵심 인력. 스쿼드당 1~2명 필수.</t>
        </is>
      </c>
    </row>
    <row r="330">
      <c r="A330" s="16" t="inlineStr">
        <is>
          <t>디자인 / 디지털미디어 / 콘텐츠</t>
        </is>
      </c>
      <c r="B330" s="15" t="inlineStr">
        <is>
          <t>OPS</t>
        </is>
      </c>
      <c r="C330" s="15" t="inlineStr">
        <is>
          <t>7313</t>
        </is>
      </c>
      <c r="D330" s="16" t="inlineStr">
        <is>
          <t>Jewellery and Precious Metal Workers</t>
        </is>
      </c>
      <c r="E330" s="15" t="inlineStr">
        <is>
          <t>Junior (1~3년)</t>
        </is>
      </c>
      <c r="F330" s="20" t="inlineStr">
        <is>
          <t>4.2%</t>
        </is>
      </c>
      <c r="G330" s="15" t="inlineStr">
        <is>
          <t>1.10 (표준)</t>
        </is>
      </c>
      <c r="H330" s="16" t="inlineStr">
        <is>
          <t>팀 내 OPS 단계 핵심 인력. 스쿼드당 1~2명 필수.</t>
        </is>
      </c>
    </row>
    <row r="331">
      <c r="A331" s="18" t="inlineStr">
        <is>
          <t>디자인 / 디지털미디어 / 콘텐츠</t>
        </is>
      </c>
      <c r="B331" s="17" t="inlineStr">
        <is>
          <t>OPS</t>
        </is>
      </c>
      <c r="C331" s="17" t="inlineStr">
        <is>
          <t>7314</t>
        </is>
      </c>
      <c r="D331" s="18" t="inlineStr">
        <is>
          <t>Potters and Related Workers</t>
        </is>
      </c>
      <c r="E331" s="17" t="inlineStr">
        <is>
          <t>Junior (1~3년)</t>
        </is>
      </c>
      <c r="F331" s="21" t="inlineStr">
        <is>
          <t>4.2%</t>
        </is>
      </c>
      <c r="G331" s="17" t="inlineStr">
        <is>
          <t>1.15 (과대 편중)</t>
        </is>
      </c>
      <c r="H331" s="18" t="inlineStr">
        <is>
          <t>팀 내 OPS 단계 핵심 인력. 스쿼드당 1~2명 필수.</t>
        </is>
      </c>
    </row>
    <row r="332">
      <c r="A332" s="16" t="inlineStr">
        <is>
          <t>디자인 / 디지털미디어 / 콘텐츠</t>
        </is>
      </c>
      <c r="B332" s="15" t="inlineStr">
        <is>
          <t>OPS</t>
        </is>
      </c>
      <c r="C332" s="15" t="inlineStr">
        <is>
          <t>7315</t>
        </is>
      </c>
      <c r="D332" s="16" t="inlineStr">
        <is>
          <t>Glass Makers, Cutters, Grinders and Finishers</t>
        </is>
      </c>
      <c r="E332" s="15" t="inlineStr">
        <is>
          <t>Junior (1~3년)</t>
        </is>
      </c>
      <c r="F332" s="20" t="inlineStr">
        <is>
          <t>4.2%</t>
        </is>
      </c>
      <c r="G332" s="15" t="inlineStr">
        <is>
          <t>0.95 (표준)</t>
        </is>
      </c>
      <c r="H332" s="16" t="inlineStr">
        <is>
          <t>팀 내 OPS 단계 핵심 인력. 스쿼드당 1~2명 필수.</t>
        </is>
      </c>
    </row>
    <row r="333">
      <c r="A333" s="18" t="inlineStr">
        <is>
          <t>디자인 / 디지털미디어 / 콘텐츠</t>
        </is>
      </c>
      <c r="B333" s="17" t="inlineStr">
        <is>
          <t>OPS</t>
        </is>
      </c>
      <c r="C333" s="17" t="inlineStr">
        <is>
          <t>7316</t>
        </is>
      </c>
      <c r="D333" s="18" t="inlineStr">
        <is>
          <t>Sign Writers, Decorative Painters, Engravers and Etchers</t>
        </is>
      </c>
      <c r="E333" s="17" t="inlineStr">
        <is>
          <t>Junior (1~3년)</t>
        </is>
      </c>
      <c r="F333" s="21" t="inlineStr">
        <is>
          <t>4.2%</t>
        </is>
      </c>
      <c r="G333" s="17" t="inlineStr">
        <is>
          <t>1.00 (표준)</t>
        </is>
      </c>
      <c r="H333" s="18" t="inlineStr">
        <is>
          <t>팀 내 OPS 단계 핵심 인력. 스쿼드당 1~2명 필수.</t>
        </is>
      </c>
    </row>
    <row r="334">
      <c r="A334" s="16" t="inlineStr">
        <is>
          <t>디자인 / 디지털미디어 / 콘텐츠</t>
        </is>
      </c>
      <c r="B334" s="15" t="inlineStr">
        <is>
          <t>OPS</t>
        </is>
      </c>
      <c r="C334" s="15" t="inlineStr">
        <is>
          <t>7317</t>
        </is>
      </c>
      <c r="D334" s="16" t="inlineStr">
        <is>
          <t>Handicraft Workers in Wood, Basketry and Related Materials</t>
        </is>
      </c>
      <c r="E334" s="15" t="inlineStr">
        <is>
          <t>Junior (1~3년)</t>
        </is>
      </c>
      <c r="F334" s="20" t="inlineStr">
        <is>
          <t>4.2%</t>
        </is>
      </c>
      <c r="G334" s="15" t="inlineStr">
        <is>
          <t>1.05 (표준)</t>
        </is>
      </c>
      <c r="H334" s="16" t="inlineStr">
        <is>
          <t>팀 내 OPS 단계 핵심 인력. 스쿼드당 1~2명 필수.</t>
        </is>
      </c>
    </row>
    <row r="335">
      <c r="A335" s="18" t="inlineStr">
        <is>
          <t>디자인 / 디지털미디어 / 콘텐츠</t>
        </is>
      </c>
      <c r="B335" s="17" t="inlineStr">
        <is>
          <t>OPS</t>
        </is>
      </c>
      <c r="C335" s="17" t="inlineStr">
        <is>
          <t>7318</t>
        </is>
      </c>
      <c r="D335" s="18" t="inlineStr">
        <is>
          <t>Handicraft Workers in Textile, Leather and Related Materials</t>
        </is>
      </c>
      <c r="E335" s="17" t="inlineStr">
        <is>
          <t>Junior (1~3년)</t>
        </is>
      </c>
      <c r="F335" s="21" t="inlineStr">
        <is>
          <t>4.2%</t>
        </is>
      </c>
      <c r="G335" s="17" t="inlineStr">
        <is>
          <t>1.10 (표준)</t>
        </is>
      </c>
      <c r="H335" s="18" t="inlineStr">
        <is>
          <t>팀 내 OPS 단계 핵심 인력. 스쿼드당 1~2명 필수.</t>
        </is>
      </c>
    </row>
    <row r="336">
      <c r="A336" s="16" t="inlineStr">
        <is>
          <t>디자인 / 디지털미디어 / 콘텐츠</t>
        </is>
      </c>
      <c r="B336" s="15" t="inlineStr">
        <is>
          <t>OPS</t>
        </is>
      </c>
      <c r="C336" s="15" t="inlineStr">
        <is>
          <t>7319</t>
        </is>
      </c>
      <c r="D336" s="16" t="inlineStr">
        <is>
          <t>Handicraft Workers Not Elsewhere Classified</t>
        </is>
      </c>
      <c r="E336" s="15" t="inlineStr">
        <is>
          <t>Junior (1~3년)</t>
        </is>
      </c>
      <c r="F336" s="20" t="inlineStr">
        <is>
          <t>4.2%</t>
        </is>
      </c>
      <c r="G336" s="15" t="inlineStr">
        <is>
          <t>1.15 (과대 편중)</t>
        </is>
      </c>
      <c r="H336" s="16" t="inlineStr">
        <is>
          <t>팀 내 OPS 단계 핵심 인력. 스쿼드당 1~2명 필수.</t>
        </is>
      </c>
    </row>
    <row r="337">
      <c r="A337" s="18" t="inlineStr">
        <is>
          <t>디자인 / 디지털미디어 / 콘텐츠</t>
        </is>
      </c>
      <c r="B337" s="17" t="inlineStr">
        <is>
          <t>OPS</t>
        </is>
      </c>
      <c r="C337" s="17" t="inlineStr">
        <is>
          <t>7321</t>
        </is>
      </c>
      <c r="D337" s="18" t="inlineStr">
        <is>
          <t>Pre-press Technicians</t>
        </is>
      </c>
      <c r="E337" s="17" t="inlineStr">
        <is>
          <t>Junior (1~3년)</t>
        </is>
      </c>
      <c r="F337" s="21" t="inlineStr">
        <is>
          <t>4.2%</t>
        </is>
      </c>
      <c r="G337" s="17" t="inlineStr">
        <is>
          <t>1.00 (표준)</t>
        </is>
      </c>
      <c r="H337" s="18" t="inlineStr">
        <is>
          <t>팀 내 OPS 단계 핵심 인력. 스쿼드당 1~2명 필수.</t>
        </is>
      </c>
    </row>
    <row r="338">
      <c r="A338" s="16" t="inlineStr">
        <is>
          <t>디자인 / 디지털미디어 / 콘텐츠</t>
        </is>
      </c>
      <c r="B338" s="15" t="inlineStr">
        <is>
          <t>OPS</t>
        </is>
      </c>
      <c r="C338" s="15" t="inlineStr">
        <is>
          <t>7322</t>
        </is>
      </c>
      <c r="D338" s="16" t="inlineStr">
        <is>
          <t>Printers</t>
        </is>
      </c>
      <c r="E338" s="15" t="inlineStr">
        <is>
          <t>Junior (1~3년)</t>
        </is>
      </c>
      <c r="F338" s="20" t="inlineStr">
        <is>
          <t>4.2%</t>
        </is>
      </c>
      <c r="G338" s="15" t="inlineStr">
        <is>
          <t>1.05 (표준)</t>
        </is>
      </c>
      <c r="H338" s="16" t="inlineStr">
        <is>
          <t>팀 내 OPS 단계 핵심 인력. 스쿼드당 1~2명 필수.</t>
        </is>
      </c>
    </row>
    <row r="339">
      <c r="A339" s="18" t="inlineStr">
        <is>
          <t>디자인 / 디지털미디어 / 콘텐츠</t>
        </is>
      </c>
      <c r="B339" s="17" t="inlineStr">
        <is>
          <t>OPS</t>
        </is>
      </c>
      <c r="C339" s="17" t="inlineStr">
        <is>
          <t>7323</t>
        </is>
      </c>
      <c r="D339" s="18" t="inlineStr">
        <is>
          <t>Print Finishing and Binding Workers</t>
        </is>
      </c>
      <c r="E339" s="17" t="inlineStr">
        <is>
          <t>Junior (1~3년)</t>
        </is>
      </c>
      <c r="F339" s="21" t="inlineStr">
        <is>
          <t>4.2%</t>
        </is>
      </c>
      <c r="G339" s="17" t="inlineStr">
        <is>
          <t>1.10 (표준)</t>
        </is>
      </c>
      <c r="H339" s="18" t="inlineStr">
        <is>
          <t>팀 내 OPS 단계 핵심 인력. 스쿼드당 1~2명 필수.</t>
        </is>
      </c>
    </row>
    <row r="340">
      <c r="A340" s="16" t="inlineStr">
        <is>
          <t>반도체 / 전자회로 / 하드웨어</t>
        </is>
      </c>
      <c r="B340" s="15" t="inlineStr">
        <is>
          <t>OPS</t>
        </is>
      </c>
      <c r="C340" s="15" t="inlineStr">
        <is>
          <t>7411</t>
        </is>
      </c>
      <c r="D340" s="16" t="inlineStr">
        <is>
          <t>Building and Related Electricians</t>
        </is>
      </c>
      <c r="E340" s="15" t="inlineStr">
        <is>
          <t>Junior (1~3년)</t>
        </is>
      </c>
      <c r="F340" s="20" t="inlineStr">
        <is>
          <t>4.2%</t>
        </is>
      </c>
      <c r="G340" s="15" t="inlineStr">
        <is>
          <t>1.00 (표준)</t>
        </is>
      </c>
      <c r="H340" s="16" t="inlineStr">
        <is>
          <t>팀 내 OPS 단계 핵심 인력. 스쿼드당 1~2명 필수.</t>
        </is>
      </c>
    </row>
    <row r="341">
      <c r="A341" s="18" t="inlineStr">
        <is>
          <t>반도체 / 전자회로 / 하드웨어</t>
        </is>
      </c>
      <c r="B341" s="17" t="inlineStr">
        <is>
          <t>OPS</t>
        </is>
      </c>
      <c r="C341" s="17" t="inlineStr">
        <is>
          <t>7412</t>
        </is>
      </c>
      <c r="D341" s="18" t="inlineStr">
        <is>
          <t>Electrical Mechanics and Fitters</t>
        </is>
      </c>
      <c r="E341" s="17" t="inlineStr">
        <is>
          <t>Junior (1~3년)</t>
        </is>
      </c>
      <c r="F341" s="21" t="inlineStr">
        <is>
          <t>4.2%</t>
        </is>
      </c>
      <c r="G341" s="17" t="inlineStr">
        <is>
          <t>1.05 (표준)</t>
        </is>
      </c>
      <c r="H341" s="18" t="inlineStr">
        <is>
          <t>팀 내 OPS 단계 핵심 인력. 스쿼드당 1~2명 필수.</t>
        </is>
      </c>
    </row>
    <row r="342">
      <c r="A342" s="16" t="inlineStr">
        <is>
          <t>반도체 / 전자회로 / 하드웨어</t>
        </is>
      </c>
      <c r="B342" s="15" t="inlineStr">
        <is>
          <t>OPS</t>
        </is>
      </c>
      <c r="C342" s="15" t="inlineStr">
        <is>
          <t>7413</t>
        </is>
      </c>
      <c r="D342" s="16" t="inlineStr">
        <is>
          <t>Electrical Line Installers and Repairers</t>
        </is>
      </c>
      <c r="E342" s="15" t="inlineStr">
        <is>
          <t>Junior (1~3년)</t>
        </is>
      </c>
      <c r="F342" s="20" t="inlineStr">
        <is>
          <t>4.2%</t>
        </is>
      </c>
      <c r="G342" s="15" t="inlineStr">
        <is>
          <t>1.10 (표준)</t>
        </is>
      </c>
      <c r="H342" s="16" t="inlineStr">
        <is>
          <t>팀 내 OPS 단계 핵심 인력. 스쿼드당 1~2명 필수.</t>
        </is>
      </c>
    </row>
    <row r="343">
      <c r="A343" s="18" t="inlineStr">
        <is>
          <t>반도체 / 전자회로 / 하드웨어</t>
        </is>
      </c>
      <c r="B343" s="17" t="inlineStr">
        <is>
          <t>OPS</t>
        </is>
      </c>
      <c r="C343" s="17" t="inlineStr">
        <is>
          <t>7421</t>
        </is>
      </c>
      <c r="D343" s="18" t="inlineStr">
        <is>
          <t>Electronics Mechanics and Servicers</t>
        </is>
      </c>
      <c r="E343" s="17" t="inlineStr">
        <is>
          <t>Junior (1~3년)</t>
        </is>
      </c>
      <c r="F343" s="21" t="inlineStr">
        <is>
          <t>4.2%</t>
        </is>
      </c>
      <c r="G343" s="17" t="inlineStr">
        <is>
          <t>1.00 (표준)</t>
        </is>
      </c>
      <c r="H343" s="18" t="inlineStr">
        <is>
          <t>팀 내 OPS 단계 핵심 인력. 스쿼드당 1~2명 필수.</t>
        </is>
      </c>
    </row>
    <row r="344">
      <c r="A344" s="16" t="inlineStr">
        <is>
          <t>반도체 / 전자회로 / 하드웨어</t>
        </is>
      </c>
      <c r="B344" s="15" t="inlineStr">
        <is>
          <t>OPS</t>
        </is>
      </c>
      <c r="C344" s="15" t="inlineStr">
        <is>
          <t>7422</t>
        </is>
      </c>
      <c r="D344" s="16" t="inlineStr">
        <is>
          <t>Information and Communications Technology Installers and Servicers</t>
        </is>
      </c>
      <c r="E344" s="15" t="inlineStr">
        <is>
          <t>Junior (1~3년)</t>
        </is>
      </c>
      <c r="F344" s="20" t="inlineStr">
        <is>
          <t>4.2%</t>
        </is>
      </c>
      <c r="G344" s="15" t="inlineStr">
        <is>
          <t>1.05 (표준)</t>
        </is>
      </c>
      <c r="H344" s="16" t="inlineStr">
        <is>
          <t>팀 내 OPS 단계 핵심 인력. 스쿼드당 1~2명 필수.</t>
        </is>
      </c>
    </row>
    <row r="345">
      <c r="A345" s="18" t="inlineStr">
        <is>
          <t>모빌리티 / 자율주행 / 로보틱스</t>
        </is>
      </c>
      <c r="B345" s="17" t="inlineStr">
        <is>
          <t>OPS</t>
        </is>
      </c>
      <c r="C345" s="17" t="inlineStr">
        <is>
          <t>7511</t>
        </is>
      </c>
      <c r="D345" s="18" t="inlineStr">
        <is>
          <t>Butchers, Fishmongers and Related Food Preparers</t>
        </is>
      </c>
      <c r="E345" s="17" t="inlineStr">
        <is>
          <t>Junior (1~3년)</t>
        </is>
      </c>
      <c r="F345" s="21" t="inlineStr">
        <is>
          <t>4.2%</t>
        </is>
      </c>
      <c r="G345" s="17" t="inlineStr">
        <is>
          <t>1.00 (표준)</t>
        </is>
      </c>
      <c r="H345" s="18" t="inlineStr">
        <is>
          <t>팀 내 OPS 단계 핵심 인력. 스쿼드당 1~2명 필수.</t>
        </is>
      </c>
    </row>
    <row r="346">
      <c r="A346" s="16" t="inlineStr">
        <is>
          <t>모빌리티 / 자율주행 / 로보틱스</t>
        </is>
      </c>
      <c r="B346" s="15" t="inlineStr">
        <is>
          <t>OPS</t>
        </is>
      </c>
      <c r="C346" s="15" t="inlineStr">
        <is>
          <t>7512</t>
        </is>
      </c>
      <c r="D346" s="16" t="inlineStr">
        <is>
          <t>Bakers, Pastry-cooks and Confectionery Makers</t>
        </is>
      </c>
      <c r="E346" s="15" t="inlineStr">
        <is>
          <t>Junior (1~3년)</t>
        </is>
      </c>
      <c r="F346" s="20" t="inlineStr">
        <is>
          <t>4.2%</t>
        </is>
      </c>
      <c r="G346" s="15" t="inlineStr">
        <is>
          <t>1.05 (표준)</t>
        </is>
      </c>
      <c r="H346" s="16" t="inlineStr">
        <is>
          <t>팀 내 OPS 단계 핵심 인력. 스쿼드당 1~2명 필수.</t>
        </is>
      </c>
    </row>
    <row r="347">
      <c r="A347" s="18" t="inlineStr">
        <is>
          <t>모빌리티 / 자율주행 / 로보틱스</t>
        </is>
      </c>
      <c r="B347" s="17" t="inlineStr">
        <is>
          <t>OPS</t>
        </is>
      </c>
      <c r="C347" s="17" t="inlineStr">
        <is>
          <t>7513</t>
        </is>
      </c>
      <c r="D347" s="18" t="inlineStr">
        <is>
          <t>Dairy Products Makers</t>
        </is>
      </c>
      <c r="E347" s="17" t="inlineStr">
        <is>
          <t>Junior (1~3년)</t>
        </is>
      </c>
      <c r="F347" s="21" t="inlineStr">
        <is>
          <t>4.2%</t>
        </is>
      </c>
      <c r="G347" s="17" t="inlineStr">
        <is>
          <t>1.10 (표준)</t>
        </is>
      </c>
      <c r="H347" s="18" t="inlineStr">
        <is>
          <t>팀 내 OPS 단계 핵심 인력. 스쿼드당 1~2명 필수.</t>
        </is>
      </c>
    </row>
    <row r="348">
      <c r="A348" s="16" t="inlineStr">
        <is>
          <t>모빌리티 / 자율주행 / 로보틱스</t>
        </is>
      </c>
      <c r="B348" s="15" t="inlineStr">
        <is>
          <t>OPS</t>
        </is>
      </c>
      <c r="C348" s="15" t="inlineStr">
        <is>
          <t>7514</t>
        </is>
      </c>
      <c r="D348" s="16" t="inlineStr">
        <is>
          <t>Fruit, Vegetable and Related Preservers</t>
        </is>
      </c>
      <c r="E348" s="15" t="inlineStr">
        <is>
          <t>Junior (1~3년)</t>
        </is>
      </c>
      <c r="F348" s="20" t="inlineStr">
        <is>
          <t>4.2%</t>
        </is>
      </c>
      <c r="G348" s="15" t="inlineStr">
        <is>
          <t>1.15 (과대 편중)</t>
        </is>
      </c>
      <c r="H348" s="16" t="inlineStr">
        <is>
          <t>팀 내 OPS 단계 핵심 인력. 스쿼드당 1~2명 필수.</t>
        </is>
      </c>
    </row>
    <row r="349">
      <c r="A349" s="18" t="inlineStr">
        <is>
          <t>모빌리티 / 자율주행 / 로보틱스</t>
        </is>
      </c>
      <c r="B349" s="17" t="inlineStr">
        <is>
          <t>OPS</t>
        </is>
      </c>
      <c r="C349" s="17" t="inlineStr">
        <is>
          <t>7515</t>
        </is>
      </c>
      <c r="D349" s="18" t="inlineStr">
        <is>
          <t>Food and Beverage Tasters and Graders</t>
        </is>
      </c>
      <c r="E349" s="17" t="inlineStr">
        <is>
          <t>Junior (1~3년)</t>
        </is>
      </c>
      <c r="F349" s="21" t="inlineStr">
        <is>
          <t>4.2%</t>
        </is>
      </c>
      <c r="G349" s="17" t="inlineStr">
        <is>
          <t>0.95 (표준)</t>
        </is>
      </c>
      <c r="H349" s="18" t="inlineStr">
        <is>
          <t>팀 내 OPS 단계 핵심 인력. 스쿼드당 1~2명 필수.</t>
        </is>
      </c>
    </row>
    <row r="350">
      <c r="A350" s="16" t="inlineStr">
        <is>
          <t>모빌리티 / 자율주행 / 로보틱스</t>
        </is>
      </c>
      <c r="B350" s="15" t="inlineStr">
        <is>
          <t>OPS</t>
        </is>
      </c>
      <c r="C350" s="15" t="inlineStr">
        <is>
          <t>7516</t>
        </is>
      </c>
      <c r="D350" s="16" t="inlineStr">
        <is>
          <t>Tobacco Preparers and Tobacco Products Makers</t>
        </is>
      </c>
      <c r="E350" s="15" t="inlineStr">
        <is>
          <t>Junior (1~3년)</t>
        </is>
      </c>
      <c r="F350" s="20" t="inlineStr">
        <is>
          <t>4.2%</t>
        </is>
      </c>
      <c r="G350" s="15" t="inlineStr">
        <is>
          <t>1.00 (표준)</t>
        </is>
      </c>
      <c r="H350" s="16" t="inlineStr">
        <is>
          <t>팀 내 OPS 단계 핵심 인력. 스쿼드당 1~2명 필수.</t>
        </is>
      </c>
    </row>
    <row r="351">
      <c r="A351" s="18" t="inlineStr">
        <is>
          <t>모빌리티 / 자율주행 / 로보틱스</t>
        </is>
      </c>
      <c r="B351" s="17" t="inlineStr">
        <is>
          <t>OPS</t>
        </is>
      </c>
      <c r="C351" s="17" t="inlineStr">
        <is>
          <t>7521</t>
        </is>
      </c>
      <c r="D351" s="18" t="inlineStr">
        <is>
          <t>Wood Treaters</t>
        </is>
      </c>
      <c r="E351" s="17" t="inlineStr">
        <is>
          <t>Junior (1~3년)</t>
        </is>
      </c>
      <c r="F351" s="21" t="inlineStr">
        <is>
          <t>4.2%</t>
        </is>
      </c>
      <c r="G351" s="17" t="inlineStr">
        <is>
          <t>1.00 (표준)</t>
        </is>
      </c>
      <c r="H351" s="18" t="inlineStr">
        <is>
          <t>팀 내 OPS 단계 핵심 인력. 스쿼드당 1~2명 필수.</t>
        </is>
      </c>
    </row>
    <row r="352">
      <c r="A352" s="16" t="inlineStr">
        <is>
          <t>모빌리티 / 자율주행 / 로보틱스</t>
        </is>
      </c>
      <c r="B352" s="15" t="inlineStr">
        <is>
          <t>OPS</t>
        </is>
      </c>
      <c r="C352" s="15" t="inlineStr">
        <is>
          <t>7522</t>
        </is>
      </c>
      <c r="D352" s="16" t="inlineStr">
        <is>
          <t>Cabinet-makers and Related Workers</t>
        </is>
      </c>
      <c r="E352" s="15" t="inlineStr">
        <is>
          <t>Junior (1~3년)</t>
        </is>
      </c>
      <c r="F352" s="20" t="inlineStr">
        <is>
          <t>4.2%</t>
        </is>
      </c>
      <c r="G352" s="15" t="inlineStr">
        <is>
          <t>1.05 (표준)</t>
        </is>
      </c>
      <c r="H352" s="16" t="inlineStr">
        <is>
          <t>팀 내 OPS 단계 핵심 인력. 스쿼드당 1~2명 필수.</t>
        </is>
      </c>
    </row>
    <row r="353">
      <c r="A353" s="18" t="inlineStr">
        <is>
          <t>모빌리티 / 자율주행 / 로보틱스</t>
        </is>
      </c>
      <c r="B353" s="17" t="inlineStr">
        <is>
          <t>OPS</t>
        </is>
      </c>
      <c r="C353" s="17" t="inlineStr">
        <is>
          <t>7523</t>
        </is>
      </c>
      <c r="D353" s="18" t="inlineStr">
        <is>
          <t>Woodworking Machine Tool Setters and Operators</t>
        </is>
      </c>
      <c r="E353" s="17" t="inlineStr">
        <is>
          <t>Junior (1~3년)</t>
        </is>
      </c>
      <c r="F353" s="21" t="inlineStr">
        <is>
          <t>4.2%</t>
        </is>
      </c>
      <c r="G353" s="17" t="inlineStr">
        <is>
          <t>1.10 (표준)</t>
        </is>
      </c>
      <c r="H353" s="18" t="inlineStr">
        <is>
          <t>팀 내 OPS 단계 핵심 인력. 스쿼드당 1~2명 필수.</t>
        </is>
      </c>
    </row>
    <row r="354">
      <c r="A354" s="16" t="inlineStr">
        <is>
          <t>모빌리티 / 자율주행 / 로보틱스</t>
        </is>
      </c>
      <c r="B354" s="15" t="inlineStr">
        <is>
          <t>OPS</t>
        </is>
      </c>
      <c r="C354" s="15" t="inlineStr">
        <is>
          <t>7531</t>
        </is>
      </c>
      <c r="D354" s="16" t="inlineStr">
        <is>
          <t>Tailors, Dressmakers, Furriers and Hatters</t>
        </is>
      </c>
      <c r="E354" s="15" t="inlineStr">
        <is>
          <t>Junior (1~3년)</t>
        </is>
      </c>
      <c r="F354" s="20" t="inlineStr">
        <is>
          <t>4.2%</t>
        </is>
      </c>
      <c r="G354" s="15" t="inlineStr">
        <is>
          <t>1.00 (표준)</t>
        </is>
      </c>
      <c r="H354" s="16" t="inlineStr">
        <is>
          <t>팀 내 OPS 단계 핵심 인력. 스쿼드당 1~2명 필수.</t>
        </is>
      </c>
    </row>
    <row r="355">
      <c r="A355" s="18" t="inlineStr">
        <is>
          <t>모빌리티 / 자율주행 / 로보틱스</t>
        </is>
      </c>
      <c r="B355" s="17" t="inlineStr">
        <is>
          <t>OPS</t>
        </is>
      </c>
      <c r="C355" s="17" t="inlineStr">
        <is>
          <t>7532</t>
        </is>
      </c>
      <c r="D355" s="18" t="inlineStr">
        <is>
          <t>Garment and Related Patternmakers and Cutters</t>
        </is>
      </c>
      <c r="E355" s="17" t="inlineStr">
        <is>
          <t>Junior (1~3년)</t>
        </is>
      </c>
      <c r="F355" s="21" t="inlineStr">
        <is>
          <t>4.2%</t>
        </is>
      </c>
      <c r="G355" s="17" t="inlineStr">
        <is>
          <t>1.05 (표준)</t>
        </is>
      </c>
      <c r="H355" s="18" t="inlineStr">
        <is>
          <t>팀 내 OPS 단계 핵심 인력. 스쿼드당 1~2명 필수.</t>
        </is>
      </c>
    </row>
    <row r="356">
      <c r="A356" s="16" t="inlineStr">
        <is>
          <t>모빌리티 / 자율주행 / 로보틱스</t>
        </is>
      </c>
      <c r="B356" s="15" t="inlineStr">
        <is>
          <t>OPS</t>
        </is>
      </c>
      <c r="C356" s="15" t="inlineStr">
        <is>
          <t>7533</t>
        </is>
      </c>
      <c r="D356" s="16" t="inlineStr">
        <is>
          <t>Sewing, Embroidery and Related Workers</t>
        </is>
      </c>
      <c r="E356" s="15" t="inlineStr">
        <is>
          <t>Junior (1~3년)</t>
        </is>
      </c>
      <c r="F356" s="20" t="inlineStr">
        <is>
          <t>4.2%</t>
        </is>
      </c>
      <c r="G356" s="15" t="inlineStr">
        <is>
          <t>1.10 (표준)</t>
        </is>
      </c>
      <c r="H356" s="16" t="inlineStr">
        <is>
          <t>팀 내 OPS 단계 핵심 인력. 스쿼드당 1~2명 필수.</t>
        </is>
      </c>
    </row>
    <row r="357">
      <c r="A357" s="18" t="inlineStr">
        <is>
          <t>모빌리티 / 자율주행 / 로보틱스</t>
        </is>
      </c>
      <c r="B357" s="17" t="inlineStr">
        <is>
          <t>OPS</t>
        </is>
      </c>
      <c r="C357" s="17" t="inlineStr">
        <is>
          <t>7534</t>
        </is>
      </c>
      <c r="D357" s="18" t="inlineStr">
        <is>
          <t>Upholsterers and Related Workers</t>
        </is>
      </c>
      <c r="E357" s="17" t="inlineStr">
        <is>
          <t>Junior (1~3년)</t>
        </is>
      </c>
      <c r="F357" s="21" t="inlineStr">
        <is>
          <t>4.2%</t>
        </is>
      </c>
      <c r="G357" s="17" t="inlineStr">
        <is>
          <t>1.15 (과대 편중)</t>
        </is>
      </c>
      <c r="H357" s="18" t="inlineStr">
        <is>
          <t>팀 내 OPS 단계 핵심 인력. 스쿼드당 1~2명 필수.</t>
        </is>
      </c>
    </row>
    <row r="358">
      <c r="A358" s="16" t="inlineStr">
        <is>
          <t>모빌리티 / 자율주행 / 로보틱스</t>
        </is>
      </c>
      <c r="B358" s="15" t="inlineStr">
        <is>
          <t>OPS</t>
        </is>
      </c>
      <c r="C358" s="15" t="inlineStr">
        <is>
          <t>7535</t>
        </is>
      </c>
      <c r="D358" s="16" t="inlineStr">
        <is>
          <t>Pelt Dressers, Tanners and Fellmongers</t>
        </is>
      </c>
      <c r="E358" s="15" t="inlineStr">
        <is>
          <t>Junior (1~3년)</t>
        </is>
      </c>
      <c r="F358" s="20" t="inlineStr">
        <is>
          <t>4.2%</t>
        </is>
      </c>
      <c r="G358" s="15" t="inlineStr">
        <is>
          <t>0.95 (표준)</t>
        </is>
      </c>
      <c r="H358" s="16" t="inlineStr">
        <is>
          <t>팀 내 OPS 단계 핵심 인력. 스쿼드당 1~2명 필수.</t>
        </is>
      </c>
    </row>
    <row r="359">
      <c r="A359" s="18" t="inlineStr">
        <is>
          <t>모빌리티 / 자율주행 / 로보틱스</t>
        </is>
      </c>
      <c r="B359" s="17" t="inlineStr">
        <is>
          <t>OPS</t>
        </is>
      </c>
      <c r="C359" s="17" t="inlineStr">
        <is>
          <t>7536</t>
        </is>
      </c>
      <c r="D359" s="18" t="inlineStr">
        <is>
          <t>Shoemakers and Related Workers</t>
        </is>
      </c>
      <c r="E359" s="17" t="inlineStr">
        <is>
          <t>Junior (1~3년)</t>
        </is>
      </c>
      <c r="F359" s="21" t="inlineStr">
        <is>
          <t>4.2%</t>
        </is>
      </c>
      <c r="G359" s="17" t="inlineStr">
        <is>
          <t>1.00 (표준)</t>
        </is>
      </c>
      <c r="H359" s="18" t="inlineStr">
        <is>
          <t>팀 내 OPS 단계 핵심 인력. 스쿼드당 1~2명 필수.</t>
        </is>
      </c>
    </row>
    <row r="360">
      <c r="A360" s="16" t="inlineStr">
        <is>
          <t>모빌리티 / 자율주행 / 로보틱스</t>
        </is>
      </c>
      <c r="B360" s="15" t="inlineStr">
        <is>
          <t>OPS</t>
        </is>
      </c>
      <c r="C360" s="15" t="inlineStr">
        <is>
          <t>7541</t>
        </is>
      </c>
      <c r="D360" s="16" t="inlineStr">
        <is>
          <t>Underwater Divers</t>
        </is>
      </c>
      <c r="E360" s="15" t="inlineStr">
        <is>
          <t>Junior (1~3년)</t>
        </is>
      </c>
      <c r="F360" s="20" t="inlineStr">
        <is>
          <t>4.2%</t>
        </is>
      </c>
      <c r="G360" s="15" t="inlineStr">
        <is>
          <t>1.00 (표준)</t>
        </is>
      </c>
      <c r="H360" s="16" t="inlineStr">
        <is>
          <t>팀 내 OPS 단계 핵심 인력. 스쿼드당 1~2명 필수.</t>
        </is>
      </c>
    </row>
    <row r="361">
      <c r="A361" s="18" t="inlineStr">
        <is>
          <t>모빌리티 / 자율주행 / 로보틱스</t>
        </is>
      </c>
      <c r="B361" s="17" t="inlineStr">
        <is>
          <t>OPS</t>
        </is>
      </c>
      <c r="C361" s="17" t="inlineStr">
        <is>
          <t>7542</t>
        </is>
      </c>
      <c r="D361" s="18" t="inlineStr">
        <is>
          <t>Shotfirers and Blasters</t>
        </is>
      </c>
      <c r="E361" s="17" t="inlineStr">
        <is>
          <t>Junior (1~3년)</t>
        </is>
      </c>
      <c r="F361" s="21" t="inlineStr">
        <is>
          <t>4.2%</t>
        </is>
      </c>
      <c r="G361" s="17" t="inlineStr">
        <is>
          <t>1.05 (표준)</t>
        </is>
      </c>
      <c r="H361" s="18" t="inlineStr">
        <is>
          <t>팀 내 OPS 단계 핵심 인력. 스쿼드당 1~2명 필수.</t>
        </is>
      </c>
    </row>
    <row r="362">
      <c r="A362" s="16" t="inlineStr">
        <is>
          <t>모빌리티 / 자율주행 / 로보틱스</t>
        </is>
      </c>
      <c r="B362" s="15" t="inlineStr">
        <is>
          <t>OPS</t>
        </is>
      </c>
      <c r="C362" s="15" t="inlineStr">
        <is>
          <t>7543</t>
        </is>
      </c>
      <c r="D362" s="16" t="inlineStr">
        <is>
          <t>Product Graders and Testers (except Foods and Beverages)</t>
        </is>
      </c>
      <c r="E362" s="15" t="inlineStr">
        <is>
          <t>Junior (1~3년)</t>
        </is>
      </c>
      <c r="F362" s="20" t="inlineStr">
        <is>
          <t>4.2%</t>
        </is>
      </c>
      <c r="G362" s="15" t="inlineStr">
        <is>
          <t>1.10 (표준)</t>
        </is>
      </c>
      <c r="H362" s="16" t="inlineStr">
        <is>
          <t>팀 내 OPS 단계 핵심 인력. 스쿼드당 1~2명 필수.</t>
        </is>
      </c>
    </row>
    <row r="363">
      <c r="A363" s="18" t="inlineStr">
        <is>
          <t>모빌리티 / 자율주행 / 로보틱스</t>
        </is>
      </c>
      <c r="B363" s="17" t="inlineStr">
        <is>
          <t>OPS</t>
        </is>
      </c>
      <c r="C363" s="17" t="inlineStr">
        <is>
          <t>7544</t>
        </is>
      </c>
      <c r="D363" s="18" t="inlineStr">
        <is>
          <t>Fumigators and Other Pest and Weed Controllers</t>
        </is>
      </c>
      <c r="E363" s="17" t="inlineStr">
        <is>
          <t>Junior (1~3년)</t>
        </is>
      </c>
      <c r="F363" s="21" t="inlineStr">
        <is>
          <t>4.2%</t>
        </is>
      </c>
      <c r="G363" s="17" t="inlineStr">
        <is>
          <t>1.15 (과대 편중)</t>
        </is>
      </c>
      <c r="H363" s="18" t="inlineStr">
        <is>
          <t>팀 내 OPS 단계 핵심 인력. 스쿼드당 1~2명 필수.</t>
        </is>
      </c>
    </row>
    <row r="364">
      <c r="A364" s="16" t="inlineStr">
        <is>
          <t>모빌리티 / 자율주행 / 로보틱스</t>
        </is>
      </c>
      <c r="B364" s="15" t="inlineStr">
        <is>
          <t>OPS</t>
        </is>
      </c>
      <c r="C364" s="15" t="inlineStr">
        <is>
          <t>7549</t>
        </is>
      </c>
      <c r="D364" s="16" t="inlineStr">
        <is>
          <t>Craft and Related Workers not Elsewhere Classified</t>
        </is>
      </c>
      <c r="E364" s="15" t="inlineStr">
        <is>
          <t>Junior (1~3년)</t>
        </is>
      </c>
      <c r="F364" s="20" t="inlineStr">
        <is>
          <t>4.2%</t>
        </is>
      </c>
      <c r="G364" s="15" t="inlineStr">
        <is>
          <t>1.15 (과대 편중)</t>
        </is>
      </c>
      <c r="H364" s="16" t="inlineStr">
        <is>
          <t>팀 내 OPS 단계 핵심 인력. 스쿼드당 1~2명 필수.</t>
        </is>
      </c>
    </row>
    <row r="365">
      <c r="A365" s="18" t="inlineStr">
        <is>
          <t>배터리 / 신소재 / 에너지</t>
        </is>
      </c>
      <c r="B365" s="17" t="inlineStr">
        <is>
          <t>OPS</t>
        </is>
      </c>
      <c r="C365" s="17" t="inlineStr">
        <is>
          <t>8111</t>
        </is>
      </c>
      <c r="D365" s="18" t="inlineStr">
        <is>
          <t>Miners and Quarriers</t>
        </is>
      </c>
      <c r="E365" s="17" t="inlineStr">
        <is>
          <t>Junior (1~3년)</t>
        </is>
      </c>
      <c r="F365" s="21" t="inlineStr">
        <is>
          <t>4.2%</t>
        </is>
      </c>
      <c r="G365" s="17" t="inlineStr">
        <is>
          <t>1.00 (표준)</t>
        </is>
      </c>
      <c r="H365" s="18" t="inlineStr">
        <is>
          <t>팀 내 OPS 단계 핵심 인력. 스쿼드당 1~2명 필수.</t>
        </is>
      </c>
    </row>
    <row r="366">
      <c r="A366" s="16" t="inlineStr">
        <is>
          <t>배터리 / 신소재 / 에너지</t>
        </is>
      </c>
      <c r="B366" s="15" t="inlineStr">
        <is>
          <t>OPS</t>
        </is>
      </c>
      <c r="C366" s="15" t="inlineStr">
        <is>
          <t>8112</t>
        </is>
      </c>
      <c r="D366" s="16" t="inlineStr">
        <is>
          <t>Mineral and Stone Processing Plant Operators</t>
        </is>
      </c>
      <c r="E366" s="15" t="inlineStr">
        <is>
          <t>Junior (1~3년)</t>
        </is>
      </c>
      <c r="F366" s="20" t="inlineStr">
        <is>
          <t>4.2%</t>
        </is>
      </c>
      <c r="G366" s="15" t="inlineStr">
        <is>
          <t>1.05 (표준)</t>
        </is>
      </c>
      <c r="H366" s="16" t="inlineStr">
        <is>
          <t>팀 내 OPS 단계 핵심 인력. 스쿼드당 1~2명 필수.</t>
        </is>
      </c>
    </row>
    <row r="367">
      <c r="A367" s="18" t="inlineStr">
        <is>
          <t>배터리 / 신소재 / 에너지</t>
        </is>
      </c>
      <c r="B367" s="17" t="inlineStr">
        <is>
          <t>OPS</t>
        </is>
      </c>
      <c r="C367" s="17" t="inlineStr">
        <is>
          <t>8113</t>
        </is>
      </c>
      <c r="D367" s="18" t="inlineStr">
        <is>
          <t>Well Drillers and Borers and Related Workers</t>
        </is>
      </c>
      <c r="E367" s="17" t="inlineStr">
        <is>
          <t>Junior (1~3년)</t>
        </is>
      </c>
      <c r="F367" s="21" t="inlineStr">
        <is>
          <t>4.2%</t>
        </is>
      </c>
      <c r="G367" s="17" t="inlineStr">
        <is>
          <t>1.10 (표준)</t>
        </is>
      </c>
      <c r="H367" s="18" t="inlineStr">
        <is>
          <t>팀 내 OPS 단계 핵심 인력. 스쿼드당 1~2명 필수.</t>
        </is>
      </c>
    </row>
    <row r="368">
      <c r="A368" s="16" t="inlineStr">
        <is>
          <t>배터리 / 신소재 / 에너지</t>
        </is>
      </c>
      <c r="B368" s="15" t="inlineStr">
        <is>
          <t>OPS</t>
        </is>
      </c>
      <c r="C368" s="15" t="inlineStr">
        <is>
          <t>8114</t>
        </is>
      </c>
      <c r="D368" s="16" t="inlineStr">
        <is>
          <t>Cement, Stone and Other Mineral Products Machine Operators</t>
        </is>
      </c>
      <c r="E368" s="15" t="inlineStr">
        <is>
          <t>Junior (1~3년)</t>
        </is>
      </c>
      <c r="F368" s="20" t="inlineStr">
        <is>
          <t>4.2%</t>
        </is>
      </c>
      <c r="G368" s="15" t="inlineStr">
        <is>
          <t>1.15 (과대 편중)</t>
        </is>
      </c>
      <c r="H368" s="16" t="inlineStr">
        <is>
          <t>팀 내 OPS 단계 핵심 인력. 스쿼드당 1~2명 필수.</t>
        </is>
      </c>
    </row>
    <row r="369">
      <c r="A369" s="18" t="inlineStr">
        <is>
          <t>배터리 / 신소재 / 에너지</t>
        </is>
      </c>
      <c r="B369" s="17" t="inlineStr">
        <is>
          <t>OPS</t>
        </is>
      </c>
      <c r="C369" s="17" t="inlineStr">
        <is>
          <t>8121</t>
        </is>
      </c>
      <c r="D369" s="18" t="inlineStr">
        <is>
          <t>Metal Processing Plant Operators</t>
        </is>
      </c>
      <c r="E369" s="17" t="inlineStr">
        <is>
          <t>Junior (1~3년)</t>
        </is>
      </c>
      <c r="F369" s="21" t="inlineStr">
        <is>
          <t>4.2%</t>
        </is>
      </c>
      <c r="G369" s="17" t="inlineStr">
        <is>
          <t>1.00 (표준)</t>
        </is>
      </c>
      <c r="H369" s="18" t="inlineStr">
        <is>
          <t>팀 내 OPS 단계 핵심 인력. 스쿼드당 1~2명 필수.</t>
        </is>
      </c>
    </row>
    <row r="370">
      <c r="A370" s="16" t="inlineStr">
        <is>
          <t>배터리 / 신소재 / 에너지</t>
        </is>
      </c>
      <c r="B370" s="15" t="inlineStr">
        <is>
          <t>OPS</t>
        </is>
      </c>
      <c r="C370" s="15" t="inlineStr">
        <is>
          <t>8122</t>
        </is>
      </c>
      <c r="D370" s="16" t="inlineStr">
        <is>
          <t>Metal Finishing, Plating and Coating Machine Operators</t>
        </is>
      </c>
      <c r="E370" s="15" t="inlineStr">
        <is>
          <t>Junior (1~3년)</t>
        </is>
      </c>
      <c r="F370" s="20" t="inlineStr">
        <is>
          <t>4.2%</t>
        </is>
      </c>
      <c r="G370" s="15" t="inlineStr">
        <is>
          <t>1.05 (표준)</t>
        </is>
      </c>
      <c r="H370" s="16" t="inlineStr">
        <is>
          <t>팀 내 OPS 단계 핵심 인력. 스쿼드당 1~2명 필수.</t>
        </is>
      </c>
    </row>
    <row r="371">
      <c r="A371" s="18" t="inlineStr">
        <is>
          <t>배터리 / 신소재 / 에너지</t>
        </is>
      </c>
      <c r="B371" s="17" t="inlineStr">
        <is>
          <t>OPS</t>
        </is>
      </c>
      <c r="C371" s="17" t="inlineStr">
        <is>
          <t>8131</t>
        </is>
      </c>
      <c r="D371" s="18" t="inlineStr">
        <is>
          <t>Chemical Products Plant and Machine Operators</t>
        </is>
      </c>
      <c r="E371" s="17" t="inlineStr">
        <is>
          <t>Junior (1~3년)</t>
        </is>
      </c>
      <c r="F371" s="21" t="inlineStr">
        <is>
          <t>4.2%</t>
        </is>
      </c>
      <c r="G371" s="17" t="inlineStr">
        <is>
          <t>1.00 (표준)</t>
        </is>
      </c>
      <c r="H371" s="18" t="inlineStr">
        <is>
          <t>팀 내 OPS 단계 핵심 인력. 스쿼드당 1~2명 필수.</t>
        </is>
      </c>
    </row>
    <row r="372">
      <c r="A372" s="16" t="inlineStr">
        <is>
          <t>배터리 / 신소재 / 에너지</t>
        </is>
      </c>
      <c r="B372" s="15" t="inlineStr">
        <is>
          <t>OPS</t>
        </is>
      </c>
      <c r="C372" s="15" t="inlineStr">
        <is>
          <t>8132</t>
        </is>
      </c>
      <c r="D372" s="16" t="inlineStr">
        <is>
          <t>Photographic Products Machine Operators</t>
        </is>
      </c>
      <c r="E372" s="15" t="inlineStr">
        <is>
          <t>Junior (1~3년)</t>
        </is>
      </c>
      <c r="F372" s="20" t="inlineStr">
        <is>
          <t>4.2%</t>
        </is>
      </c>
      <c r="G372" s="15" t="inlineStr">
        <is>
          <t>1.05 (표준)</t>
        </is>
      </c>
      <c r="H372" s="16" t="inlineStr">
        <is>
          <t>팀 내 OPS 단계 핵심 인력. 스쿼드당 1~2명 필수.</t>
        </is>
      </c>
    </row>
    <row r="373">
      <c r="A373" s="18" t="inlineStr">
        <is>
          <t>배터리 / 신소재 / 에너지</t>
        </is>
      </c>
      <c r="B373" s="17" t="inlineStr">
        <is>
          <t>OPS</t>
        </is>
      </c>
      <c r="C373" s="17" t="inlineStr">
        <is>
          <t>8141</t>
        </is>
      </c>
      <c r="D373" s="18" t="inlineStr">
        <is>
          <t>Rubber Products Machine Operators</t>
        </is>
      </c>
      <c r="E373" s="17" t="inlineStr">
        <is>
          <t>Junior (1~3년)</t>
        </is>
      </c>
      <c r="F373" s="21" t="inlineStr">
        <is>
          <t>4.2%</t>
        </is>
      </c>
      <c r="G373" s="17" t="inlineStr">
        <is>
          <t>1.00 (표준)</t>
        </is>
      </c>
      <c r="H373" s="18" t="inlineStr">
        <is>
          <t>팀 내 OPS 단계 핵심 인력. 스쿼드당 1~2명 필수.</t>
        </is>
      </c>
    </row>
    <row r="374">
      <c r="A374" s="16" t="inlineStr">
        <is>
          <t>배터리 / 신소재 / 에너지</t>
        </is>
      </c>
      <c r="B374" s="15" t="inlineStr">
        <is>
          <t>OPS</t>
        </is>
      </c>
      <c r="C374" s="15" t="inlineStr">
        <is>
          <t>8142</t>
        </is>
      </c>
      <c r="D374" s="16" t="inlineStr">
        <is>
          <t>Plastic Products Machine Operators</t>
        </is>
      </c>
      <c r="E374" s="15" t="inlineStr">
        <is>
          <t>Junior (1~3년)</t>
        </is>
      </c>
      <c r="F374" s="20" t="inlineStr">
        <is>
          <t>4.2%</t>
        </is>
      </c>
      <c r="G374" s="15" t="inlineStr">
        <is>
          <t>1.05 (표준)</t>
        </is>
      </c>
      <c r="H374" s="16" t="inlineStr">
        <is>
          <t>팀 내 OPS 단계 핵심 인력. 스쿼드당 1~2명 필수.</t>
        </is>
      </c>
    </row>
    <row r="375">
      <c r="A375" s="18" t="inlineStr">
        <is>
          <t>배터리 / 신소재 / 에너지</t>
        </is>
      </c>
      <c r="B375" s="17" t="inlineStr">
        <is>
          <t>OPS</t>
        </is>
      </c>
      <c r="C375" s="17" t="inlineStr">
        <is>
          <t>8143</t>
        </is>
      </c>
      <c r="D375" s="18" t="inlineStr">
        <is>
          <t>Paper Products Machine Operators</t>
        </is>
      </c>
      <c r="E375" s="17" t="inlineStr">
        <is>
          <t>Junior (1~3년)</t>
        </is>
      </c>
      <c r="F375" s="21" t="inlineStr">
        <is>
          <t>4.2%</t>
        </is>
      </c>
      <c r="G375" s="17" t="inlineStr">
        <is>
          <t>1.10 (표준)</t>
        </is>
      </c>
      <c r="H375" s="18" t="inlineStr">
        <is>
          <t>팀 내 OPS 단계 핵심 인력. 스쿼드당 1~2명 필수.</t>
        </is>
      </c>
    </row>
    <row r="376">
      <c r="A376" s="16" t="inlineStr">
        <is>
          <t>배터리 / 신소재 / 에너지</t>
        </is>
      </c>
      <c r="B376" s="15" t="inlineStr">
        <is>
          <t>OPS</t>
        </is>
      </c>
      <c r="C376" s="15" t="inlineStr">
        <is>
          <t>8151</t>
        </is>
      </c>
      <c r="D376" s="16" t="inlineStr">
        <is>
          <t>Fibre Preparing, Spinning and Winding Machine Operators</t>
        </is>
      </c>
      <c r="E376" s="15" t="inlineStr">
        <is>
          <t>Junior (1~3년)</t>
        </is>
      </c>
      <c r="F376" s="20" t="inlineStr">
        <is>
          <t>4.2%</t>
        </is>
      </c>
      <c r="G376" s="15" t="inlineStr">
        <is>
          <t>1.00 (표준)</t>
        </is>
      </c>
      <c r="H376" s="16" t="inlineStr">
        <is>
          <t>팀 내 OPS 단계 핵심 인력. 스쿼드당 1~2명 필수.</t>
        </is>
      </c>
    </row>
    <row r="377">
      <c r="A377" s="18" t="inlineStr">
        <is>
          <t>배터리 / 신소재 / 에너지</t>
        </is>
      </c>
      <c r="B377" s="17" t="inlineStr">
        <is>
          <t>OPS</t>
        </is>
      </c>
      <c r="C377" s="17" t="inlineStr">
        <is>
          <t>8152</t>
        </is>
      </c>
      <c r="D377" s="18" t="inlineStr">
        <is>
          <t>Weaving and Knitting Machine Operators</t>
        </is>
      </c>
      <c r="E377" s="17" t="inlineStr">
        <is>
          <t>Junior (1~3년)</t>
        </is>
      </c>
      <c r="F377" s="21" t="inlineStr">
        <is>
          <t>4.2%</t>
        </is>
      </c>
      <c r="G377" s="17" t="inlineStr">
        <is>
          <t>1.05 (표준)</t>
        </is>
      </c>
      <c r="H377" s="18" t="inlineStr">
        <is>
          <t>팀 내 OPS 단계 핵심 인력. 스쿼드당 1~2명 필수.</t>
        </is>
      </c>
    </row>
    <row r="378">
      <c r="A378" s="16" t="inlineStr">
        <is>
          <t>배터리 / 신소재 / 에너지</t>
        </is>
      </c>
      <c r="B378" s="15" t="inlineStr">
        <is>
          <t>OPS</t>
        </is>
      </c>
      <c r="C378" s="15" t="inlineStr">
        <is>
          <t>8153</t>
        </is>
      </c>
      <c r="D378" s="16" t="inlineStr">
        <is>
          <t>Sewing Machine Operators</t>
        </is>
      </c>
      <c r="E378" s="15" t="inlineStr">
        <is>
          <t>Junior (1~3년)</t>
        </is>
      </c>
      <c r="F378" s="20" t="inlineStr">
        <is>
          <t>4.2%</t>
        </is>
      </c>
      <c r="G378" s="15" t="inlineStr">
        <is>
          <t>1.10 (표준)</t>
        </is>
      </c>
      <c r="H378" s="16" t="inlineStr">
        <is>
          <t>팀 내 OPS 단계 핵심 인력. 스쿼드당 1~2명 필수.</t>
        </is>
      </c>
    </row>
    <row r="379">
      <c r="A379" s="18" t="inlineStr">
        <is>
          <t>배터리 / 신소재 / 에너지</t>
        </is>
      </c>
      <c r="B379" s="17" t="inlineStr">
        <is>
          <t>OPS</t>
        </is>
      </c>
      <c r="C379" s="17" t="inlineStr">
        <is>
          <t>8154</t>
        </is>
      </c>
      <c r="D379" s="18" t="inlineStr">
        <is>
          <t>Bleaching, Dyeing and Fabric Cleaning Machine Operators</t>
        </is>
      </c>
      <c r="E379" s="17" t="inlineStr">
        <is>
          <t>Junior (1~3년)</t>
        </is>
      </c>
      <c r="F379" s="21" t="inlineStr">
        <is>
          <t>4.2%</t>
        </is>
      </c>
      <c r="G379" s="17" t="inlineStr">
        <is>
          <t>1.15 (과대 편중)</t>
        </is>
      </c>
      <c r="H379" s="18" t="inlineStr">
        <is>
          <t>팀 내 OPS 단계 핵심 인력. 스쿼드당 1~2명 필수.</t>
        </is>
      </c>
    </row>
    <row r="380">
      <c r="A380" s="16" t="inlineStr">
        <is>
          <t>배터리 / 신소재 / 에너지</t>
        </is>
      </c>
      <c r="B380" s="15" t="inlineStr">
        <is>
          <t>OPS</t>
        </is>
      </c>
      <c r="C380" s="15" t="inlineStr">
        <is>
          <t>8155</t>
        </is>
      </c>
      <c r="D380" s="16" t="inlineStr">
        <is>
          <t>Fur and Leather Preparing Machine Operators</t>
        </is>
      </c>
      <c r="E380" s="15" t="inlineStr">
        <is>
          <t>Junior (1~3년)</t>
        </is>
      </c>
      <c r="F380" s="20" t="inlineStr">
        <is>
          <t>4.2%</t>
        </is>
      </c>
      <c r="G380" s="15" t="inlineStr">
        <is>
          <t>0.95 (표준)</t>
        </is>
      </c>
      <c r="H380" s="16" t="inlineStr">
        <is>
          <t>팀 내 OPS 단계 핵심 인력. 스쿼드당 1~2명 필수.</t>
        </is>
      </c>
    </row>
    <row r="381">
      <c r="A381" s="18" t="inlineStr">
        <is>
          <t>배터리 / 신소재 / 에너지</t>
        </is>
      </c>
      <c r="B381" s="17" t="inlineStr">
        <is>
          <t>OPS</t>
        </is>
      </c>
      <c r="C381" s="17" t="inlineStr">
        <is>
          <t>8156</t>
        </is>
      </c>
      <c r="D381" s="18" t="inlineStr">
        <is>
          <t>Shoemaking and Related Machine Operators</t>
        </is>
      </c>
      <c r="E381" s="17" t="inlineStr">
        <is>
          <t>Junior (1~3년)</t>
        </is>
      </c>
      <c r="F381" s="21" t="inlineStr">
        <is>
          <t>4.2%</t>
        </is>
      </c>
      <c r="G381" s="17" t="inlineStr">
        <is>
          <t>1.00 (표준)</t>
        </is>
      </c>
      <c r="H381" s="18" t="inlineStr">
        <is>
          <t>팀 내 OPS 단계 핵심 인력. 스쿼드당 1~2명 필수.</t>
        </is>
      </c>
    </row>
    <row r="382">
      <c r="A382" s="16" t="inlineStr">
        <is>
          <t>배터리 / 신소재 / 에너지</t>
        </is>
      </c>
      <c r="B382" s="15" t="inlineStr">
        <is>
          <t>OPS</t>
        </is>
      </c>
      <c r="C382" s="15" t="inlineStr">
        <is>
          <t>8157</t>
        </is>
      </c>
      <c r="D382" s="16" t="inlineStr">
        <is>
          <t>Laundry Machine Operators</t>
        </is>
      </c>
      <c r="E382" s="15" t="inlineStr">
        <is>
          <t>Junior (1~3년)</t>
        </is>
      </c>
      <c r="F382" s="20" t="inlineStr">
        <is>
          <t>4.2%</t>
        </is>
      </c>
      <c r="G382" s="15" t="inlineStr">
        <is>
          <t>1.05 (표준)</t>
        </is>
      </c>
      <c r="H382" s="16" t="inlineStr">
        <is>
          <t>팀 내 OPS 단계 핵심 인력. 스쿼드당 1~2명 필수.</t>
        </is>
      </c>
    </row>
    <row r="383">
      <c r="A383" s="18" t="inlineStr">
        <is>
          <t>배터리 / 신소재 / 에너지</t>
        </is>
      </c>
      <c r="B383" s="17" t="inlineStr">
        <is>
          <t>OPS</t>
        </is>
      </c>
      <c r="C383" s="17" t="inlineStr">
        <is>
          <t>8159</t>
        </is>
      </c>
      <c r="D383" s="18" t="inlineStr">
        <is>
          <t>Textile, Fur and Leather Products Machine Operators Not Elsewhere Classified</t>
        </is>
      </c>
      <c r="E383" s="17" t="inlineStr">
        <is>
          <t>Junior (1~3년)</t>
        </is>
      </c>
      <c r="F383" s="21" t="inlineStr">
        <is>
          <t>4.2%</t>
        </is>
      </c>
      <c r="G383" s="17" t="inlineStr">
        <is>
          <t>1.15 (과대 편중)</t>
        </is>
      </c>
      <c r="H383" s="18" t="inlineStr">
        <is>
          <t>팀 내 OPS 단계 핵심 인력. 스쿼드당 1~2명 필수.</t>
        </is>
      </c>
    </row>
    <row r="384">
      <c r="A384" s="16" t="inlineStr">
        <is>
          <t>배터리 / 신소재 / 에너지</t>
        </is>
      </c>
      <c r="B384" s="15" t="inlineStr">
        <is>
          <t>OPS</t>
        </is>
      </c>
      <c r="C384" s="15" t="inlineStr">
        <is>
          <t>8160</t>
        </is>
      </c>
      <c r="D384" s="16" t="inlineStr">
        <is>
          <t>Food and Related Products Machine Operators</t>
        </is>
      </c>
      <c r="E384" s="15" t="inlineStr">
        <is>
          <t>Junior (1~3년)</t>
        </is>
      </c>
      <c r="F384" s="20" t="inlineStr">
        <is>
          <t>4.2%</t>
        </is>
      </c>
      <c r="G384" s="15" t="inlineStr">
        <is>
          <t>0.95 (표준)</t>
        </is>
      </c>
      <c r="H384" s="16" t="inlineStr">
        <is>
          <t>팀 내 OPS 단계 핵심 인력. 스쿼드당 1~2명 필수.</t>
        </is>
      </c>
    </row>
    <row r="385">
      <c r="A385" s="18" t="inlineStr">
        <is>
          <t>배터리 / 신소재 / 에너지</t>
        </is>
      </c>
      <c r="B385" s="17" t="inlineStr">
        <is>
          <t>OPS</t>
        </is>
      </c>
      <c r="C385" s="17" t="inlineStr">
        <is>
          <t>8171</t>
        </is>
      </c>
      <c r="D385" s="18" t="inlineStr">
        <is>
          <t>Pulp and Papermaking Plant Operators</t>
        </is>
      </c>
      <c r="E385" s="17" t="inlineStr">
        <is>
          <t>Junior (1~3년)</t>
        </is>
      </c>
      <c r="F385" s="21" t="inlineStr">
        <is>
          <t>4.2%</t>
        </is>
      </c>
      <c r="G385" s="17" t="inlineStr">
        <is>
          <t>1.00 (표준)</t>
        </is>
      </c>
      <c r="H385" s="18" t="inlineStr">
        <is>
          <t>팀 내 OPS 단계 핵심 인력. 스쿼드당 1~2명 필수.</t>
        </is>
      </c>
    </row>
    <row r="386">
      <c r="A386" s="16" t="inlineStr">
        <is>
          <t>배터리 / 신소재 / 에너지</t>
        </is>
      </c>
      <c r="B386" s="15" t="inlineStr">
        <is>
          <t>OPS</t>
        </is>
      </c>
      <c r="C386" s="15" t="inlineStr">
        <is>
          <t>8172</t>
        </is>
      </c>
      <c r="D386" s="16" t="inlineStr">
        <is>
          <t>Wood Processing Plant Operators</t>
        </is>
      </c>
      <c r="E386" s="15" t="inlineStr">
        <is>
          <t>Junior (1~3년)</t>
        </is>
      </c>
      <c r="F386" s="20" t="inlineStr">
        <is>
          <t>4.2%</t>
        </is>
      </c>
      <c r="G386" s="15" t="inlineStr">
        <is>
          <t>1.05 (표준)</t>
        </is>
      </c>
      <c r="H386" s="16" t="inlineStr">
        <is>
          <t>팀 내 OPS 단계 핵심 인력. 스쿼드당 1~2명 필수.</t>
        </is>
      </c>
    </row>
    <row r="387">
      <c r="A387" s="18" t="inlineStr">
        <is>
          <t>배터리 / 신소재 / 에너지</t>
        </is>
      </c>
      <c r="B387" s="17" t="inlineStr">
        <is>
          <t>OPS</t>
        </is>
      </c>
      <c r="C387" s="17" t="inlineStr">
        <is>
          <t>8181</t>
        </is>
      </c>
      <c r="D387" s="18" t="inlineStr">
        <is>
          <t>Glass and Ceramics Plant Operators</t>
        </is>
      </c>
      <c r="E387" s="17" t="inlineStr">
        <is>
          <t>Junior (1~3년)</t>
        </is>
      </c>
      <c r="F387" s="21" t="inlineStr">
        <is>
          <t>4.2%</t>
        </is>
      </c>
      <c r="G387" s="17" t="inlineStr">
        <is>
          <t>1.00 (표준)</t>
        </is>
      </c>
      <c r="H387" s="18" t="inlineStr">
        <is>
          <t>팀 내 OPS 단계 핵심 인력. 스쿼드당 1~2명 필수.</t>
        </is>
      </c>
    </row>
    <row r="388">
      <c r="A388" s="16" t="inlineStr">
        <is>
          <t>배터리 / 신소재 / 에너지</t>
        </is>
      </c>
      <c r="B388" s="15" t="inlineStr">
        <is>
          <t>OPS</t>
        </is>
      </c>
      <c r="C388" s="15" t="inlineStr">
        <is>
          <t>8182</t>
        </is>
      </c>
      <c r="D388" s="16" t="inlineStr">
        <is>
          <t>Steam Engine and Boiler Operators</t>
        </is>
      </c>
      <c r="E388" s="15" t="inlineStr">
        <is>
          <t>Junior (1~3년)</t>
        </is>
      </c>
      <c r="F388" s="20" t="inlineStr">
        <is>
          <t>4.2%</t>
        </is>
      </c>
      <c r="G388" s="15" t="inlineStr">
        <is>
          <t>1.05 (표준)</t>
        </is>
      </c>
      <c r="H388" s="16" t="inlineStr">
        <is>
          <t>팀 내 OPS 단계 핵심 인력. 스쿼드당 1~2명 필수.</t>
        </is>
      </c>
    </row>
    <row r="389">
      <c r="A389" s="18" t="inlineStr">
        <is>
          <t>배터리 / 신소재 / 에너지</t>
        </is>
      </c>
      <c r="B389" s="17" t="inlineStr">
        <is>
          <t>OPS</t>
        </is>
      </c>
      <c r="C389" s="17" t="inlineStr">
        <is>
          <t>8183</t>
        </is>
      </c>
      <c r="D389" s="18" t="inlineStr">
        <is>
          <t>Packing, Bottling and Labelling Machine Operators</t>
        </is>
      </c>
      <c r="E389" s="17" t="inlineStr">
        <is>
          <t>Junior (1~3년)</t>
        </is>
      </c>
      <c r="F389" s="21" t="inlineStr">
        <is>
          <t>4.2%</t>
        </is>
      </c>
      <c r="G389" s="17" t="inlineStr">
        <is>
          <t>1.10 (표준)</t>
        </is>
      </c>
      <c r="H389" s="18" t="inlineStr">
        <is>
          <t>팀 내 OPS 단계 핵심 인력. 스쿼드당 1~2명 필수.</t>
        </is>
      </c>
    </row>
    <row r="390">
      <c r="A390" s="16" t="inlineStr">
        <is>
          <t>배터리 / 신소재 / 에너지</t>
        </is>
      </c>
      <c r="B390" s="15" t="inlineStr">
        <is>
          <t>OPS</t>
        </is>
      </c>
      <c r="C390" s="15" t="inlineStr">
        <is>
          <t>8189</t>
        </is>
      </c>
      <c r="D390" s="16" t="inlineStr">
        <is>
          <t>Stationary Plant and Machine Operators Not Elsewhere Classified</t>
        </is>
      </c>
      <c r="E390" s="15" t="inlineStr">
        <is>
          <t>Junior (1~3년)</t>
        </is>
      </c>
      <c r="F390" s="20" t="inlineStr">
        <is>
          <t>4.2%</t>
        </is>
      </c>
      <c r="G390" s="15" t="inlineStr">
        <is>
          <t>1.15 (과대 편중)</t>
        </is>
      </c>
      <c r="H390" s="16" t="inlineStr">
        <is>
          <t>팀 내 OPS 단계 핵심 인력. 스쿼드당 1~2명 필수.</t>
        </is>
      </c>
    </row>
    <row r="391">
      <c r="A391" s="18" t="inlineStr">
        <is>
          <t>배터리 / 신소재 / 에너지</t>
        </is>
      </c>
      <c r="B391" s="17" t="inlineStr">
        <is>
          <t>OPS</t>
        </is>
      </c>
      <c r="C391" s="17" t="inlineStr">
        <is>
          <t>8211</t>
        </is>
      </c>
      <c r="D391" s="18" t="inlineStr">
        <is>
          <t>Mechanical Machinery Assemblers</t>
        </is>
      </c>
      <c r="E391" s="17" t="inlineStr">
        <is>
          <t>Junior (1~3년)</t>
        </is>
      </c>
      <c r="F391" s="21" t="inlineStr">
        <is>
          <t>4.2%</t>
        </is>
      </c>
      <c r="G391" s="17" t="inlineStr">
        <is>
          <t>1.00 (표준)</t>
        </is>
      </c>
      <c r="H391" s="18" t="inlineStr">
        <is>
          <t>팀 내 OPS 단계 핵심 인력. 스쿼드당 1~2명 필수.</t>
        </is>
      </c>
    </row>
    <row r="392">
      <c r="A392" s="16" t="inlineStr">
        <is>
          <t>배터리 / 신소재 / 에너지</t>
        </is>
      </c>
      <c r="B392" s="15" t="inlineStr">
        <is>
          <t>OPS</t>
        </is>
      </c>
      <c r="C392" s="15" t="inlineStr">
        <is>
          <t>8212</t>
        </is>
      </c>
      <c r="D392" s="16" t="inlineStr">
        <is>
          <t>Electrical and Electronic Equipment Assemblers</t>
        </is>
      </c>
      <c r="E392" s="15" t="inlineStr">
        <is>
          <t>Junior (1~3년)</t>
        </is>
      </c>
      <c r="F392" s="20" t="inlineStr">
        <is>
          <t>4.2%</t>
        </is>
      </c>
      <c r="G392" s="15" t="inlineStr">
        <is>
          <t>1.05 (표준)</t>
        </is>
      </c>
      <c r="H392" s="16" t="inlineStr">
        <is>
          <t>팀 내 OPS 단계 핵심 인력. 스쿼드당 1~2명 필수.</t>
        </is>
      </c>
    </row>
    <row r="393">
      <c r="A393" s="18" t="inlineStr">
        <is>
          <t>배터리 / 신소재 / 에너지</t>
        </is>
      </c>
      <c r="B393" s="17" t="inlineStr">
        <is>
          <t>OPS</t>
        </is>
      </c>
      <c r="C393" s="17" t="inlineStr">
        <is>
          <t>8219</t>
        </is>
      </c>
      <c r="D393" s="18" t="inlineStr">
        <is>
          <t>Assemblers Not Elsewhere Classified</t>
        </is>
      </c>
      <c r="E393" s="17" t="inlineStr">
        <is>
          <t>Junior (1~3년)</t>
        </is>
      </c>
      <c r="F393" s="21" t="inlineStr">
        <is>
          <t>4.2%</t>
        </is>
      </c>
      <c r="G393" s="17" t="inlineStr">
        <is>
          <t>1.15 (과대 편중)</t>
        </is>
      </c>
      <c r="H393" s="18" t="inlineStr">
        <is>
          <t>팀 내 OPS 단계 핵심 인력. 스쿼드당 1~2명 필수.</t>
        </is>
      </c>
    </row>
    <row r="394">
      <c r="A394" s="16" t="inlineStr">
        <is>
          <t>모빌리티 / 자율주행 / 로보틱스</t>
        </is>
      </c>
      <c r="B394" s="15" t="inlineStr">
        <is>
          <t>OPS</t>
        </is>
      </c>
      <c r="C394" s="15" t="inlineStr">
        <is>
          <t>8311</t>
        </is>
      </c>
      <c r="D394" s="16" t="inlineStr">
        <is>
          <t>Locomotive Engine Drivers</t>
        </is>
      </c>
      <c r="E394" s="15" t="inlineStr">
        <is>
          <t>Junior (1~3년)</t>
        </is>
      </c>
      <c r="F394" s="20" t="inlineStr">
        <is>
          <t>4.2%</t>
        </is>
      </c>
      <c r="G394" s="15" t="inlineStr">
        <is>
          <t>1.00 (표준)</t>
        </is>
      </c>
      <c r="H394" s="16" t="inlineStr">
        <is>
          <t>팀 내 OPS 단계 핵심 인력. 스쿼드당 1~2명 필수.</t>
        </is>
      </c>
    </row>
    <row r="395">
      <c r="A395" s="18" t="inlineStr">
        <is>
          <t>모빌리티 / 자율주행 / 로보틱스</t>
        </is>
      </c>
      <c r="B395" s="17" t="inlineStr">
        <is>
          <t>OPS</t>
        </is>
      </c>
      <c r="C395" s="17" t="inlineStr">
        <is>
          <t>8312</t>
        </is>
      </c>
      <c r="D395" s="18" t="inlineStr">
        <is>
          <t>Railway Brake, Signal and Switch Operators</t>
        </is>
      </c>
      <c r="E395" s="17" t="inlineStr">
        <is>
          <t>Junior (1~3년)</t>
        </is>
      </c>
      <c r="F395" s="21" t="inlineStr">
        <is>
          <t>4.2%</t>
        </is>
      </c>
      <c r="G395" s="17" t="inlineStr">
        <is>
          <t>1.05 (표준)</t>
        </is>
      </c>
      <c r="H395" s="18" t="inlineStr">
        <is>
          <t>팀 내 OPS 단계 핵심 인력. 스쿼드당 1~2명 필수.</t>
        </is>
      </c>
    </row>
    <row r="396">
      <c r="A396" s="16" t="inlineStr">
        <is>
          <t>모빌리티 / 자율주행 / 로보틱스</t>
        </is>
      </c>
      <c r="B396" s="15" t="inlineStr">
        <is>
          <t>OPS</t>
        </is>
      </c>
      <c r="C396" s="15" t="inlineStr">
        <is>
          <t>8321</t>
        </is>
      </c>
      <c r="D396" s="16" t="inlineStr">
        <is>
          <t>Motorcycle Drivers</t>
        </is>
      </c>
      <c r="E396" s="15" t="inlineStr">
        <is>
          <t>Junior (1~3년)</t>
        </is>
      </c>
      <c r="F396" s="20" t="inlineStr">
        <is>
          <t>4.2%</t>
        </is>
      </c>
      <c r="G396" s="15" t="inlineStr">
        <is>
          <t>1.00 (표준)</t>
        </is>
      </c>
      <c r="H396" s="16" t="inlineStr">
        <is>
          <t>팀 내 OPS 단계 핵심 인력. 스쿼드당 1~2명 필수.</t>
        </is>
      </c>
    </row>
    <row r="397">
      <c r="A397" s="18" t="inlineStr">
        <is>
          <t>모빌리티 / 자율주행 / 로보틱스</t>
        </is>
      </c>
      <c r="B397" s="17" t="inlineStr">
        <is>
          <t>OPS</t>
        </is>
      </c>
      <c r="C397" s="17" t="inlineStr">
        <is>
          <t>8322</t>
        </is>
      </c>
      <c r="D397" s="18" t="inlineStr">
        <is>
          <t>Car, Taxi and Van Drivers</t>
        </is>
      </c>
      <c r="E397" s="17" t="inlineStr">
        <is>
          <t>Junior (1~3년)</t>
        </is>
      </c>
      <c r="F397" s="21" t="inlineStr">
        <is>
          <t>4.2%</t>
        </is>
      </c>
      <c r="G397" s="17" t="inlineStr">
        <is>
          <t>1.05 (표준)</t>
        </is>
      </c>
      <c r="H397" s="18" t="inlineStr">
        <is>
          <t>팀 내 OPS 단계 핵심 인력. 스쿼드당 1~2명 필수.</t>
        </is>
      </c>
    </row>
    <row r="398">
      <c r="A398" s="16" t="inlineStr">
        <is>
          <t>모빌리티 / 자율주행 / 로보틱스</t>
        </is>
      </c>
      <c r="B398" s="15" t="inlineStr">
        <is>
          <t>OPS</t>
        </is>
      </c>
      <c r="C398" s="15" t="inlineStr">
        <is>
          <t>8331</t>
        </is>
      </c>
      <c r="D398" s="16" t="inlineStr">
        <is>
          <t>Bus and Tram Drivers</t>
        </is>
      </c>
      <c r="E398" s="15" t="inlineStr">
        <is>
          <t>Junior (1~3년)</t>
        </is>
      </c>
      <c r="F398" s="20" t="inlineStr">
        <is>
          <t>4.2%</t>
        </is>
      </c>
      <c r="G398" s="15" t="inlineStr">
        <is>
          <t>1.00 (표준)</t>
        </is>
      </c>
      <c r="H398" s="16" t="inlineStr">
        <is>
          <t>팀 내 OPS 단계 핵심 인력. 스쿼드당 1~2명 필수.</t>
        </is>
      </c>
    </row>
    <row r="399">
      <c r="A399" s="18" t="inlineStr">
        <is>
          <t>모빌리티 / 자율주행 / 로보틱스</t>
        </is>
      </c>
      <c r="B399" s="17" t="inlineStr">
        <is>
          <t>OPS</t>
        </is>
      </c>
      <c r="C399" s="17" t="inlineStr">
        <is>
          <t>8332</t>
        </is>
      </c>
      <c r="D399" s="18" t="inlineStr">
        <is>
          <t>Heavy Truck and Lorry Drivers</t>
        </is>
      </c>
      <c r="E399" s="17" t="inlineStr">
        <is>
          <t>Junior (1~3년)</t>
        </is>
      </c>
      <c r="F399" s="21" t="inlineStr">
        <is>
          <t>4.2%</t>
        </is>
      </c>
      <c r="G399" s="17" t="inlineStr">
        <is>
          <t>1.05 (표준)</t>
        </is>
      </c>
      <c r="H399" s="18" t="inlineStr">
        <is>
          <t>팀 내 OPS 단계 핵심 인력. 스쿼드당 1~2명 필수.</t>
        </is>
      </c>
    </row>
    <row r="400">
      <c r="A400" s="16" t="inlineStr">
        <is>
          <t>모빌리티 / 자율주행 / 로보틱스</t>
        </is>
      </c>
      <c r="B400" s="15" t="inlineStr">
        <is>
          <t>OPS</t>
        </is>
      </c>
      <c r="C400" s="15" t="inlineStr">
        <is>
          <t>8341</t>
        </is>
      </c>
      <c r="D400" s="16" t="inlineStr">
        <is>
          <t>Mobile Farm and Forestry Plant Operators</t>
        </is>
      </c>
      <c r="E400" s="15" t="inlineStr">
        <is>
          <t>Junior (1~3년)</t>
        </is>
      </c>
      <c r="F400" s="20" t="inlineStr">
        <is>
          <t>4.2%</t>
        </is>
      </c>
      <c r="G400" s="15" t="inlineStr">
        <is>
          <t>1.00 (표준)</t>
        </is>
      </c>
      <c r="H400" s="16" t="inlineStr">
        <is>
          <t>팀 내 OPS 단계 핵심 인력. 스쿼드당 1~2명 필수.</t>
        </is>
      </c>
    </row>
    <row r="401">
      <c r="A401" s="18" t="inlineStr">
        <is>
          <t>모빌리티 / 자율주행 / 로보틱스</t>
        </is>
      </c>
      <c r="B401" s="17" t="inlineStr">
        <is>
          <t>OPS</t>
        </is>
      </c>
      <c r="C401" s="17" t="inlineStr">
        <is>
          <t>8342</t>
        </is>
      </c>
      <c r="D401" s="18" t="inlineStr">
        <is>
          <t>Earthmoving and Related Plant Operators</t>
        </is>
      </c>
      <c r="E401" s="17" t="inlineStr">
        <is>
          <t>Junior (1~3년)</t>
        </is>
      </c>
      <c r="F401" s="21" t="inlineStr">
        <is>
          <t>4.2%</t>
        </is>
      </c>
      <c r="G401" s="17" t="inlineStr">
        <is>
          <t>1.05 (표준)</t>
        </is>
      </c>
      <c r="H401" s="18" t="inlineStr">
        <is>
          <t>팀 내 OPS 단계 핵심 인력. 스쿼드당 1~2명 필수.</t>
        </is>
      </c>
    </row>
    <row r="402">
      <c r="A402" s="16" t="inlineStr">
        <is>
          <t>모빌리티 / 자율주행 / 로보틱스</t>
        </is>
      </c>
      <c r="B402" s="15" t="inlineStr">
        <is>
          <t>OPS</t>
        </is>
      </c>
      <c r="C402" s="15" t="inlineStr">
        <is>
          <t>8343</t>
        </is>
      </c>
      <c r="D402" s="16" t="inlineStr">
        <is>
          <t>Crane, hoist and related plant operators</t>
        </is>
      </c>
      <c r="E402" s="15" t="inlineStr">
        <is>
          <t>Junior (1~3년)</t>
        </is>
      </c>
      <c r="F402" s="20" t="inlineStr">
        <is>
          <t>4.2%</t>
        </is>
      </c>
      <c r="G402" s="15" t="inlineStr">
        <is>
          <t>1.10 (표준)</t>
        </is>
      </c>
      <c r="H402" s="16" t="inlineStr">
        <is>
          <t>팀 내 OPS 단계 핵심 인력. 스쿼드당 1~2명 필수.</t>
        </is>
      </c>
    </row>
    <row r="403">
      <c r="A403" s="18" t="inlineStr">
        <is>
          <t>모빌리티 / 자율주행 / 로보틱스</t>
        </is>
      </c>
      <c r="B403" s="17" t="inlineStr">
        <is>
          <t>OPS</t>
        </is>
      </c>
      <c r="C403" s="17" t="inlineStr">
        <is>
          <t>8344</t>
        </is>
      </c>
      <c r="D403" s="18" t="inlineStr">
        <is>
          <t>Lifting Truck Operators</t>
        </is>
      </c>
      <c r="E403" s="17" t="inlineStr">
        <is>
          <t>Junior (1~3년)</t>
        </is>
      </c>
      <c r="F403" s="21" t="inlineStr">
        <is>
          <t>4.2%</t>
        </is>
      </c>
      <c r="G403" s="17" t="inlineStr">
        <is>
          <t>1.15 (과대 편중)</t>
        </is>
      </c>
      <c r="H403" s="18" t="inlineStr">
        <is>
          <t>팀 내 OPS 단계 핵심 인력. 스쿼드당 1~2명 필수.</t>
        </is>
      </c>
    </row>
    <row r="404">
      <c r="A404" s="16" t="inlineStr">
        <is>
          <t>모빌리티 / 자율주행 / 로보틱스</t>
        </is>
      </c>
      <c r="B404" s="15" t="inlineStr">
        <is>
          <t>OPS</t>
        </is>
      </c>
      <c r="C404" s="15" t="inlineStr">
        <is>
          <t>8350</t>
        </is>
      </c>
      <c r="D404" s="16" t="inlineStr">
        <is>
          <t>Ships' Deck Crews and Related Workers</t>
        </is>
      </c>
      <c r="E404" s="15" t="inlineStr">
        <is>
          <t>Junior (1~3년)</t>
        </is>
      </c>
      <c r="F404" s="20" t="inlineStr">
        <is>
          <t>4.2%</t>
        </is>
      </c>
      <c r="G404" s="15" t="inlineStr">
        <is>
          <t>0.95 (표준)</t>
        </is>
      </c>
      <c r="H404" s="16" t="inlineStr">
        <is>
          <t>팀 내 OPS 단계 핵심 인력. 스쿼드당 1~2명 필수.</t>
        </is>
      </c>
    </row>
    <row r="405">
      <c r="A405" s="18" t="inlineStr">
        <is>
          <t>탄소중립 / 산업안전 / ESG</t>
        </is>
      </c>
      <c r="B405" s="17" t="inlineStr">
        <is>
          <t>OPS</t>
        </is>
      </c>
      <c r="C405" s="17" t="inlineStr">
        <is>
          <t>9111</t>
        </is>
      </c>
      <c r="D405" s="18" t="inlineStr">
        <is>
          <t>Domestic Cleaners and Helpers</t>
        </is>
      </c>
      <c r="E405" s="17" t="inlineStr">
        <is>
          <t>Junior (1~3년)</t>
        </is>
      </c>
      <c r="F405" s="21" t="inlineStr">
        <is>
          <t>4.2%</t>
        </is>
      </c>
      <c r="G405" s="17" t="inlineStr">
        <is>
          <t>1.00 (표준)</t>
        </is>
      </c>
      <c r="H405" s="18" t="inlineStr">
        <is>
          <t>팀 내 OPS 단계 핵심 인력. 스쿼드당 1~2명 필수.</t>
        </is>
      </c>
    </row>
    <row r="406">
      <c r="A406" s="16" t="inlineStr">
        <is>
          <t>탄소중립 / 산업안전 / ESG</t>
        </is>
      </c>
      <c r="B406" s="15" t="inlineStr">
        <is>
          <t>OPS</t>
        </is>
      </c>
      <c r="C406" s="15" t="inlineStr">
        <is>
          <t>9112</t>
        </is>
      </c>
      <c r="D406" s="16" t="inlineStr">
        <is>
          <t>Cleaners and Helpers in Offices, Hotels and Other Establishments</t>
        </is>
      </c>
      <c r="E406" s="15" t="inlineStr">
        <is>
          <t>Junior (1~3년)</t>
        </is>
      </c>
      <c r="F406" s="20" t="inlineStr">
        <is>
          <t>4.2%</t>
        </is>
      </c>
      <c r="G406" s="15" t="inlineStr">
        <is>
          <t>1.05 (표준)</t>
        </is>
      </c>
      <c r="H406" s="16" t="inlineStr">
        <is>
          <t>팀 내 OPS 단계 핵심 인력. 스쿼드당 1~2명 필수.</t>
        </is>
      </c>
    </row>
    <row r="407">
      <c r="A407" s="18" t="inlineStr">
        <is>
          <t>탄소중립 / 산업안전 / ESG</t>
        </is>
      </c>
      <c r="B407" s="17" t="inlineStr">
        <is>
          <t>OPS</t>
        </is>
      </c>
      <c r="C407" s="17" t="inlineStr">
        <is>
          <t>9121</t>
        </is>
      </c>
      <c r="D407" s="18" t="inlineStr">
        <is>
          <t>Hand Launderers and Pressers</t>
        </is>
      </c>
      <c r="E407" s="17" t="inlineStr">
        <is>
          <t>Junior (1~3년)</t>
        </is>
      </c>
      <c r="F407" s="21" t="inlineStr">
        <is>
          <t>4.2%</t>
        </is>
      </c>
      <c r="G407" s="17" t="inlineStr">
        <is>
          <t>1.00 (표준)</t>
        </is>
      </c>
      <c r="H407" s="18" t="inlineStr">
        <is>
          <t>팀 내 OPS 단계 핵심 인력. 스쿼드당 1~2명 필수.</t>
        </is>
      </c>
    </row>
    <row r="408">
      <c r="A408" s="16" t="inlineStr">
        <is>
          <t>탄소중립 / 산업안전 / ESG</t>
        </is>
      </c>
      <c r="B408" s="15" t="inlineStr">
        <is>
          <t>OPS</t>
        </is>
      </c>
      <c r="C408" s="15" t="inlineStr">
        <is>
          <t>9122</t>
        </is>
      </c>
      <c r="D408" s="16" t="inlineStr">
        <is>
          <t>Vehicle Cleaners</t>
        </is>
      </c>
      <c r="E408" s="15" t="inlineStr">
        <is>
          <t>Junior (1~3년)</t>
        </is>
      </c>
      <c r="F408" s="20" t="inlineStr">
        <is>
          <t>4.2%</t>
        </is>
      </c>
      <c r="G408" s="15" t="inlineStr">
        <is>
          <t>1.05 (표준)</t>
        </is>
      </c>
      <c r="H408" s="16" t="inlineStr">
        <is>
          <t>팀 내 OPS 단계 핵심 인력. 스쿼드당 1~2명 필수.</t>
        </is>
      </c>
    </row>
    <row r="409">
      <c r="A409" s="18" t="inlineStr">
        <is>
          <t>탄소중립 / 산업안전 / ESG</t>
        </is>
      </c>
      <c r="B409" s="17" t="inlineStr">
        <is>
          <t>OPS</t>
        </is>
      </c>
      <c r="C409" s="17" t="inlineStr">
        <is>
          <t>9123</t>
        </is>
      </c>
      <c r="D409" s="18" t="inlineStr">
        <is>
          <t>Window Cleaners</t>
        </is>
      </c>
      <c r="E409" s="17" t="inlineStr">
        <is>
          <t>Junior (1~3년)</t>
        </is>
      </c>
      <c r="F409" s="21" t="inlineStr">
        <is>
          <t>4.2%</t>
        </is>
      </c>
      <c r="G409" s="17" t="inlineStr">
        <is>
          <t>1.10 (표준)</t>
        </is>
      </c>
      <c r="H409" s="18" t="inlineStr">
        <is>
          <t>팀 내 OPS 단계 핵심 인력. 스쿼드당 1~2명 필수.</t>
        </is>
      </c>
    </row>
    <row r="410">
      <c r="A410" s="16" t="inlineStr">
        <is>
          <t>탄소중립 / 산업안전 / ESG</t>
        </is>
      </c>
      <c r="B410" s="15" t="inlineStr">
        <is>
          <t>OPS</t>
        </is>
      </c>
      <c r="C410" s="15" t="inlineStr">
        <is>
          <t>9129</t>
        </is>
      </c>
      <c r="D410" s="16" t="inlineStr">
        <is>
          <t>Other Cleaning Workers</t>
        </is>
      </c>
      <c r="E410" s="15" t="inlineStr">
        <is>
          <t>Junior (1~3년)</t>
        </is>
      </c>
      <c r="F410" s="20" t="inlineStr">
        <is>
          <t>4.2%</t>
        </is>
      </c>
      <c r="G410" s="15" t="inlineStr">
        <is>
          <t>1.15 (과대 편중)</t>
        </is>
      </c>
      <c r="H410" s="16" t="inlineStr">
        <is>
          <t>팀 내 OPS 단계 핵심 인력. 스쿼드당 1~2명 필수.</t>
        </is>
      </c>
    </row>
    <row r="411">
      <c r="A411" s="18" t="inlineStr">
        <is>
          <t>탄소중립 / 산업안전 / ESG</t>
        </is>
      </c>
      <c r="B411" s="17" t="inlineStr">
        <is>
          <t>OPS</t>
        </is>
      </c>
      <c r="C411" s="17" t="inlineStr">
        <is>
          <t>9211</t>
        </is>
      </c>
      <c r="D411" s="18" t="inlineStr">
        <is>
          <t>Crop Farm Labourers</t>
        </is>
      </c>
      <c r="E411" s="17" t="inlineStr">
        <is>
          <t>Junior (1~3년)</t>
        </is>
      </c>
      <c r="F411" s="21" t="inlineStr">
        <is>
          <t>4.2%</t>
        </is>
      </c>
      <c r="G411" s="17" t="inlineStr">
        <is>
          <t>1.00 (표준)</t>
        </is>
      </c>
      <c r="H411" s="18" t="inlineStr">
        <is>
          <t>팀 내 OPS 단계 핵심 인력. 스쿼드당 1~2명 필수.</t>
        </is>
      </c>
    </row>
    <row r="412">
      <c r="A412" s="16" t="inlineStr">
        <is>
          <t>탄소중립 / 산업안전 / ESG</t>
        </is>
      </c>
      <c r="B412" s="15" t="inlineStr">
        <is>
          <t>OPS</t>
        </is>
      </c>
      <c r="C412" s="15" t="inlineStr">
        <is>
          <t>9212</t>
        </is>
      </c>
      <c r="D412" s="16" t="inlineStr">
        <is>
          <t>Livestock Farm Labourers</t>
        </is>
      </c>
      <c r="E412" s="15" t="inlineStr">
        <is>
          <t>Junior (1~3년)</t>
        </is>
      </c>
      <c r="F412" s="20" t="inlineStr">
        <is>
          <t>4.2%</t>
        </is>
      </c>
      <c r="G412" s="15" t="inlineStr">
        <is>
          <t>1.05 (표준)</t>
        </is>
      </c>
      <c r="H412" s="16" t="inlineStr">
        <is>
          <t>팀 내 OPS 단계 핵심 인력. 스쿼드당 1~2명 필수.</t>
        </is>
      </c>
    </row>
    <row r="413">
      <c r="A413" s="18" t="inlineStr">
        <is>
          <t>탄소중립 / 산업안전 / ESG</t>
        </is>
      </c>
      <c r="B413" s="17" t="inlineStr">
        <is>
          <t>OPS</t>
        </is>
      </c>
      <c r="C413" s="17" t="inlineStr">
        <is>
          <t>9213</t>
        </is>
      </c>
      <c r="D413" s="18" t="inlineStr">
        <is>
          <t>Mixed Crop and Livestock Farm Labourers</t>
        </is>
      </c>
      <c r="E413" s="17" t="inlineStr">
        <is>
          <t>Junior (1~3년)</t>
        </is>
      </c>
      <c r="F413" s="21" t="inlineStr">
        <is>
          <t>4.2%</t>
        </is>
      </c>
      <c r="G413" s="17" t="inlineStr">
        <is>
          <t>1.10 (표준)</t>
        </is>
      </c>
      <c r="H413" s="18" t="inlineStr">
        <is>
          <t>팀 내 OPS 단계 핵심 인력. 스쿼드당 1~2명 필수.</t>
        </is>
      </c>
    </row>
    <row r="414">
      <c r="A414" s="16" t="inlineStr">
        <is>
          <t>탄소중립 / 산업안전 / ESG</t>
        </is>
      </c>
      <c r="B414" s="15" t="inlineStr">
        <is>
          <t>OPS</t>
        </is>
      </c>
      <c r="C414" s="15" t="inlineStr">
        <is>
          <t>9214</t>
        </is>
      </c>
      <c r="D414" s="16" t="inlineStr">
        <is>
          <t>Garden and Horticultural Labourers</t>
        </is>
      </c>
      <c r="E414" s="15" t="inlineStr">
        <is>
          <t>Junior (1~3년)</t>
        </is>
      </c>
      <c r="F414" s="20" t="inlineStr">
        <is>
          <t>4.2%</t>
        </is>
      </c>
      <c r="G414" s="15" t="inlineStr">
        <is>
          <t>1.15 (과대 편중)</t>
        </is>
      </c>
      <c r="H414" s="16" t="inlineStr">
        <is>
          <t>팀 내 OPS 단계 핵심 인력. 스쿼드당 1~2명 필수.</t>
        </is>
      </c>
    </row>
    <row r="415">
      <c r="A415" s="18" t="inlineStr">
        <is>
          <t>탄소중립 / 산업안전 / ESG</t>
        </is>
      </c>
      <c r="B415" s="17" t="inlineStr">
        <is>
          <t>OPS</t>
        </is>
      </c>
      <c r="C415" s="17" t="inlineStr">
        <is>
          <t>9215</t>
        </is>
      </c>
      <c r="D415" s="18" t="inlineStr">
        <is>
          <t>Forestry Labourers</t>
        </is>
      </c>
      <c r="E415" s="17" t="inlineStr">
        <is>
          <t>Junior (1~3년)</t>
        </is>
      </c>
      <c r="F415" s="21" t="inlineStr">
        <is>
          <t>4.2%</t>
        </is>
      </c>
      <c r="G415" s="17" t="inlineStr">
        <is>
          <t>0.95 (표준)</t>
        </is>
      </c>
      <c r="H415" s="18" t="inlineStr">
        <is>
          <t>팀 내 OPS 단계 핵심 인력. 스쿼드당 1~2명 필수.</t>
        </is>
      </c>
    </row>
    <row r="416">
      <c r="A416" s="16" t="inlineStr">
        <is>
          <t>탄소중립 / 산업안전 / ESG</t>
        </is>
      </c>
      <c r="B416" s="15" t="inlineStr">
        <is>
          <t>OPS</t>
        </is>
      </c>
      <c r="C416" s="15" t="inlineStr">
        <is>
          <t>9216</t>
        </is>
      </c>
      <c r="D416" s="16" t="inlineStr">
        <is>
          <t>Fishery and Aquaculture Labourers</t>
        </is>
      </c>
      <c r="E416" s="15" t="inlineStr">
        <is>
          <t>Junior (1~3년)</t>
        </is>
      </c>
      <c r="F416" s="20" t="inlineStr">
        <is>
          <t>4.2%</t>
        </is>
      </c>
      <c r="G416" s="15" t="inlineStr">
        <is>
          <t>1.00 (표준)</t>
        </is>
      </c>
      <c r="H416" s="16" t="inlineStr">
        <is>
          <t>팀 내 OPS 단계 핵심 인력. 스쿼드당 1~2명 필수.</t>
        </is>
      </c>
    </row>
    <row r="417">
      <c r="A417" s="18" t="inlineStr">
        <is>
          <t>모빌리티 / 자율주행 / 로보틱스</t>
        </is>
      </c>
      <c r="B417" s="17" t="inlineStr">
        <is>
          <t>OPS</t>
        </is>
      </c>
      <c r="C417" s="17" t="inlineStr">
        <is>
          <t>9311</t>
        </is>
      </c>
      <c r="D417" s="18" t="inlineStr">
        <is>
          <t>Mining and Quarrying Labourers</t>
        </is>
      </c>
      <c r="E417" s="17" t="inlineStr">
        <is>
          <t>Junior (1~3년)</t>
        </is>
      </c>
      <c r="F417" s="21" t="inlineStr">
        <is>
          <t>4.2%</t>
        </is>
      </c>
      <c r="G417" s="17" t="inlineStr">
        <is>
          <t>1.00 (표준)</t>
        </is>
      </c>
      <c r="H417" s="18" t="inlineStr">
        <is>
          <t>팀 내 OPS 단계 핵심 인력. 스쿼드당 1~2명 필수.</t>
        </is>
      </c>
    </row>
    <row r="418">
      <c r="A418" s="16" t="inlineStr">
        <is>
          <t>모빌리티 / 자율주행 / 로보틱스</t>
        </is>
      </c>
      <c r="B418" s="15" t="inlineStr">
        <is>
          <t>OPS</t>
        </is>
      </c>
      <c r="C418" s="15" t="inlineStr">
        <is>
          <t>9312</t>
        </is>
      </c>
      <c r="D418" s="16" t="inlineStr">
        <is>
          <t>Civil Engineering Labourers</t>
        </is>
      </c>
      <c r="E418" s="15" t="inlineStr">
        <is>
          <t>Junior (1~3년)</t>
        </is>
      </c>
      <c r="F418" s="20" t="inlineStr">
        <is>
          <t>4.2%</t>
        </is>
      </c>
      <c r="G418" s="15" t="inlineStr">
        <is>
          <t>1.05 (표준)</t>
        </is>
      </c>
      <c r="H418" s="16" t="inlineStr">
        <is>
          <t>팀 내 OPS 단계 핵심 인력. 스쿼드당 1~2명 필수.</t>
        </is>
      </c>
    </row>
    <row r="419">
      <c r="A419" s="18" t="inlineStr">
        <is>
          <t>모빌리티 / 자율주행 / 로보틱스</t>
        </is>
      </c>
      <c r="B419" s="17" t="inlineStr">
        <is>
          <t>OPS</t>
        </is>
      </c>
      <c r="C419" s="17" t="inlineStr">
        <is>
          <t>9313</t>
        </is>
      </c>
      <c r="D419" s="18" t="inlineStr">
        <is>
          <t>Building Construction Labourers</t>
        </is>
      </c>
      <c r="E419" s="17" t="inlineStr">
        <is>
          <t>Junior (1~3년)</t>
        </is>
      </c>
      <c r="F419" s="21" t="inlineStr">
        <is>
          <t>4.2%</t>
        </is>
      </c>
      <c r="G419" s="17" t="inlineStr">
        <is>
          <t>1.10 (표준)</t>
        </is>
      </c>
      <c r="H419" s="18" t="inlineStr">
        <is>
          <t>팀 내 OPS 단계 핵심 인력. 스쿼드당 1~2명 필수.</t>
        </is>
      </c>
    </row>
    <row r="420">
      <c r="A420" s="16" t="inlineStr">
        <is>
          <t>모빌리티 / 자율주행 / 로보틱스</t>
        </is>
      </c>
      <c r="B420" s="15" t="inlineStr">
        <is>
          <t>OPS</t>
        </is>
      </c>
      <c r="C420" s="15" t="inlineStr">
        <is>
          <t>9321</t>
        </is>
      </c>
      <c r="D420" s="16" t="inlineStr">
        <is>
          <t>Hand Packers</t>
        </is>
      </c>
      <c r="E420" s="15" t="inlineStr">
        <is>
          <t>Junior (1~3년)</t>
        </is>
      </c>
      <c r="F420" s="20" t="inlineStr">
        <is>
          <t>4.2%</t>
        </is>
      </c>
      <c r="G420" s="15" t="inlineStr">
        <is>
          <t>1.00 (표준)</t>
        </is>
      </c>
      <c r="H420" s="16" t="inlineStr">
        <is>
          <t>팀 내 OPS 단계 핵심 인력. 스쿼드당 1~2명 필수.</t>
        </is>
      </c>
    </row>
    <row r="421">
      <c r="A421" s="18" t="inlineStr">
        <is>
          <t>모빌리티 / 자율주행 / 로보틱스</t>
        </is>
      </c>
      <c r="B421" s="17" t="inlineStr">
        <is>
          <t>OPS</t>
        </is>
      </c>
      <c r="C421" s="17" t="inlineStr">
        <is>
          <t>9329</t>
        </is>
      </c>
      <c r="D421" s="18" t="inlineStr">
        <is>
          <t>Manufacturing Labourers Not Elsewhere Classified</t>
        </is>
      </c>
      <c r="E421" s="17" t="inlineStr">
        <is>
          <t>Junior (1~3년)</t>
        </is>
      </c>
      <c r="F421" s="21" t="inlineStr">
        <is>
          <t>4.2%</t>
        </is>
      </c>
      <c r="G421" s="17" t="inlineStr">
        <is>
          <t>1.15 (과대 편중)</t>
        </is>
      </c>
      <c r="H421" s="18" t="inlineStr">
        <is>
          <t>팀 내 OPS 단계 핵심 인력. 스쿼드당 1~2명 필수.</t>
        </is>
      </c>
    </row>
    <row r="422">
      <c r="A422" s="16" t="inlineStr">
        <is>
          <t>모빌리티 / 자율주행 / 로보틱스</t>
        </is>
      </c>
      <c r="B422" s="15" t="inlineStr">
        <is>
          <t>OPS</t>
        </is>
      </c>
      <c r="C422" s="15" t="inlineStr">
        <is>
          <t>9331</t>
        </is>
      </c>
      <c r="D422" s="16" t="inlineStr">
        <is>
          <t>Hand and Pedal Vehicle Drivers</t>
        </is>
      </c>
      <c r="E422" s="15" t="inlineStr">
        <is>
          <t>Junior (1~3년)</t>
        </is>
      </c>
      <c r="F422" s="20" t="inlineStr">
        <is>
          <t>4.2%</t>
        </is>
      </c>
      <c r="G422" s="15" t="inlineStr">
        <is>
          <t>1.00 (표준)</t>
        </is>
      </c>
      <c r="H422" s="16" t="inlineStr">
        <is>
          <t>팀 내 OPS 단계 핵심 인력. 스쿼드당 1~2명 필수.</t>
        </is>
      </c>
    </row>
    <row r="423">
      <c r="A423" s="18" t="inlineStr">
        <is>
          <t>모빌리티 / 자율주행 / 로보틱스</t>
        </is>
      </c>
      <c r="B423" s="17" t="inlineStr">
        <is>
          <t>OPS</t>
        </is>
      </c>
      <c r="C423" s="17" t="inlineStr">
        <is>
          <t>9332</t>
        </is>
      </c>
      <c r="D423" s="18" t="inlineStr">
        <is>
          <t>Drivers of Animal-drawn Vehicles and Machinery</t>
        </is>
      </c>
      <c r="E423" s="17" t="inlineStr">
        <is>
          <t>Junior (1~3년)</t>
        </is>
      </c>
      <c r="F423" s="21" t="inlineStr">
        <is>
          <t>4.2%</t>
        </is>
      </c>
      <c r="G423" s="17" t="inlineStr">
        <is>
          <t>1.05 (표준)</t>
        </is>
      </c>
      <c r="H423" s="18" t="inlineStr">
        <is>
          <t>팀 내 OPS 단계 핵심 인력. 스쿼드당 1~2명 필수.</t>
        </is>
      </c>
    </row>
    <row r="424">
      <c r="A424" s="16" t="inlineStr">
        <is>
          <t>모빌리티 / 자율주행 / 로보틱스</t>
        </is>
      </c>
      <c r="B424" s="15" t="inlineStr">
        <is>
          <t>OPS</t>
        </is>
      </c>
      <c r="C424" s="15" t="inlineStr">
        <is>
          <t>9333</t>
        </is>
      </c>
      <c r="D424" s="16" t="inlineStr">
        <is>
          <t>Freight Handlers</t>
        </is>
      </c>
      <c r="E424" s="15" t="inlineStr">
        <is>
          <t>Junior (1~3년)</t>
        </is>
      </c>
      <c r="F424" s="20" t="inlineStr">
        <is>
          <t>4.2%</t>
        </is>
      </c>
      <c r="G424" s="15" t="inlineStr">
        <is>
          <t>1.10 (표준)</t>
        </is>
      </c>
      <c r="H424" s="16" t="inlineStr">
        <is>
          <t>팀 내 OPS 단계 핵심 인력. 스쿼드당 1~2명 필수.</t>
        </is>
      </c>
    </row>
    <row r="425">
      <c r="A425" s="18" t="inlineStr">
        <is>
          <t>모빌리티 / 자율주행 / 로보틱스</t>
        </is>
      </c>
      <c r="B425" s="17" t="inlineStr">
        <is>
          <t>OPS</t>
        </is>
      </c>
      <c r="C425" s="17" t="inlineStr">
        <is>
          <t>9334</t>
        </is>
      </c>
      <c r="D425" s="18" t="inlineStr">
        <is>
          <t>Shelf Fillers</t>
        </is>
      </c>
      <c r="E425" s="17" t="inlineStr">
        <is>
          <t>Junior (1~3년)</t>
        </is>
      </c>
      <c r="F425" s="21" t="inlineStr">
        <is>
          <t>4.2%</t>
        </is>
      </c>
      <c r="G425" s="17" t="inlineStr">
        <is>
          <t>1.15 (과대 편중)</t>
        </is>
      </c>
      <c r="H425" s="18" t="inlineStr">
        <is>
          <t>팀 내 OPS 단계 핵심 인력. 스쿼드당 1~2명 필수.</t>
        </is>
      </c>
    </row>
    <row r="426">
      <c r="A426" s="16" t="inlineStr">
        <is>
          <t>B2B영업 / 마케팅 / GTM</t>
        </is>
      </c>
      <c r="B426" s="15" t="inlineStr">
        <is>
          <t>OPS</t>
        </is>
      </c>
      <c r="C426" s="15" t="inlineStr">
        <is>
          <t>9411</t>
        </is>
      </c>
      <c r="D426" s="16" t="inlineStr">
        <is>
          <t>Fast Food Preparers</t>
        </is>
      </c>
      <c r="E426" s="15" t="inlineStr">
        <is>
          <t>Junior (1~3년)</t>
        </is>
      </c>
      <c r="F426" s="20" t="inlineStr">
        <is>
          <t>4.2%</t>
        </is>
      </c>
      <c r="G426" s="15" t="inlineStr">
        <is>
          <t>1.00 (표준)</t>
        </is>
      </c>
      <c r="H426" s="16" t="inlineStr">
        <is>
          <t>팀 내 OPS 단계 핵심 인력. 스쿼드당 1~2명 필수.</t>
        </is>
      </c>
    </row>
    <row r="427">
      <c r="A427" s="18" t="inlineStr">
        <is>
          <t>B2B영업 / 마케팅 / GTM</t>
        </is>
      </c>
      <c r="B427" s="17" t="inlineStr">
        <is>
          <t>OPS</t>
        </is>
      </c>
      <c r="C427" s="17" t="inlineStr">
        <is>
          <t>9412</t>
        </is>
      </c>
      <c r="D427" s="18" t="inlineStr">
        <is>
          <t>Kitchen Helpers</t>
        </is>
      </c>
      <c r="E427" s="17" t="inlineStr">
        <is>
          <t>Junior (1~3년)</t>
        </is>
      </c>
      <c r="F427" s="21" t="inlineStr">
        <is>
          <t>4.2%</t>
        </is>
      </c>
      <c r="G427" s="17" t="inlineStr">
        <is>
          <t>1.05 (표준)</t>
        </is>
      </c>
      <c r="H427" s="18" t="inlineStr">
        <is>
          <t>팀 내 OPS 단계 핵심 인력. 스쿼드당 1~2명 필수.</t>
        </is>
      </c>
    </row>
    <row r="428">
      <c r="A428" s="16" t="inlineStr">
        <is>
          <t>B2B영업 / 마케팅 / GTM</t>
        </is>
      </c>
      <c r="B428" s="15" t="inlineStr">
        <is>
          <t>OPS</t>
        </is>
      </c>
      <c r="C428" s="15" t="inlineStr">
        <is>
          <t>9510</t>
        </is>
      </c>
      <c r="D428" s="16" t="inlineStr">
        <is>
          <t>Street and Related Service Workers</t>
        </is>
      </c>
      <c r="E428" s="15" t="inlineStr">
        <is>
          <t>Junior (1~3년)</t>
        </is>
      </c>
      <c r="F428" s="20" t="inlineStr">
        <is>
          <t>4.2%</t>
        </is>
      </c>
      <c r="G428" s="15" t="inlineStr">
        <is>
          <t>0.95 (표준)</t>
        </is>
      </c>
      <c r="H428" s="16" t="inlineStr">
        <is>
          <t>팀 내 OPS 단계 핵심 인력. 스쿼드당 1~2명 필수.</t>
        </is>
      </c>
    </row>
    <row r="429">
      <c r="A429" s="18" t="inlineStr">
        <is>
          <t>B2B영업 / 마케팅 / GTM</t>
        </is>
      </c>
      <c r="B429" s="17" t="inlineStr">
        <is>
          <t>OPS</t>
        </is>
      </c>
      <c r="C429" s="17" t="inlineStr">
        <is>
          <t>9520</t>
        </is>
      </c>
      <c r="D429" s="18" t="inlineStr">
        <is>
          <t>Street Vendors (excluding Food)</t>
        </is>
      </c>
      <c r="E429" s="17" t="inlineStr">
        <is>
          <t>Junior (1~3년)</t>
        </is>
      </c>
      <c r="F429" s="21" t="inlineStr">
        <is>
          <t>4.2%</t>
        </is>
      </c>
      <c r="G429" s="17" t="inlineStr">
        <is>
          <t>0.95 (표준)</t>
        </is>
      </c>
      <c r="H429" s="18" t="inlineStr">
        <is>
          <t>팀 내 OPS 단계 핵심 인력. 스쿼드당 1~2명 필수.</t>
        </is>
      </c>
    </row>
    <row r="430">
      <c r="A430" s="16" t="inlineStr">
        <is>
          <t>탄소중립 / 산업안전 / ESG</t>
        </is>
      </c>
      <c r="B430" s="15" t="inlineStr">
        <is>
          <t>OPS</t>
        </is>
      </c>
      <c r="C430" s="15" t="inlineStr">
        <is>
          <t>9611</t>
        </is>
      </c>
      <c r="D430" s="16" t="inlineStr">
        <is>
          <t>Garbage and Recycling Collectors</t>
        </is>
      </c>
      <c r="E430" s="15" t="inlineStr">
        <is>
          <t>Junior (1~3년)</t>
        </is>
      </c>
      <c r="F430" s="20" t="inlineStr">
        <is>
          <t>4.2%</t>
        </is>
      </c>
      <c r="G430" s="15" t="inlineStr">
        <is>
          <t>1.00 (표준)</t>
        </is>
      </c>
      <c r="H430" s="16" t="inlineStr">
        <is>
          <t>팀 내 OPS 단계 핵심 인력. 스쿼드당 1~2명 필수.</t>
        </is>
      </c>
    </row>
    <row r="431">
      <c r="A431" s="18" t="inlineStr">
        <is>
          <t>탄소중립 / 산업안전 / ESG</t>
        </is>
      </c>
      <c r="B431" s="17" t="inlineStr">
        <is>
          <t>OPS</t>
        </is>
      </c>
      <c r="C431" s="17" t="inlineStr">
        <is>
          <t>9612</t>
        </is>
      </c>
      <c r="D431" s="18" t="inlineStr">
        <is>
          <t>Refuse Sorters</t>
        </is>
      </c>
      <c r="E431" s="17" t="inlineStr">
        <is>
          <t>Junior (1~3년)</t>
        </is>
      </c>
      <c r="F431" s="21" t="inlineStr">
        <is>
          <t>4.2%</t>
        </is>
      </c>
      <c r="G431" s="17" t="inlineStr">
        <is>
          <t>1.05 (표준)</t>
        </is>
      </c>
      <c r="H431" s="18" t="inlineStr">
        <is>
          <t>팀 내 OPS 단계 핵심 인력. 스쿼드당 1~2명 필수.</t>
        </is>
      </c>
    </row>
    <row r="432">
      <c r="A432" s="16" t="inlineStr">
        <is>
          <t>탄소중립 / 산업안전 / ESG</t>
        </is>
      </c>
      <c r="B432" s="15" t="inlineStr">
        <is>
          <t>OPS</t>
        </is>
      </c>
      <c r="C432" s="15" t="inlineStr">
        <is>
          <t>9613</t>
        </is>
      </c>
      <c r="D432" s="16" t="inlineStr">
        <is>
          <t>Sweepers and Related Labourers</t>
        </is>
      </c>
      <c r="E432" s="15" t="inlineStr">
        <is>
          <t>Junior (1~3년)</t>
        </is>
      </c>
      <c r="F432" s="20" t="inlineStr">
        <is>
          <t>4.2%</t>
        </is>
      </c>
      <c r="G432" s="15" t="inlineStr">
        <is>
          <t>1.10 (표준)</t>
        </is>
      </c>
      <c r="H432" s="16" t="inlineStr">
        <is>
          <t>팀 내 OPS 단계 핵심 인력. 스쿼드당 1~2명 필수.</t>
        </is>
      </c>
    </row>
    <row r="433">
      <c r="A433" s="18" t="inlineStr">
        <is>
          <t>탄소중립 / 산업안전 / ESG</t>
        </is>
      </c>
      <c r="B433" s="17" t="inlineStr">
        <is>
          <t>OPS</t>
        </is>
      </c>
      <c r="C433" s="17" t="inlineStr">
        <is>
          <t>9621</t>
        </is>
      </c>
      <c r="D433" s="18" t="inlineStr">
        <is>
          <t>Messengers, Package Deliverers and Luggage Porters</t>
        </is>
      </c>
      <c r="E433" s="17" t="inlineStr">
        <is>
          <t>Junior (1~3년)</t>
        </is>
      </c>
      <c r="F433" s="21" t="inlineStr">
        <is>
          <t>4.2%</t>
        </is>
      </c>
      <c r="G433" s="17" t="inlineStr">
        <is>
          <t>1.00 (표준)</t>
        </is>
      </c>
      <c r="H433" s="18" t="inlineStr">
        <is>
          <t>팀 내 OPS 단계 핵심 인력. 스쿼드당 1~2명 필수.</t>
        </is>
      </c>
    </row>
    <row r="434">
      <c r="A434" s="16" t="inlineStr">
        <is>
          <t>탄소중립 / 산업안전 / ESG</t>
        </is>
      </c>
      <c r="B434" s="15" t="inlineStr">
        <is>
          <t>OPS</t>
        </is>
      </c>
      <c r="C434" s="15" t="inlineStr">
        <is>
          <t>9622</t>
        </is>
      </c>
      <c r="D434" s="16" t="inlineStr">
        <is>
          <t>Odd Job Persons</t>
        </is>
      </c>
      <c r="E434" s="15" t="inlineStr">
        <is>
          <t>Junior (1~3년)</t>
        </is>
      </c>
      <c r="F434" s="20" t="inlineStr">
        <is>
          <t>4.2%</t>
        </is>
      </c>
      <c r="G434" s="15" t="inlineStr">
        <is>
          <t>1.05 (표준)</t>
        </is>
      </c>
      <c r="H434" s="16" t="inlineStr">
        <is>
          <t>팀 내 OPS 단계 핵심 인력. 스쿼드당 1~2명 필수.</t>
        </is>
      </c>
    </row>
    <row r="435">
      <c r="A435" s="18" t="inlineStr">
        <is>
          <t>탄소중립 / 산업안전 / ESG</t>
        </is>
      </c>
      <c r="B435" s="17" t="inlineStr">
        <is>
          <t>OPS</t>
        </is>
      </c>
      <c r="C435" s="17" t="inlineStr">
        <is>
          <t>9623</t>
        </is>
      </c>
      <c r="D435" s="18" t="inlineStr">
        <is>
          <t>Meter Readers and Vending-machine Collectors</t>
        </is>
      </c>
      <c r="E435" s="17" t="inlineStr">
        <is>
          <t>Junior (1~3년)</t>
        </is>
      </c>
      <c r="F435" s="21" t="inlineStr">
        <is>
          <t>4.2%</t>
        </is>
      </c>
      <c r="G435" s="17" t="inlineStr">
        <is>
          <t>1.10 (표준)</t>
        </is>
      </c>
      <c r="H435" s="18" t="inlineStr">
        <is>
          <t>팀 내 OPS 단계 핵심 인력. 스쿼드당 1~2명 필수.</t>
        </is>
      </c>
    </row>
    <row r="436">
      <c r="A436" s="16" t="inlineStr">
        <is>
          <t>탄소중립 / 산업안전 / ESG</t>
        </is>
      </c>
      <c r="B436" s="15" t="inlineStr">
        <is>
          <t>OPS</t>
        </is>
      </c>
      <c r="C436" s="15" t="inlineStr">
        <is>
          <t>9624</t>
        </is>
      </c>
      <c r="D436" s="16" t="inlineStr">
        <is>
          <t>Water and Firewood Collectors</t>
        </is>
      </c>
      <c r="E436" s="15" t="inlineStr">
        <is>
          <t>Junior (1~3년)</t>
        </is>
      </c>
      <c r="F436" s="20" t="inlineStr">
        <is>
          <t>4.2%</t>
        </is>
      </c>
      <c r="G436" s="15" t="inlineStr">
        <is>
          <t>1.15 (과대 편중)</t>
        </is>
      </c>
      <c r="H436" s="16" t="inlineStr">
        <is>
          <t>팀 내 OPS 단계 핵심 인력. 스쿼드당 1~2명 필수.</t>
        </is>
      </c>
    </row>
    <row r="437">
      <c r="A437" s="18" t="inlineStr">
        <is>
          <t>탄소중립 / 산업안전 / ESG</t>
        </is>
      </c>
      <c r="B437" s="17" t="inlineStr">
        <is>
          <t>OPS</t>
        </is>
      </c>
      <c r="C437" s="17" t="inlineStr">
        <is>
          <t>9629</t>
        </is>
      </c>
      <c r="D437" s="18" t="inlineStr">
        <is>
          <t>Elementary Workers Not Elsewhere Classified</t>
        </is>
      </c>
      <c r="E437" s="17" t="inlineStr">
        <is>
          <t>Junior (1~3년)</t>
        </is>
      </c>
      <c r="F437" s="21" t="inlineStr">
        <is>
          <t>4.2%</t>
        </is>
      </c>
      <c r="G437" s="17" t="inlineStr">
        <is>
          <t>1.15 (과대 편중)</t>
        </is>
      </c>
      <c r="H437" s="18" t="inlineStr">
        <is>
          <t>팀 내 OPS 단계 핵심 인력. 스쿼드당 1~2명 필수.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37"/>
  <sheetViews>
    <sheetView showGridLines="1" workbookViewId="0">
      <selection activeCell="A1" sqref="A1"/>
    </sheetView>
  </sheetViews>
  <sheetFormatPr baseColWidth="8" defaultRowHeight="15"/>
  <cols>
    <col width="12" customWidth="1" min="1" max="1"/>
    <col width="45" customWidth="1" min="2" max="2"/>
    <col width="29" customWidth="1" min="3" max="3"/>
    <col width="17" customWidth="1" min="4" max="4"/>
    <col width="17" customWidth="1" min="5" max="5"/>
    <col width="17" customWidth="1" min="6" max="6"/>
    <col width="17" customWidth="1" min="7" max="7"/>
    <col width="16" customWidth="1" min="8" max="8"/>
    <col width="26" customWidth="1" min="9" max="9"/>
    <col width="25" customWidth="1" min="10" max="10"/>
    <col width="22" customWidth="1" min="11" max="11"/>
  </cols>
  <sheetData>
    <row r="1">
      <c r="A1" s="19" t="inlineStr">
        <is>
          <t>ISCO_Code</t>
        </is>
      </c>
      <c r="B1" s="19" t="inlineStr">
        <is>
          <t>Role_Title</t>
        </is>
      </c>
      <c r="C1" s="19" t="inlineStr">
        <is>
          <t>Domain</t>
        </is>
      </c>
      <c r="D1" s="19" t="inlineStr">
        <is>
          <t>KRW_Salary_Min</t>
        </is>
      </c>
      <c r="E1" s="19" t="inlineStr">
        <is>
          <t>KRW_Salary_Max</t>
        </is>
      </c>
      <c r="F1" s="19" t="inlineStr">
        <is>
          <t>USD_Salary_Avg</t>
        </is>
      </c>
      <c r="G1" s="19" t="inlineStr">
        <is>
          <t>CZK_Salary_Avg</t>
        </is>
      </c>
      <c r="H1" s="19" t="inlineStr">
        <is>
          <t>Hiring_Demand</t>
        </is>
      </c>
      <c r="I1" s="19" t="inlineStr">
        <is>
          <t>Wage_Inflation_Rate_Pct</t>
        </is>
      </c>
      <c r="J1" s="19" t="inlineStr">
        <is>
          <t>AI_Automation_Exposure</t>
        </is>
      </c>
      <c r="K1" s="19" t="inlineStr">
        <is>
          <t>Rev_Per_HC_Leverage</t>
        </is>
      </c>
    </row>
    <row r="2">
      <c r="A2" s="15" t="inlineStr">
        <is>
          <t>0110</t>
        </is>
      </c>
      <c r="B2" s="16" t="inlineStr">
        <is>
          <t>Commissioned Armed Forces Officers</t>
        </is>
      </c>
      <c r="C2" s="16" t="inlineStr">
        <is>
          <t>법률 / 지식재산권 / 변리</t>
        </is>
      </c>
      <c r="D2" s="22" t="n">
        <v>45600000</v>
      </c>
      <c r="E2" s="22" t="n">
        <v>69600000</v>
      </c>
      <c r="F2" s="23" t="n">
        <v>66000</v>
      </c>
      <c r="G2" s="22" t="n">
        <v>57600</v>
      </c>
      <c r="H2" s="15" t="inlineStr">
        <is>
          <t>increasing</t>
        </is>
      </c>
      <c r="I2" s="20" t="inlineStr">
        <is>
          <t>5.9%</t>
        </is>
      </c>
      <c r="J2" s="15" t="n">
        <v>0.65</v>
      </c>
      <c r="K2" s="15" t="inlineStr">
        <is>
          <t>standard</t>
        </is>
      </c>
    </row>
    <row r="3">
      <c r="A3" s="17" t="inlineStr">
        <is>
          <t>0210</t>
        </is>
      </c>
      <c r="B3" s="18" t="inlineStr">
        <is>
          <t>Non-commissioned Armed Forces Officers</t>
        </is>
      </c>
      <c r="C3" s="18" t="inlineStr">
        <is>
          <t>법률 / 지식재산권 / 변리</t>
        </is>
      </c>
      <c r="D3" s="24" t="n">
        <v>45600000</v>
      </c>
      <c r="E3" s="24" t="n">
        <v>69600000</v>
      </c>
      <c r="F3" s="25" t="n">
        <v>66000</v>
      </c>
      <c r="G3" s="24" t="n">
        <v>57600</v>
      </c>
      <c r="H3" s="17" t="inlineStr">
        <is>
          <t>increasing</t>
        </is>
      </c>
      <c r="I3" s="21" t="inlineStr">
        <is>
          <t>5.9%</t>
        </is>
      </c>
      <c r="J3" s="17" t="n">
        <v>0.65</v>
      </c>
      <c r="K3" s="17" t="inlineStr">
        <is>
          <t>standard</t>
        </is>
      </c>
    </row>
    <row r="4">
      <c r="A4" s="15" t="inlineStr">
        <is>
          <t>0310</t>
        </is>
      </c>
      <c r="B4" s="16" t="inlineStr">
        <is>
          <t>Armed Forces Occupations, Other Ranks</t>
        </is>
      </c>
      <c r="C4" s="16" t="inlineStr">
        <is>
          <t>법률 / 지식재산권 / 변리</t>
        </is>
      </c>
      <c r="D4" s="22" t="n">
        <v>45600000</v>
      </c>
      <c r="E4" s="22" t="n">
        <v>69600000</v>
      </c>
      <c r="F4" s="23" t="n">
        <v>66000</v>
      </c>
      <c r="G4" s="22" t="n">
        <v>57600</v>
      </c>
      <c r="H4" s="15" t="inlineStr">
        <is>
          <t>increasing</t>
        </is>
      </c>
      <c r="I4" s="20" t="inlineStr">
        <is>
          <t>5.9%</t>
        </is>
      </c>
      <c r="J4" s="15" t="n">
        <v>0.65</v>
      </c>
      <c r="K4" s="15" t="inlineStr">
        <is>
          <t>standard</t>
        </is>
      </c>
    </row>
    <row r="5">
      <c r="A5" s="17" t="inlineStr">
        <is>
          <t>1111</t>
        </is>
      </c>
      <c r="B5" s="18" t="inlineStr">
        <is>
          <t>Legislators</t>
        </is>
      </c>
      <c r="C5" s="18" t="inlineStr">
        <is>
          <t>경영전략 / 인사 / 사업개발</t>
        </is>
      </c>
      <c r="D5" s="24" t="n">
        <v>74750000</v>
      </c>
      <c r="E5" s="24" t="n">
        <v>132249999</v>
      </c>
      <c r="F5" s="25" t="n">
        <v>126499</v>
      </c>
      <c r="G5" s="24" t="n">
        <v>97749</v>
      </c>
      <c r="H5" s="17" t="inlineStr">
        <is>
          <t>increasing</t>
        </is>
      </c>
      <c r="I5" s="21" t="inlineStr">
        <is>
          <t>8.3%</t>
        </is>
      </c>
      <c r="J5" s="17" t="n">
        <v>1</v>
      </c>
      <c r="K5" s="17" t="inlineStr">
        <is>
          <t>high</t>
        </is>
      </c>
    </row>
    <row r="6">
      <c r="A6" s="15" t="inlineStr">
        <is>
          <t>1112</t>
        </is>
      </c>
      <c r="B6" s="16" t="inlineStr">
        <is>
          <t>Senior Government Officials</t>
        </is>
      </c>
      <c r="C6" s="16" t="inlineStr">
        <is>
          <t>경영전략 / 인사 / 사업개발</t>
        </is>
      </c>
      <c r="D6" s="22" t="n">
        <v>74750000</v>
      </c>
      <c r="E6" s="22" t="n">
        <v>132249999</v>
      </c>
      <c r="F6" s="23" t="n">
        <v>126499</v>
      </c>
      <c r="G6" s="22" t="n">
        <v>97749</v>
      </c>
      <c r="H6" s="15" t="inlineStr">
        <is>
          <t>increasing</t>
        </is>
      </c>
      <c r="I6" s="20" t="inlineStr">
        <is>
          <t>8.3%</t>
        </is>
      </c>
      <c r="J6" s="15" t="n">
        <v>1</v>
      </c>
      <c r="K6" s="15" t="inlineStr">
        <is>
          <t>high</t>
        </is>
      </c>
    </row>
    <row r="7">
      <c r="A7" s="17" t="inlineStr">
        <is>
          <t>1113</t>
        </is>
      </c>
      <c r="B7" s="18" t="inlineStr">
        <is>
          <t>Traditional Chiefs and Heads of Villages</t>
        </is>
      </c>
      <c r="C7" s="18" t="inlineStr">
        <is>
          <t>경영전략 / 인사 / 사업개발</t>
        </is>
      </c>
      <c r="D7" s="24" t="n">
        <v>74750000</v>
      </c>
      <c r="E7" s="24" t="n">
        <v>132249999</v>
      </c>
      <c r="F7" s="25" t="n">
        <v>126499</v>
      </c>
      <c r="G7" s="24" t="n">
        <v>97749</v>
      </c>
      <c r="H7" s="17" t="inlineStr">
        <is>
          <t>increasing</t>
        </is>
      </c>
      <c r="I7" s="21" t="inlineStr">
        <is>
          <t>8.3%</t>
        </is>
      </c>
      <c r="J7" s="17" t="n">
        <v>0.88</v>
      </c>
      <c r="K7" s="17" t="inlineStr">
        <is>
          <t>high</t>
        </is>
      </c>
    </row>
    <row r="8">
      <c r="A8" s="15" t="inlineStr">
        <is>
          <t>1114</t>
        </is>
      </c>
      <c r="B8" s="16" t="inlineStr">
        <is>
          <t>Senior Officials of Special-interest Organizations</t>
        </is>
      </c>
      <c r="C8" s="16" t="inlineStr">
        <is>
          <t>경영전략 / 인사 / 사업개발</t>
        </is>
      </c>
      <c r="D8" s="22" t="n">
        <v>74750000</v>
      </c>
      <c r="E8" s="22" t="n">
        <v>132249999</v>
      </c>
      <c r="F8" s="23" t="n">
        <v>126499</v>
      </c>
      <c r="G8" s="22" t="n">
        <v>97749</v>
      </c>
      <c r="H8" s="15" t="inlineStr">
        <is>
          <t>increasing</t>
        </is>
      </c>
      <c r="I8" s="20" t="inlineStr">
        <is>
          <t>8.3%</t>
        </is>
      </c>
      <c r="J8" s="15" t="n">
        <v>1</v>
      </c>
      <c r="K8" s="15" t="inlineStr">
        <is>
          <t>high</t>
        </is>
      </c>
    </row>
    <row r="9">
      <c r="A9" s="17" t="inlineStr">
        <is>
          <t>1120</t>
        </is>
      </c>
      <c r="B9" s="18" t="inlineStr">
        <is>
          <t>Managing Directors and Chief Executives</t>
        </is>
      </c>
      <c r="C9" s="18" t="inlineStr">
        <is>
          <t>경영전략 / 인사 / 사업개발</t>
        </is>
      </c>
      <c r="D9" s="24" t="n">
        <v>74750000</v>
      </c>
      <c r="E9" s="24" t="n">
        <v>132249999</v>
      </c>
      <c r="F9" s="25" t="n">
        <v>126499</v>
      </c>
      <c r="G9" s="24" t="n">
        <v>97749</v>
      </c>
      <c r="H9" s="17" t="inlineStr">
        <is>
          <t>increasing</t>
        </is>
      </c>
      <c r="I9" s="21" t="inlineStr">
        <is>
          <t>8.3%</t>
        </is>
      </c>
      <c r="J9" s="17" t="n">
        <v>1</v>
      </c>
      <c r="K9" s="17" t="inlineStr">
        <is>
          <t>high</t>
        </is>
      </c>
    </row>
    <row r="10">
      <c r="A10" s="15" t="inlineStr">
        <is>
          <t>1211</t>
        </is>
      </c>
      <c r="B10" s="16" t="inlineStr">
        <is>
          <t>Finance Managers</t>
        </is>
      </c>
      <c r="C10" s="16" t="inlineStr">
        <is>
          <t>경영전략 / 인사 / 사업개발</t>
        </is>
      </c>
      <c r="D10" s="22" t="n">
        <v>74750000</v>
      </c>
      <c r="E10" s="22" t="n">
        <v>132249999</v>
      </c>
      <c r="F10" s="23" t="n">
        <v>126499</v>
      </c>
      <c r="G10" s="22" t="n">
        <v>97749</v>
      </c>
      <c r="H10" s="15" t="inlineStr">
        <is>
          <t>increasing</t>
        </is>
      </c>
      <c r="I10" s="20" t="inlineStr">
        <is>
          <t>8.3%</t>
        </is>
      </c>
      <c r="J10" s="15" t="n">
        <v>1</v>
      </c>
      <c r="K10" s="15" t="inlineStr">
        <is>
          <t>high</t>
        </is>
      </c>
    </row>
    <row r="11">
      <c r="A11" s="17" t="inlineStr">
        <is>
          <t>1212</t>
        </is>
      </c>
      <c r="B11" s="18" t="inlineStr">
        <is>
          <t>Human Resource Managers</t>
        </is>
      </c>
      <c r="C11" s="18" t="inlineStr">
        <is>
          <t>경영전략 / 인사 / 사업개발</t>
        </is>
      </c>
      <c r="D11" s="24" t="n">
        <v>74750000</v>
      </c>
      <c r="E11" s="24" t="n">
        <v>132249999</v>
      </c>
      <c r="F11" s="25" t="n">
        <v>126499</v>
      </c>
      <c r="G11" s="24" t="n">
        <v>97749</v>
      </c>
      <c r="H11" s="17" t="inlineStr">
        <is>
          <t>increasing</t>
        </is>
      </c>
      <c r="I11" s="21" t="inlineStr">
        <is>
          <t>8.3%</t>
        </is>
      </c>
      <c r="J11" s="17" t="n">
        <v>1</v>
      </c>
      <c r="K11" s="17" t="inlineStr">
        <is>
          <t>high</t>
        </is>
      </c>
    </row>
    <row r="12">
      <c r="A12" s="15" t="inlineStr">
        <is>
          <t>1213</t>
        </is>
      </c>
      <c r="B12" s="16" t="inlineStr">
        <is>
          <t>Policy and Planning Managers</t>
        </is>
      </c>
      <c r="C12" s="16" t="inlineStr">
        <is>
          <t>경영전략 / 인사 / 사업개발</t>
        </is>
      </c>
      <c r="D12" s="22" t="n">
        <v>74750000</v>
      </c>
      <c r="E12" s="22" t="n">
        <v>132249999</v>
      </c>
      <c r="F12" s="23" t="n">
        <v>126499</v>
      </c>
      <c r="G12" s="22" t="n">
        <v>97749</v>
      </c>
      <c r="H12" s="15" t="inlineStr">
        <is>
          <t>increasing</t>
        </is>
      </c>
      <c r="I12" s="20" t="inlineStr">
        <is>
          <t>8.3%</t>
        </is>
      </c>
      <c r="J12" s="15" t="n">
        <v>1</v>
      </c>
      <c r="K12" s="15" t="inlineStr">
        <is>
          <t>high</t>
        </is>
      </c>
    </row>
    <row r="13">
      <c r="A13" s="17" t="inlineStr">
        <is>
          <t>1219</t>
        </is>
      </c>
      <c r="B13" s="18" t="inlineStr">
        <is>
          <t>Business Services and Administration Managers Not Elsewhere Classified</t>
        </is>
      </c>
      <c r="C13" s="18" t="inlineStr">
        <is>
          <t>경영전략 / 인사 / 사업개발</t>
        </is>
      </c>
      <c r="D13" s="24" t="n">
        <v>74750000</v>
      </c>
      <c r="E13" s="24" t="n">
        <v>132249999</v>
      </c>
      <c r="F13" s="25" t="n">
        <v>126499</v>
      </c>
      <c r="G13" s="24" t="n">
        <v>97749</v>
      </c>
      <c r="H13" s="17" t="inlineStr">
        <is>
          <t>increasing</t>
        </is>
      </c>
      <c r="I13" s="21" t="inlineStr">
        <is>
          <t>8.3%</t>
        </is>
      </c>
      <c r="J13" s="17" t="n">
        <v>1</v>
      </c>
      <c r="K13" s="17" t="inlineStr">
        <is>
          <t>high</t>
        </is>
      </c>
    </row>
    <row r="14">
      <c r="A14" s="15" t="inlineStr">
        <is>
          <t>1221</t>
        </is>
      </c>
      <c r="B14" s="16" t="inlineStr">
        <is>
          <t>Sales and Marketing Managers</t>
        </is>
      </c>
      <c r="C14" s="16" t="inlineStr">
        <is>
          <t>경영전략 / 인사 / 사업개발</t>
        </is>
      </c>
      <c r="D14" s="22" t="n">
        <v>74750000</v>
      </c>
      <c r="E14" s="22" t="n">
        <v>132249999</v>
      </c>
      <c r="F14" s="23" t="n">
        <v>126499</v>
      </c>
      <c r="G14" s="22" t="n">
        <v>97749</v>
      </c>
      <c r="H14" s="15" t="inlineStr">
        <is>
          <t>increasing</t>
        </is>
      </c>
      <c r="I14" s="20" t="inlineStr">
        <is>
          <t>8.3%</t>
        </is>
      </c>
      <c r="J14" s="15" t="n">
        <v>1</v>
      </c>
      <c r="K14" s="15" t="inlineStr">
        <is>
          <t>high</t>
        </is>
      </c>
    </row>
    <row r="15">
      <c r="A15" s="17" t="inlineStr">
        <is>
          <t>1222</t>
        </is>
      </c>
      <c r="B15" s="18" t="inlineStr">
        <is>
          <t>Advertising and Public Relations Managers</t>
        </is>
      </c>
      <c r="C15" s="18" t="inlineStr">
        <is>
          <t>경영전략 / 인사 / 사업개발</t>
        </is>
      </c>
      <c r="D15" s="24" t="n">
        <v>74750000</v>
      </c>
      <c r="E15" s="24" t="n">
        <v>132249999</v>
      </c>
      <c r="F15" s="25" t="n">
        <v>126499</v>
      </c>
      <c r="G15" s="24" t="n">
        <v>97749</v>
      </c>
      <c r="H15" s="17" t="inlineStr">
        <is>
          <t>increasing</t>
        </is>
      </c>
      <c r="I15" s="21" t="inlineStr">
        <is>
          <t>8.3%</t>
        </is>
      </c>
      <c r="J15" s="17" t="n">
        <v>1</v>
      </c>
      <c r="K15" s="17" t="inlineStr">
        <is>
          <t>high</t>
        </is>
      </c>
    </row>
    <row r="16">
      <c r="A16" s="15" t="inlineStr">
        <is>
          <t>1223</t>
        </is>
      </c>
      <c r="B16" s="16" t="inlineStr">
        <is>
          <t>Research and Development Managers</t>
        </is>
      </c>
      <c r="C16" s="16" t="inlineStr">
        <is>
          <t>경영전략 / 인사 / 사업개발</t>
        </is>
      </c>
      <c r="D16" s="22" t="n">
        <v>74750000</v>
      </c>
      <c r="E16" s="22" t="n">
        <v>132249999</v>
      </c>
      <c r="F16" s="23" t="n">
        <v>126499</v>
      </c>
      <c r="G16" s="22" t="n">
        <v>97749</v>
      </c>
      <c r="H16" s="15" t="inlineStr">
        <is>
          <t>increasing</t>
        </is>
      </c>
      <c r="I16" s="20" t="inlineStr">
        <is>
          <t>8.3%</t>
        </is>
      </c>
      <c r="J16" s="15" t="n">
        <v>1</v>
      </c>
      <c r="K16" s="15" t="inlineStr">
        <is>
          <t>high</t>
        </is>
      </c>
    </row>
    <row r="17">
      <c r="A17" s="17" t="inlineStr">
        <is>
          <t>1311</t>
        </is>
      </c>
      <c r="B17" s="18" t="inlineStr">
        <is>
          <t>Agricultural and Forestry Production Managers</t>
        </is>
      </c>
      <c r="C17" s="18" t="inlineStr">
        <is>
          <t>모빌리티 / 자율주행 / 로보틱스</t>
        </is>
      </c>
      <c r="D17" s="24" t="n">
        <v>71500000</v>
      </c>
      <c r="E17" s="24" t="n">
        <v>126500000</v>
      </c>
      <c r="F17" s="25" t="n">
        <v>121000</v>
      </c>
      <c r="G17" s="24" t="n">
        <v>93500</v>
      </c>
      <c r="H17" s="17" t="inlineStr">
        <is>
          <t>increasing</t>
        </is>
      </c>
      <c r="I17" s="21" t="inlineStr">
        <is>
          <t>8.3%</t>
        </is>
      </c>
      <c r="J17" s="17" t="n">
        <v>0.9399999999999999</v>
      </c>
      <c r="K17" s="17" t="inlineStr">
        <is>
          <t>high</t>
        </is>
      </c>
    </row>
    <row r="18">
      <c r="A18" s="15" t="inlineStr">
        <is>
          <t>1312</t>
        </is>
      </c>
      <c r="B18" s="16" t="inlineStr">
        <is>
          <t>Aquaculture and Fisheries Production Managers</t>
        </is>
      </c>
      <c r="C18" s="16" t="inlineStr">
        <is>
          <t>모빌리티 / 자율주행 / 로보틱스</t>
        </is>
      </c>
      <c r="D18" s="22" t="n">
        <v>71500000</v>
      </c>
      <c r="E18" s="22" t="n">
        <v>126500000</v>
      </c>
      <c r="F18" s="23" t="n">
        <v>121000</v>
      </c>
      <c r="G18" s="22" t="n">
        <v>93500</v>
      </c>
      <c r="H18" s="15" t="inlineStr">
        <is>
          <t>increasing</t>
        </is>
      </c>
      <c r="I18" s="20" t="inlineStr">
        <is>
          <t>8.3%</t>
        </is>
      </c>
      <c r="J18" s="15" t="n">
        <v>1</v>
      </c>
      <c r="K18" s="15" t="inlineStr">
        <is>
          <t>high</t>
        </is>
      </c>
    </row>
    <row r="19">
      <c r="A19" s="17" t="inlineStr">
        <is>
          <t>1321</t>
        </is>
      </c>
      <c r="B19" s="18" t="inlineStr">
        <is>
          <t>Manufacturing Managers</t>
        </is>
      </c>
      <c r="C19" s="18" t="inlineStr">
        <is>
          <t>모빌리티 / 자율주행 / 로보틱스</t>
        </is>
      </c>
      <c r="D19" s="24" t="n">
        <v>71500000</v>
      </c>
      <c r="E19" s="24" t="n">
        <v>126500000</v>
      </c>
      <c r="F19" s="25" t="n">
        <v>121000</v>
      </c>
      <c r="G19" s="24" t="n">
        <v>93500</v>
      </c>
      <c r="H19" s="17" t="inlineStr">
        <is>
          <t>increasing</t>
        </is>
      </c>
      <c r="I19" s="21" t="inlineStr">
        <is>
          <t>8.3%</t>
        </is>
      </c>
      <c r="J19" s="17" t="n">
        <v>1</v>
      </c>
      <c r="K19" s="17" t="inlineStr">
        <is>
          <t>high</t>
        </is>
      </c>
    </row>
    <row r="20">
      <c r="A20" s="15" t="inlineStr">
        <is>
          <t>1322</t>
        </is>
      </c>
      <c r="B20" s="16" t="inlineStr">
        <is>
          <t>Mining Managers</t>
        </is>
      </c>
      <c r="C20" s="16" t="inlineStr">
        <is>
          <t>모빌리티 / 자율주행 / 로보틱스</t>
        </is>
      </c>
      <c r="D20" s="22" t="n">
        <v>71500000</v>
      </c>
      <c r="E20" s="22" t="n">
        <v>126500000</v>
      </c>
      <c r="F20" s="23" t="n">
        <v>121000</v>
      </c>
      <c r="G20" s="22" t="n">
        <v>93500</v>
      </c>
      <c r="H20" s="15" t="inlineStr">
        <is>
          <t>increasing</t>
        </is>
      </c>
      <c r="I20" s="20" t="inlineStr">
        <is>
          <t>8.3%</t>
        </is>
      </c>
      <c r="J20" s="15" t="n">
        <v>1</v>
      </c>
      <c r="K20" s="15" t="inlineStr">
        <is>
          <t>high</t>
        </is>
      </c>
    </row>
    <row r="21">
      <c r="A21" s="17" t="inlineStr">
        <is>
          <t>1323</t>
        </is>
      </c>
      <c r="B21" s="18" t="inlineStr">
        <is>
          <t>Construction Managers</t>
        </is>
      </c>
      <c r="C21" s="18" t="inlineStr">
        <is>
          <t>모빌리티 / 자율주행 / 로보틱스</t>
        </is>
      </c>
      <c r="D21" s="24" t="n">
        <v>71500000</v>
      </c>
      <c r="E21" s="24" t="n">
        <v>126500000</v>
      </c>
      <c r="F21" s="25" t="n">
        <v>121000</v>
      </c>
      <c r="G21" s="24" t="n">
        <v>93500</v>
      </c>
      <c r="H21" s="17" t="inlineStr">
        <is>
          <t>increasing</t>
        </is>
      </c>
      <c r="I21" s="21" t="inlineStr">
        <is>
          <t>8.3%</t>
        </is>
      </c>
      <c r="J21" s="17" t="n">
        <v>0.93</v>
      </c>
      <c r="K21" s="17" t="inlineStr">
        <is>
          <t>high</t>
        </is>
      </c>
    </row>
    <row r="22">
      <c r="A22" s="15" t="inlineStr">
        <is>
          <t>1324</t>
        </is>
      </c>
      <c r="B22" s="16" t="inlineStr">
        <is>
          <t>Supply, Distribution and Related Managers</t>
        </is>
      </c>
      <c r="C22" s="16" t="inlineStr">
        <is>
          <t>모빌리티 / 자율주행 / 로보틱스</t>
        </is>
      </c>
      <c r="D22" s="22" t="n">
        <v>71500000</v>
      </c>
      <c r="E22" s="22" t="n">
        <v>126500000</v>
      </c>
      <c r="F22" s="23" t="n">
        <v>121000</v>
      </c>
      <c r="G22" s="22" t="n">
        <v>93500</v>
      </c>
      <c r="H22" s="15" t="inlineStr">
        <is>
          <t>increasing</t>
        </is>
      </c>
      <c r="I22" s="20" t="inlineStr">
        <is>
          <t>8.3%</t>
        </is>
      </c>
      <c r="J22" s="15" t="n">
        <v>0.95</v>
      </c>
      <c r="K22" s="15" t="inlineStr">
        <is>
          <t>high</t>
        </is>
      </c>
    </row>
    <row r="23">
      <c r="A23" s="17" t="inlineStr">
        <is>
          <t>1330</t>
        </is>
      </c>
      <c r="B23" s="18" t="inlineStr">
        <is>
          <t>Information and Communications Technology Service Managers</t>
        </is>
      </c>
      <c r="C23" s="18" t="inlineStr">
        <is>
          <t>모빌리티 / 자율주행 / 로보틱스</t>
        </is>
      </c>
      <c r="D23" s="24" t="n">
        <v>71500000</v>
      </c>
      <c r="E23" s="24" t="n">
        <v>126500000</v>
      </c>
      <c r="F23" s="25" t="n">
        <v>121000</v>
      </c>
      <c r="G23" s="24" t="n">
        <v>93500</v>
      </c>
      <c r="H23" s="17" t="inlineStr">
        <is>
          <t>increasing</t>
        </is>
      </c>
      <c r="I23" s="21" t="inlineStr">
        <is>
          <t>8.3%</t>
        </is>
      </c>
      <c r="J23" s="17" t="n">
        <v>1</v>
      </c>
      <c r="K23" s="17" t="inlineStr">
        <is>
          <t>high</t>
        </is>
      </c>
    </row>
    <row r="24">
      <c r="A24" s="15" t="inlineStr">
        <is>
          <t>1341</t>
        </is>
      </c>
      <c r="B24" s="16" t="inlineStr">
        <is>
          <t>Child Care Service Managers</t>
        </is>
      </c>
      <c r="C24" s="16" t="inlineStr">
        <is>
          <t>모빌리티 / 자율주행 / 로보틱스</t>
        </is>
      </c>
      <c r="D24" s="22" t="n">
        <v>71500000</v>
      </c>
      <c r="E24" s="22" t="n">
        <v>126500000</v>
      </c>
      <c r="F24" s="23" t="n">
        <v>121000</v>
      </c>
      <c r="G24" s="22" t="n">
        <v>93500</v>
      </c>
      <c r="H24" s="15" t="inlineStr">
        <is>
          <t>increasing</t>
        </is>
      </c>
      <c r="I24" s="20" t="inlineStr">
        <is>
          <t>8.3%</t>
        </is>
      </c>
      <c r="J24" s="15" t="n">
        <v>1</v>
      </c>
      <c r="K24" s="15" t="inlineStr">
        <is>
          <t>high</t>
        </is>
      </c>
    </row>
    <row r="25">
      <c r="A25" s="17" t="inlineStr">
        <is>
          <t>1342</t>
        </is>
      </c>
      <c r="B25" s="18" t="inlineStr">
        <is>
          <t>Health Service Managers</t>
        </is>
      </c>
      <c r="C25" s="18" t="inlineStr">
        <is>
          <t>모빌리티 / 자율주행 / 로보틱스</t>
        </is>
      </c>
      <c r="D25" s="24" t="n">
        <v>71500000</v>
      </c>
      <c r="E25" s="24" t="n">
        <v>126500000</v>
      </c>
      <c r="F25" s="25" t="n">
        <v>121000</v>
      </c>
      <c r="G25" s="24" t="n">
        <v>93500</v>
      </c>
      <c r="H25" s="17" t="inlineStr">
        <is>
          <t>increasing</t>
        </is>
      </c>
      <c r="I25" s="21" t="inlineStr">
        <is>
          <t>8.3%</t>
        </is>
      </c>
      <c r="J25" s="17" t="n">
        <v>1</v>
      </c>
      <c r="K25" s="17" t="inlineStr">
        <is>
          <t>high</t>
        </is>
      </c>
    </row>
    <row r="26">
      <c r="A26" s="15" t="inlineStr">
        <is>
          <t>1343</t>
        </is>
      </c>
      <c r="B26" s="16" t="inlineStr">
        <is>
          <t>Aged Care Service Managers</t>
        </is>
      </c>
      <c r="C26" s="16" t="inlineStr">
        <is>
          <t>모빌리티 / 자율주행 / 로보틱스</t>
        </is>
      </c>
      <c r="D26" s="22" t="n">
        <v>71500000</v>
      </c>
      <c r="E26" s="22" t="n">
        <v>126500000</v>
      </c>
      <c r="F26" s="23" t="n">
        <v>121000</v>
      </c>
      <c r="G26" s="22" t="n">
        <v>93500</v>
      </c>
      <c r="H26" s="15" t="inlineStr">
        <is>
          <t>increasing</t>
        </is>
      </c>
      <c r="I26" s="20" t="inlineStr">
        <is>
          <t>8.3%</t>
        </is>
      </c>
      <c r="J26" s="15" t="n">
        <v>1</v>
      </c>
      <c r="K26" s="15" t="inlineStr">
        <is>
          <t>high</t>
        </is>
      </c>
    </row>
    <row r="27">
      <c r="A27" s="17" t="inlineStr">
        <is>
          <t>1344</t>
        </is>
      </c>
      <c r="B27" s="18" t="inlineStr">
        <is>
          <t>Social Welfare Managers</t>
        </is>
      </c>
      <c r="C27" s="18" t="inlineStr">
        <is>
          <t>모빌리티 / 자율주행 / 로보틱스</t>
        </is>
      </c>
      <c r="D27" s="24" t="n">
        <v>71500000</v>
      </c>
      <c r="E27" s="24" t="n">
        <v>126500000</v>
      </c>
      <c r="F27" s="25" t="n">
        <v>121000</v>
      </c>
      <c r="G27" s="24" t="n">
        <v>93500</v>
      </c>
      <c r="H27" s="17" t="inlineStr">
        <is>
          <t>increasing</t>
        </is>
      </c>
      <c r="I27" s="21" t="inlineStr">
        <is>
          <t>8.3%</t>
        </is>
      </c>
      <c r="J27" s="17" t="n">
        <v>1</v>
      </c>
      <c r="K27" s="17" t="inlineStr">
        <is>
          <t>high</t>
        </is>
      </c>
    </row>
    <row r="28">
      <c r="A28" s="15" t="inlineStr">
        <is>
          <t>1345</t>
        </is>
      </c>
      <c r="B28" s="16" t="inlineStr">
        <is>
          <t>Education Managers</t>
        </is>
      </c>
      <c r="C28" s="16" t="inlineStr">
        <is>
          <t>모빌리티 / 자율주행 / 로보틱스</t>
        </is>
      </c>
      <c r="D28" s="22" t="n">
        <v>71500000</v>
      </c>
      <c r="E28" s="22" t="n">
        <v>126500000</v>
      </c>
      <c r="F28" s="23" t="n">
        <v>121000</v>
      </c>
      <c r="G28" s="22" t="n">
        <v>93500</v>
      </c>
      <c r="H28" s="15" t="inlineStr">
        <is>
          <t>increasing</t>
        </is>
      </c>
      <c r="I28" s="20" t="inlineStr">
        <is>
          <t>8.3%</t>
        </is>
      </c>
      <c r="J28" s="15" t="n">
        <v>0.93</v>
      </c>
      <c r="K28" s="15" t="inlineStr">
        <is>
          <t>high</t>
        </is>
      </c>
    </row>
    <row r="29">
      <c r="A29" s="17" t="inlineStr">
        <is>
          <t>1346</t>
        </is>
      </c>
      <c r="B29" s="18" t="inlineStr">
        <is>
          <t>Financial and Insurance Services Branch managers</t>
        </is>
      </c>
      <c r="C29" s="18" t="inlineStr">
        <is>
          <t>모빌리티 / 자율주행 / 로보틱스</t>
        </is>
      </c>
      <c r="D29" s="24" t="n">
        <v>71500000</v>
      </c>
      <c r="E29" s="24" t="n">
        <v>126500000</v>
      </c>
      <c r="F29" s="25" t="n">
        <v>121000</v>
      </c>
      <c r="G29" s="24" t="n">
        <v>93500</v>
      </c>
      <c r="H29" s="17" t="inlineStr">
        <is>
          <t>increasing</t>
        </is>
      </c>
      <c r="I29" s="21" t="inlineStr">
        <is>
          <t>8.3%</t>
        </is>
      </c>
      <c r="J29" s="17" t="n">
        <v>0.93</v>
      </c>
      <c r="K29" s="17" t="inlineStr">
        <is>
          <t>high</t>
        </is>
      </c>
    </row>
    <row r="30">
      <c r="A30" s="15" t="inlineStr">
        <is>
          <t>1349</t>
        </is>
      </c>
      <c r="B30" s="16" t="inlineStr">
        <is>
          <t>Professional Services Managers Not Elsewhere Classified</t>
        </is>
      </c>
      <c r="C30" s="16" t="inlineStr">
        <is>
          <t>모빌리티 / 자율주행 / 로보틱스</t>
        </is>
      </c>
      <c r="D30" s="22" t="n">
        <v>71500000</v>
      </c>
      <c r="E30" s="22" t="n">
        <v>126500000</v>
      </c>
      <c r="F30" s="23" t="n">
        <v>121000</v>
      </c>
      <c r="G30" s="22" t="n">
        <v>93500</v>
      </c>
      <c r="H30" s="15" t="inlineStr">
        <is>
          <t>increasing</t>
        </is>
      </c>
      <c r="I30" s="20" t="inlineStr">
        <is>
          <t>8.3%</t>
        </is>
      </c>
      <c r="J30" s="15" t="n">
        <v>1</v>
      </c>
      <c r="K30" s="15" t="inlineStr">
        <is>
          <t>high</t>
        </is>
      </c>
    </row>
    <row r="31">
      <c r="A31" s="17" t="inlineStr">
        <is>
          <t>1411</t>
        </is>
      </c>
      <c r="B31" s="18" t="inlineStr">
        <is>
          <t>Hotel Managers</t>
        </is>
      </c>
      <c r="C31" s="18" t="inlineStr">
        <is>
          <t>B2B영업 / 마케팅 / GTM</t>
        </is>
      </c>
      <c r="D31" s="24" t="n">
        <v>50400000</v>
      </c>
      <c r="E31" s="24" t="n">
        <v>84000000</v>
      </c>
      <c r="F31" s="25" t="n">
        <v>86100</v>
      </c>
      <c r="G31" s="24" t="n">
        <v>68250</v>
      </c>
      <c r="H31" s="17" t="inlineStr">
        <is>
          <t>increasing</t>
        </is>
      </c>
      <c r="I31" s="21" t="inlineStr">
        <is>
          <t>7.1%</t>
        </is>
      </c>
      <c r="J31" s="17" t="n">
        <v>1</v>
      </c>
      <c r="K31" s="17" t="inlineStr">
        <is>
          <t>high</t>
        </is>
      </c>
    </row>
    <row r="32">
      <c r="A32" s="15" t="inlineStr">
        <is>
          <t>1412</t>
        </is>
      </c>
      <c r="B32" s="16" t="inlineStr">
        <is>
          <t>Restaurant Managers</t>
        </is>
      </c>
      <c r="C32" s="16" t="inlineStr">
        <is>
          <t>B2B영업 / 마케팅 / GTM</t>
        </is>
      </c>
      <c r="D32" s="22" t="n">
        <v>50400000</v>
      </c>
      <c r="E32" s="22" t="n">
        <v>84000000</v>
      </c>
      <c r="F32" s="23" t="n">
        <v>86100</v>
      </c>
      <c r="G32" s="22" t="n">
        <v>68250</v>
      </c>
      <c r="H32" s="15" t="inlineStr">
        <is>
          <t>increasing</t>
        </is>
      </c>
      <c r="I32" s="20" t="inlineStr">
        <is>
          <t>7.1%</t>
        </is>
      </c>
      <c r="J32" s="15" t="n">
        <v>1</v>
      </c>
      <c r="K32" s="15" t="inlineStr">
        <is>
          <t>high</t>
        </is>
      </c>
    </row>
    <row r="33">
      <c r="A33" s="17" t="inlineStr">
        <is>
          <t>1420</t>
        </is>
      </c>
      <c r="B33" s="18" t="inlineStr">
        <is>
          <t>Retail and Wholesale Trade Managers</t>
        </is>
      </c>
      <c r="C33" s="18" t="inlineStr">
        <is>
          <t>B2B영업 / 마케팅 / GTM</t>
        </is>
      </c>
      <c r="D33" s="24" t="n">
        <v>50400000</v>
      </c>
      <c r="E33" s="24" t="n">
        <v>84000000</v>
      </c>
      <c r="F33" s="25" t="n">
        <v>86100</v>
      </c>
      <c r="G33" s="24" t="n">
        <v>68250</v>
      </c>
      <c r="H33" s="17" t="inlineStr">
        <is>
          <t>increasing</t>
        </is>
      </c>
      <c r="I33" s="21" t="inlineStr">
        <is>
          <t>7.1%</t>
        </is>
      </c>
      <c r="J33" s="17" t="n">
        <v>1</v>
      </c>
      <c r="K33" s="17" t="inlineStr">
        <is>
          <t>high</t>
        </is>
      </c>
    </row>
    <row r="34">
      <c r="A34" s="15" t="inlineStr">
        <is>
          <t>1431</t>
        </is>
      </c>
      <c r="B34" s="16" t="inlineStr">
        <is>
          <t>Sports, Recreation and Cultural Centre Managers</t>
        </is>
      </c>
      <c r="C34" s="16" t="inlineStr">
        <is>
          <t>B2B영업 / 마케팅 / GTM</t>
        </is>
      </c>
      <c r="D34" s="22" t="n">
        <v>50400000</v>
      </c>
      <c r="E34" s="22" t="n">
        <v>84000000</v>
      </c>
      <c r="F34" s="23" t="n">
        <v>86100</v>
      </c>
      <c r="G34" s="22" t="n">
        <v>68250</v>
      </c>
      <c r="H34" s="15" t="inlineStr">
        <is>
          <t>increasing</t>
        </is>
      </c>
      <c r="I34" s="20" t="inlineStr">
        <is>
          <t>7.1%</t>
        </is>
      </c>
      <c r="J34" s="15" t="n">
        <v>1</v>
      </c>
      <c r="K34" s="15" t="inlineStr">
        <is>
          <t>high</t>
        </is>
      </c>
    </row>
    <row r="35">
      <c r="A35" s="17" t="inlineStr">
        <is>
          <t>1439</t>
        </is>
      </c>
      <c r="B35" s="18" t="inlineStr">
        <is>
          <t>Services Managers Not Elsewhere Classified</t>
        </is>
      </c>
      <c r="C35" s="18" t="inlineStr">
        <is>
          <t>B2B영업 / 마케팅 / GTM</t>
        </is>
      </c>
      <c r="D35" s="24" t="n">
        <v>50400000</v>
      </c>
      <c r="E35" s="24" t="n">
        <v>84000000</v>
      </c>
      <c r="F35" s="25" t="n">
        <v>86100</v>
      </c>
      <c r="G35" s="24" t="n">
        <v>68250</v>
      </c>
      <c r="H35" s="17" t="inlineStr">
        <is>
          <t>increasing</t>
        </is>
      </c>
      <c r="I35" s="21" t="inlineStr">
        <is>
          <t>7.1%</t>
        </is>
      </c>
      <c r="J35" s="17" t="n">
        <v>0.45</v>
      </c>
      <c r="K35" s="17" t="inlineStr">
        <is>
          <t>high</t>
        </is>
      </c>
    </row>
    <row r="36">
      <c r="A36" s="15" t="inlineStr">
        <is>
          <t>2111</t>
        </is>
      </c>
      <c r="B36" s="16" t="inlineStr">
        <is>
          <t>Physicists and Astronomers</t>
        </is>
      </c>
      <c r="C36" s="16" t="inlineStr">
        <is>
          <t>반도체 / 전자회로 / 하드웨어</t>
        </is>
      </c>
      <c r="D36" s="22" t="n">
        <v>81250000</v>
      </c>
      <c r="E36" s="22" t="n">
        <v>143750000</v>
      </c>
      <c r="F36" s="23" t="n">
        <v>137500</v>
      </c>
      <c r="G36" s="22" t="n">
        <v>106250</v>
      </c>
      <c r="H36" s="15" t="inlineStr">
        <is>
          <t>very-high</t>
        </is>
      </c>
      <c r="I36" s="20" t="inlineStr">
        <is>
          <t>8.3%</t>
        </is>
      </c>
      <c r="J36" s="15" t="n">
        <v>1</v>
      </c>
      <c r="K36" s="15" t="inlineStr">
        <is>
          <t>high</t>
        </is>
      </c>
    </row>
    <row r="37">
      <c r="A37" s="17" t="inlineStr">
        <is>
          <t>2112</t>
        </is>
      </c>
      <c r="B37" s="18" t="inlineStr">
        <is>
          <t>Meteorologists</t>
        </is>
      </c>
      <c r="C37" s="18" t="inlineStr">
        <is>
          <t>반도체 / 전자회로 / 하드웨어</t>
        </is>
      </c>
      <c r="D37" s="24" t="n">
        <v>81250000</v>
      </c>
      <c r="E37" s="24" t="n">
        <v>143750000</v>
      </c>
      <c r="F37" s="25" t="n">
        <v>137500</v>
      </c>
      <c r="G37" s="24" t="n">
        <v>106250</v>
      </c>
      <c r="H37" s="17" t="inlineStr">
        <is>
          <t>very-high</t>
        </is>
      </c>
      <c r="I37" s="21" t="inlineStr">
        <is>
          <t>8.3%</t>
        </is>
      </c>
      <c r="J37" s="17" t="n">
        <v>1</v>
      </c>
      <c r="K37" s="17" t="inlineStr">
        <is>
          <t>high</t>
        </is>
      </c>
    </row>
    <row r="38">
      <c r="A38" s="15" t="inlineStr">
        <is>
          <t>2113</t>
        </is>
      </c>
      <c r="B38" s="16" t="inlineStr">
        <is>
          <t>Chemists</t>
        </is>
      </c>
      <c r="C38" s="16" t="inlineStr">
        <is>
          <t>반도체 / 전자회로 / 하드웨어</t>
        </is>
      </c>
      <c r="D38" s="22" t="n">
        <v>81250000</v>
      </c>
      <c r="E38" s="22" t="n">
        <v>143750000</v>
      </c>
      <c r="F38" s="23" t="n">
        <v>137500</v>
      </c>
      <c r="G38" s="22" t="n">
        <v>106250</v>
      </c>
      <c r="H38" s="15" t="inlineStr">
        <is>
          <t>very-high</t>
        </is>
      </c>
      <c r="I38" s="20" t="inlineStr">
        <is>
          <t>8.3%</t>
        </is>
      </c>
      <c r="J38" s="15" t="n">
        <v>1</v>
      </c>
      <c r="K38" s="15" t="inlineStr">
        <is>
          <t>high</t>
        </is>
      </c>
    </row>
    <row r="39">
      <c r="A39" s="17" t="inlineStr">
        <is>
          <t>2114</t>
        </is>
      </c>
      <c r="B39" s="18" t="inlineStr">
        <is>
          <t>Geologists and geophysicists</t>
        </is>
      </c>
      <c r="C39" s="18" t="inlineStr">
        <is>
          <t>반도체 / 전자회로 / 하드웨어</t>
        </is>
      </c>
      <c r="D39" s="24" t="n">
        <v>81250000</v>
      </c>
      <c r="E39" s="24" t="n">
        <v>143750000</v>
      </c>
      <c r="F39" s="25" t="n">
        <v>137500</v>
      </c>
      <c r="G39" s="24" t="n">
        <v>106250</v>
      </c>
      <c r="H39" s="17" t="inlineStr">
        <is>
          <t>very-high</t>
        </is>
      </c>
      <c r="I39" s="21" t="inlineStr">
        <is>
          <t>8.3%</t>
        </is>
      </c>
      <c r="J39" s="17" t="n">
        <v>0.9399999999999999</v>
      </c>
      <c r="K39" s="17" t="inlineStr">
        <is>
          <t>high</t>
        </is>
      </c>
    </row>
    <row r="40">
      <c r="A40" s="15" t="inlineStr">
        <is>
          <t>2120</t>
        </is>
      </c>
      <c r="B40" s="16" t="inlineStr">
        <is>
          <t>Mathematicians, Actuaries and Statisticians</t>
        </is>
      </c>
      <c r="C40" s="16" t="inlineStr">
        <is>
          <t>반도체 / 전자회로 / 하드웨어</t>
        </is>
      </c>
      <c r="D40" s="22" t="n">
        <v>81250000</v>
      </c>
      <c r="E40" s="22" t="n">
        <v>143750000</v>
      </c>
      <c r="F40" s="23" t="n">
        <v>137500</v>
      </c>
      <c r="G40" s="22" t="n">
        <v>106250</v>
      </c>
      <c r="H40" s="15" t="inlineStr">
        <is>
          <t>very-high</t>
        </is>
      </c>
      <c r="I40" s="20" t="inlineStr">
        <is>
          <t>8.3%</t>
        </is>
      </c>
      <c r="J40" s="15" t="n">
        <v>1</v>
      </c>
      <c r="K40" s="15" t="inlineStr">
        <is>
          <t>high</t>
        </is>
      </c>
    </row>
    <row r="41">
      <c r="A41" s="17" t="inlineStr">
        <is>
          <t>2131</t>
        </is>
      </c>
      <c r="B41" s="18" t="inlineStr">
        <is>
          <t>Biologists, Botanists, Zoologists and Related Professionals</t>
        </is>
      </c>
      <c r="C41" s="18" t="inlineStr">
        <is>
          <t>반도체 / 전자회로 / 하드웨어</t>
        </is>
      </c>
      <c r="D41" s="24" t="n">
        <v>81250000</v>
      </c>
      <c r="E41" s="24" t="n">
        <v>143750000</v>
      </c>
      <c r="F41" s="25" t="n">
        <v>137500</v>
      </c>
      <c r="G41" s="24" t="n">
        <v>106250</v>
      </c>
      <c r="H41" s="17" t="inlineStr">
        <is>
          <t>very-high</t>
        </is>
      </c>
      <c r="I41" s="21" t="inlineStr">
        <is>
          <t>8.3%</t>
        </is>
      </c>
      <c r="J41" s="17" t="n">
        <v>0.9399999999999999</v>
      </c>
      <c r="K41" s="17" t="inlineStr">
        <is>
          <t>high</t>
        </is>
      </c>
    </row>
    <row r="42">
      <c r="A42" s="15" t="inlineStr">
        <is>
          <t>2132</t>
        </is>
      </c>
      <c r="B42" s="16" t="inlineStr">
        <is>
          <t>Farming, Forestry and Fisheries Advisers</t>
        </is>
      </c>
      <c r="C42" s="16" t="inlineStr">
        <is>
          <t>반도체 / 전자회로 / 하드웨어</t>
        </is>
      </c>
      <c r="D42" s="22" t="n">
        <v>81250000</v>
      </c>
      <c r="E42" s="22" t="n">
        <v>143750000</v>
      </c>
      <c r="F42" s="23" t="n">
        <v>137500</v>
      </c>
      <c r="G42" s="22" t="n">
        <v>106250</v>
      </c>
      <c r="H42" s="15" t="inlineStr">
        <is>
          <t>very-high</t>
        </is>
      </c>
      <c r="I42" s="20" t="inlineStr">
        <is>
          <t>8.3%</t>
        </is>
      </c>
      <c r="J42" s="15" t="n">
        <v>0.9399999999999999</v>
      </c>
      <c r="K42" s="15" t="inlineStr">
        <is>
          <t>high</t>
        </is>
      </c>
    </row>
    <row r="43">
      <c r="A43" s="17" t="inlineStr">
        <is>
          <t>2133</t>
        </is>
      </c>
      <c r="B43" s="18" t="inlineStr">
        <is>
          <t>Environmental Protection Professionals</t>
        </is>
      </c>
      <c r="C43" s="18" t="inlineStr">
        <is>
          <t>반도체 / 전자회로 / 하드웨어</t>
        </is>
      </c>
      <c r="D43" s="24" t="n">
        <v>81250000</v>
      </c>
      <c r="E43" s="24" t="n">
        <v>143750000</v>
      </c>
      <c r="F43" s="25" t="n">
        <v>137500</v>
      </c>
      <c r="G43" s="24" t="n">
        <v>106250</v>
      </c>
      <c r="H43" s="17" t="inlineStr">
        <is>
          <t>very-high</t>
        </is>
      </c>
      <c r="I43" s="21" t="inlineStr">
        <is>
          <t>8.3%</t>
        </is>
      </c>
      <c r="J43" s="17" t="n">
        <v>1</v>
      </c>
      <c r="K43" s="17" t="inlineStr">
        <is>
          <t>high</t>
        </is>
      </c>
    </row>
    <row r="44">
      <c r="A44" s="15" t="inlineStr">
        <is>
          <t>2141</t>
        </is>
      </c>
      <c r="B44" s="16" t="inlineStr">
        <is>
          <t>Industrial and Production Engineers</t>
        </is>
      </c>
      <c r="C44" s="16" t="inlineStr">
        <is>
          <t>반도체 / 전자회로 / 하드웨어</t>
        </is>
      </c>
      <c r="D44" s="22" t="n">
        <v>81250000</v>
      </c>
      <c r="E44" s="22" t="n">
        <v>143750000</v>
      </c>
      <c r="F44" s="23" t="n">
        <v>137500</v>
      </c>
      <c r="G44" s="22" t="n">
        <v>106250</v>
      </c>
      <c r="H44" s="15" t="inlineStr">
        <is>
          <t>very-high</t>
        </is>
      </c>
      <c r="I44" s="20" t="inlineStr">
        <is>
          <t>8.3%</t>
        </is>
      </c>
      <c r="J44" s="15" t="n">
        <v>0.93</v>
      </c>
      <c r="K44" s="15" t="inlineStr">
        <is>
          <t>high</t>
        </is>
      </c>
    </row>
    <row r="45">
      <c r="A45" s="17" t="inlineStr">
        <is>
          <t>2142</t>
        </is>
      </c>
      <c r="B45" s="18" t="inlineStr">
        <is>
          <t>Civil Engineers</t>
        </is>
      </c>
      <c r="C45" s="18" t="inlineStr">
        <is>
          <t>반도체 / 전자회로 / 하드웨어</t>
        </is>
      </c>
      <c r="D45" s="24" t="n">
        <v>81250000</v>
      </c>
      <c r="E45" s="24" t="n">
        <v>143750000</v>
      </c>
      <c r="F45" s="25" t="n">
        <v>137500</v>
      </c>
      <c r="G45" s="24" t="n">
        <v>106250</v>
      </c>
      <c r="H45" s="17" t="inlineStr">
        <is>
          <t>very-high</t>
        </is>
      </c>
      <c r="I45" s="21" t="inlineStr">
        <is>
          <t>8.3%</t>
        </is>
      </c>
      <c r="J45" s="17" t="n">
        <v>1</v>
      </c>
      <c r="K45" s="17" t="inlineStr">
        <is>
          <t>high</t>
        </is>
      </c>
    </row>
    <row r="46">
      <c r="A46" s="15" t="inlineStr">
        <is>
          <t>2143</t>
        </is>
      </c>
      <c r="B46" s="16" t="inlineStr">
        <is>
          <t>Environmental Engineers</t>
        </is>
      </c>
      <c r="C46" s="16" t="inlineStr">
        <is>
          <t>반도체 / 전자회로 / 하드웨어</t>
        </is>
      </c>
      <c r="D46" s="22" t="n">
        <v>81250000</v>
      </c>
      <c r="E46" s="22" t="n">
        <v>143750000</v>
      </c>
      <c r="F46" s="23" t="n">
        <v>137500</v>
      </c>
      <c r="G46" s="22" t="n">
        <v>106250</v>
      </c>
      <c r="H46" s="15" t="inlineStr">
        <is>
          <t>very-high</t>
        </is>
      </c>
      <c r="I46" s="20" t="inlineStr">
        <is>
          <t>8.3%</t>
        </is>
      </c>
      <c r="J46" s="15" t="n">
        <v>0.92</v>
      </c>
      <c r="K46" s="15" t="inlineStr">
        <is>
          <t>high</t>
        </is>
      </c>
    </row>
    <row r="47">
      <c r="A47" s="17" t="inlineStr">
        <is>
          <t>2144</t>
        </is>
      </c>
      <c r="B47" s="18" t="inlineStr">
        <is>
          <t>Mechanical Engineers</t>
        </is>
      </c>
      <c r="C47" s="18" t="inlineStr">
        <is>
          <t>반도체 / 전자회로 / 하드웨어</t>
        </is>
      </c>
      <c r="D47" s="24" t="n">
        <v>81250000</v>
      </c>
      <c r="E47" s="24" t="n">
        <v>143750000</v>
      </c>
      <c r="F47" s="25" t="n">
        <v>137500</v>
      </c>
      <c r="G47" s="24" t="n">
        <v>106250</v>
      </c>
      <c r="H47" s="17" t="inlineStr">
        <is>
          <t>very-high</t>
        </is>
      </c>
      <c r="I47" s="21" t="inlineStr">
        <is>
          <t>8.3%</t>
        </is>
      </c>
      <c r="J47" s="17" t="n">
        <v>1</v>
      </c>
      <c r="K47" s="17" t="inlineStr">
        <is>
          <t>high</t>
        </is>
      </c>
    </row>
    <row r="48">
      <c r="A48" s="15" t="inlineStr">
        <is>
          <t>2145</t>
        </is>
      </c>
      <c r="B48" s="16" t="inlineStr">
        <is>
          <t>Chemical Engineers</t>
        </is>
      </c>
      <c r="C48" s="16" t="inlineStr">
        <is>
          <t>반도체 / 전자회로 / 하드웨어</t>
        </is>
      </c>
      <c r="D48" s="22" t="n">
        <v>81250000</v>
      </c>
      <c r="E48" s="22" t="n">
        <v>143750000</v>
      </c>
      <c r="F48" s="23" t="n">
        <v>137500</v>
      </c>
      <c r="G48" s="22" t="n">
        <v>106250</v>
      </c>
      <c r="H48" s="15" t="inlineStr">
        <is>
          <t>very-high</t>
        </is>
      </c>
      <c r="I48" s="20" t="inlineStr">
        <is>
          <t>8.3%</t>
        </is>
      </c>
      <c r="J48" s="15" t="n">
        <v>1</v>
      </c>
      <c r="K48" s="15" t="inlineStr">
        <is>
          <t>high</t>
        </is>
      </c>
    </row>
    <row r="49">
      <c r="A49" s="17" t="inlineStr">
        <is>
          <t>2146</t>
        </is>
      </c>
      <c r="B49" s="18" t="inlineStr">
        <is>
          <t>Mining Engineers, Metallurgists and Related Professionals</t>
        </is>
      </c>
      <c r="C49" s="18" t="inlineStr">
        <is>
          <t>반도체 / 전자회로 / 하드웨어</t>
        </is>
      </c>
      <c r="D49" s="24" t="n">
        <v>81250000</v>
      </c>
      <c r="E49" s="24" t="n">
        <v>143750000</v>
      </c>
      <c r="F49" s="25" t="n">
        <v>137500</v>
      </c>
      <c r="G49" s="24" t="n">
        <v>106250</v>
      </c>
      <c r="H49" s="17" t="inlineStr">
        <is>
          <t>very-high</t>
        </is>
      </c>
      <c r="I49" s="21" t="inlineStr">
        <is>
          <t>8.3%</t>
        </is>
      </c>
      <c r="J49" s="17" t="n">
        <v>0.9399999999999999</v>
      </c>
      <c r="K49" s="17" t="inlineStr">
        <is>
          <t>high</t>
        </is>
      </c>
    </row>
    <row r="50">
      <c r="A50" s="15" t="inlineStr">
        <is>
          <t>2149</t>
        </is>
      </c>
      <c r="B50" s="16" t="inlineStr">
        <is>
          <t>Engineering Professionals Not Elsewhere Classified</t>
        </is>
      </c>
      <c r="C50" s="16" t="inlineStr">
        <is>
          <t>반도체 / 전자회로 / 하드웨어</t>
        </is>
      </c>
      <c r="D50" s="22" t="n">
        <v>81250000</v>
      </c>
      <c r="E50" s="22" t="n">
        <v>143750000</v>
      </c>
      <c r="F50" s="23" t="n">
        <v>137500</v>
      </c>
      <c r="G50" s="22" t="n">
        <v>106250</v>
      </c>
      <c r="H50" s="15" t="inlineStr">
        <is>
          <t>very-high</t>
        </is>
      </c>
      <c r="I50" s="20" t="inlineStr">
        <is>
          <t>8.3%</t>
        </is>
      </c>
      <c r="J50" s="15" t="n">
        <v>1</v>
      </c>
      <c r="K50" s="15" t="inlineStr">
        <is>
          <t>high</t>
        </is>
      </c>
    </row>
    <row r="51">
      <c r="A51" s="17" t="inlineStr">
        <is>
          <t>2151</t>
        </is>
      </c>
      <c r="B51" s="18" t="inlineStr">
        <is>
          <t>Electrical Engineers</t>
        </is>
      </c>
      <c r="C51" s="18" t="inlineStr">
        <is>
          <t>반도체 / 전자회로 / 하드웨어</t>
        </is>
      </c>
      <c r="D51" s="24" t="n">
        <v>81250000</v>
      </c>
      <c r="E51" s="24" t="n">
        <v>143750000</v>
      </c>
      <c r="F51" s="25" t="n">
        <v>137500</v>
      </c>
      <c r="G51" s="24" t="n">
        <v>106250</v>
      </c>
      <c r="H51" s="17" t="inlineStr">
        <is>
          <t>very-high</t>
        </is>
      </c>
      <c r="I51" s="21" t="inlineStr">
        <is>
          <t>8.3%</t>
        </is>
      </c>
      <c r="J51" s="17" t="n">
        <v>1</v>
      </c>
      <c r="K51" s="17" t="inlineStr">
        <is>
          <t>high</t>
        </is>
      </c>
    </row>
    <row r="52">
      <c r="A52" s="15" t="inlineStr">
        <is>
          <t>2152</t>
        </is>
      </c>
      <c r="B52" s="16" t="inlineStr">
        <is>
          <t>Electronics Engineers</t>
        </is>
      </c>
      <c r="C52" s="16" t="inlineStr">
        <is>
          <t>반도체 / 전자회로 / 하드웨어</t>
        </is>
      </c>
      <c r="D52" s="22" t="n">
        <v>81250000</v>
      </c>
      <c r="E52" s="22" t="n">
        <v>143750000</v>
      </c>
      <c r="F52" s="23" t="n">
        <v>137500</v>
      </c>
      <c r="G52" s="22" t="n">
        <v>106250</v>
      </c>
      <c r="H52" s="15" t="inlineStr">
        <is>
          <t>very-high</t>
        </is>
      </c>
      <c r="I52" s="20" t="inlineStr">
        <is>
          <t>8.3%</t>
        </is>
      </c>
      <c r="J52" s="15" t="n">
        <v>1</v>
      </c>
      <c r="K52" s="15" t="inlineStr">
        <is>
          <t>high</t>
        </is>
      </c>
    </row>
    <row r="53">
      <c r="A53" s="17" t="inlineStr">
        <is>
          <t>2153</t>
        </is>
      </c>
      <c r="B53" s="18" t="inlineStr">
        <is>
          <t>Telecommunications Engineers</t>
        </is>
      </c>
      <c r="C53" s="18" t="inlineStr">
        <is>
          <t>반도체 / 전자회로 / 하드웨어</t>
        </is>
      </c>
      <c r="D53" s="24" t="n">
        <v>81250000</v>
      </c>
      <c r="E53" s="24" t="n">
        <v>143750000</v>
      </c>
      <c r="F53" s="25" t="n">
        <v>137500</v>
      </c>
      <c r="G53" s="24" t="n">
        <v>106250</v>
      </c>
      <c r="H53" s="17" t="inlineStr">
        <is>
          <t>very-high</t>
        </is>
      </c>
      <c r="I53" s="21" t="inlineStr">
        <is>
          <t>8.3%</t>
        </is>
      </c>
      <c r="J53" s="17" t="n">
        <v>1</v>
      </c>
      <c r="K53" s="17" t="inlineStr">
        <is>
          <t>high</t>
        </is>
      </c>
    </row>
    <row r="54">
      <c r="A54" s="15" t="inlineStr">
        <is>
          <t>2161</t>
        </is>
      </c>
      <c r="B54" s="16" t="inlineStr">
        <is>
          <t>Building Architects</t>
        </is>
      </c>
      <c r="C54" s="16" t="inlineStr">
        <is>
          <t>반도체 / 전자회로 / 하드웨어</t>
        </is>
      </c>
      <c r="D54" s="22" t="n">
        <v>81250000</v>
      </c>
      <c r="E54" s="22" t="n">
        <v>143750000</v>
      </c>
      <c r="F54" s="23" t="n">
        <v>137500</v>
      </c>
      <c r="G54" s="22" t="n">
        <v>106250</v>
      </c>
      <c r="H54" s="15" t="inlineStr">
        <is>
          <t>very-high</t>
        </is>
      </c>
      <c r="I54" s="20" t="inlineStr">
        <is>
          <t>8.3%</t>
        </is>
      </c>
      <c r="J54" s="15" t="n">
        <v>0.91</v>
      </c>
      <c r="K54" s="15" t="inlineStr">
        <is>
          <t>high</t>
        </is>
      </c>
    </row>
    <row r="55">
      <c r="A55" s="17" t="inlineStr">
        <is>
          <t>2162</t>
        </is>
      </c>
      <c r="B55" s="18" t="inlineStr">
        <is>
          <t>Landscape Architects</t>
        </is>
      </c>
      <c r="C55" s="18" t="inlineStr">
        <is>
          <t>반도체 / 전자회로 / 하드웨어</t>
        </is>
      </c>
      <c r="D55" s="24" t="n">
        <v>81250000</v>
      </c>
      <c r="E55" s="24" t="n">
        <v>143750000</v>
      </c>
      <c r="F55" s="25" t="n">
        <v>137500</v>
      </c>
      <c r="G55" s="24" t="n">
        <v>106250</v>
      </c>
      <c r="H55" s="17" t="inlineStr">
        <is>
          <t>very-high</t>
        </is>
      </c>
      <c r="I55" s="21" t="inlineStr">
        <is>
          <t>8.3%</t>
        </is>
      </c>
      <c r="J55" s="17" t="n">
        <v>0.85</v>
      </c>
      <c r="K55" s="17" t="inlineStr">
        <is>
          <t>high</t>
        </is>
      </c>
    </row>
    <row r="56">
      <c r="A56" s="15" t="inlineStr">
        <is>
          <t>2163</t>
        </is>
      </c>
      <c r="B56" s="16" t="inlineStr">
        <is>
          <t>Product and Garment Designers</t>
        </is>
      </c>
      <c r="C56" s="16" t="inlineStr">
        <is>
          <t>반도체 / 전자회로 / 하드웨어</t>
        </is>
      </c>
      <c r="D56" s="22" t="n">
        <v>81250000</v>
      </c>
      <c r="E56" s="22" t="n">
        <v>143750000</v>
      </c>
      <c r="F56" s="23" t="n">
        <v>137500</v>
      </c>
      <c r="G56" s="22" t="n">
        <v>106250</v>
      </c>
      <c r="H56" s="15" t="inlineStr">
        <is>
          <t>very-high</t>
        </is>
      </c>
      <c r="I56" s="20" t="inlineStr">
        <is>
          <t>8.3%</t>
        </is>
      </c>
      <c r="J56" s="15" t="n">
        <v>0.91</v>
      </c>
      <c r="K56" s="15" t="inlineStr">
        <is>
          <t>high</t>
        </is>
      </c>
    </row>
    <row r="57">
      <c r="A57" s="17" t="inlineStr">
        <is>
          <t>2164</t>
        </is>
      </c>
      <c r="B57" s="18" t="inlineStr">
        <is>
          <t>Town and Traffic Planners</t>
        </is>
      </c>
      <c r="C57" s="18" t="inlineStr">
        <is>
          <t>반도체 / 전자회로 / 하드웨어</t>
        </is>
      </c>
      <c r="D57" s="24" t="n">
        <v>81250000</v>
      </c>
      <c r="E57" s="24" t="n">
        <v>143750000</v>
      </c>
      <c r="F57" s="25" t="n">
        <v>137500</v>
      </c>
      <c r="G57" s="24" t="n">
        <v>106250</v>
      </c>
      <c r="H57" s="17" t="inlineStr">
        <is>
          <t>very-high</t>
        </is>
      </c>
      <c r="I57" s="21" t="inlineStr">
        <is>
          <t>8.3%</t>
        </is>
      </c>
      <c r="J57" s="17" t="n">
        <v>0.93</v>
      </c>
      <c r="K57" s="17" t="inlineStr">
        <is>
          <t>high</t>
        </is>
      </c>
    </row>
    <row r="58">
      <c r="A58" s="15" t="inlineStr">
        <is>
          <t>2165</t>
        </is>
      </c>
      <c r="B58" s="16" t="inlineStr">
        <is>
          <t>Cartographers and Surveyors</t>
        </is>
      </c>
      <c r="C58" s="16" t="inlineStr">
        <is>
          <t>반도체 / 전자회로 / 하드웨어</t>
        </is>
      </c>
      <c r="D58" s="22" t="n">
        <v>81250000</v>
      </c>
      <c r="E58" s="22" t="n">
        <v>143750000</v>
      </c>
      <c r="F58" s="23" t="n">
        <v>137500</v>
      </c>
      <c r="G58" s="22" t="n">
        <v>106250</v>
      </c>
      <c r="H58" s="15" t="inlineStr">
        <is>
          <t>very-high</t>
        </is>
      </c>
      <c r="I58" s="20" t="inlineStr">
        <is>
          <t>8.3%</t>
        </is>
      </c>
      <c r="J58" s="15" t="n">
        <v>0.91</v>
      </c>
      <c r="K58" s="15" t="inlineStr">
        <is>
          <t>high</t>
        </is>
      </c>
    </row>
    <row r="59">
      <c r="A59" s="17" t="inlineStr">
        <is>
          <t>2166</t>
        </is>
      </c>
      <c r="B59" s="18" t="inlineStr">
        <is>
          <t>Graphic and Multimedia Designers</t>
        </is>
      </c>
      <c r="C59" s="18" t="inlineStr">
        <is>
          <t>반도체 / 전자회로 / 하드웨어</t>
        </is>
      </c>
      <c r="D59" s="24" t="n">
        <v>81250000</v>
      </c>
      <c r="E59" s="24" t="n">
        <v>143750000</v>
      </c>
      <c r="F59" s="25" t="n">
        <v>137500</v>
      </c>
      <c r="G59" s="24" t="n">
        <v>106250</v>
      </c>
      <c r="H59" s="17" t="inlineStr">
        <is>
          <t>very-high</t>
        </is>
      </c>
      <c r="I59" s="21" t="inlineStr">
        <is>
          <t>8.3%</t>
        </is>
      </c>
      <c r="J59" s="17" t="n">
        <v>1</v>
      </c>
      <c r="K59" s="17" t="inlineStr">
        <is>
          <t>high</t>
        </is>
      </c>
    </row>
    <row r="60">
      <c r="A60" s="15" t="inlineStr">
        <is>
          <t>2211</t>
        </is>
      </c>
      <c r="B60" s="16" t="inlineStr">
        <is>
          <t>Generalist Medical Practitioners</t>
        </is>
      </c>
      <c r="C60" s="16" t="inlineStr">
        <is>
          <t>바이오 / 제약 / 임상헬스케어</t>
        </is>
      </c>
      <c r="D60" s="22" t="n">
        <v>78000000</v>
      </c>
      <c r="E60" s="22" t="n">
        <v>138000000</v>
      </c>
      <c r="F60" s="23" t="n">
        <v>132000</v>
      </c>
      <c r="G60" s="22" t="n">
        <v>102000</v>
      </c>
      <c r="H60" s="15" t="inlineStr">
        <is>
          <t>very-high</t>
        </is>
      </c>
      <c r="I60" s="20" t="inlineStr">
        <is>
          <t>8.3%</t>
        </is>
      </c>
      <c r="J60" s="15" t="n">
        <v>0.93</v>
      </c>
      <c r="K60" s="15" t="inlineStr">
        <is>
          <t>high</t>
        </is>
      </c>
    </row>
    <row r="61">
      <c r="A61" s="17" t="inlineStr">
        <is>
          <t>2212</t>
        </is>
      </c>
      <c r="B61" s="18" t="inlineStr">
        <is>
          <t>Specialist Medical Practitioners</t>
        </is>
      </c>
      <c r="C61" s="18" t="inlineStr">
        <is>
          <t>바이오 / 제약 / 임상헬스케어</t>
        </is>
      </c>
      <c r="D61" s="24" t="n">
        <v>78000000</v>
      </c>
      <c r="E61" s="24" t="n">
        <v>138000000</v>
      </c>
      <c r="F61" s="25" t="n">
        <v>132000</v>
      </c>
      <c r="G61" s="24" t="n">
        <v>102000</v>
      </c>
      <c r="H61" s="17" t="inlineStr">
        <is>
          <t>very-high</t>
        </is>
      </c>
      <c r="I61" s="21" t="inlineStr">
        <is>
          <t>8.3%</t>
        </is>
      </c>
      <c r="J61" s="17" t="n">
        <v>0.93</v>
      </c>
      <c r="K61" s="17" t="inlineStr">
        <is>
          <t>high</t>
        </is>
      </c>
    </row>
    <row r="62">
      <c r="A62" s="15" t="inlineStr">
        <is>
          <t>2221</t>
        </is>
      </c>
      <c r="B62" s="16" t="inlineStr">
        <is>
          <t>Nursing Professionals</t>
        </is>
      </c>
      <c r="C62" s="16" t="inlineStr">
        <is>
          <t>바이오 / 제약 / 임상헬스케어</t>
        </is>
      </c>
      <c r="D62" s="22" t="n">
        <v>78000000</v>
      </c>
      <c r="E62" s="22" t="n">
        <v>138000000</v>
      </c>
      <c r="F62" s="23" t="n">
        <v>132000</v>
      </c>
      <c r="G62" s="22" t="n">
        <v>102000</v>
      </c>
      <c r="H62" s="15" t="inlineStr">
        <is>
          <t>very-high</t>
        </is>
      </c>
      <c r="I62" s="20" t="inlineStr">
        <is>
          <t>8.3%</t>
        </is>
      </c>
      <c r="J62" s="15" t="n">
        <v>0.9399999999999999</v>
      </c>
      <c r="K62" s="15" t="inlineStr">
        <is>
          <t>high</t>
        </is>
      </c>
    </row>
    <row r="63">
      <c r="A63" s="17" t="inlineStr">
        <is>
          <t>2222</t>
        </is>
      </c>
      <c r="B63" s="18" t="inlineStr">
        <is>
          <t>Midwifery Professionals</t>
        </is>
      </c>
      <c r="C63" s="18" t="inlineStr">
        <is>
          <t>바이오 / 제약 / 임상헬스케어</t>
        </is>
      </c>
      <c r="D63" s="24" t="n">
        <v>78000000</v>
      </c>
      <c r="E63" s="24" t="n">
        <v>138000000</v>
      </c>
      <c r="F63" s="25" t="n">
        <v>132000</v>
      </c>
      <c r="G63" s="24" t="n">
        <v>102000</v>
      </c>
      <c r="H63" s="17" t="inlineStr">
        <is>
          <t>very-high</t>
        </is>
      </c>
      <c r="I63" s="21" t="inlineStr">
        <is>
          <t>8.3%</t>
        </is>
      </c>
      <c r="J63" s="17" t="n">
        <v>1</v>
      </c>
      <c r="K63" s="17" t="inlineStr">
        <is>
          <t>high</t>
        </is>
      </c>
    </row>
    <row r="64">
      <c r="A64" s="15" t="inlineStr">
        <is>
          <t>2230</t>
        </is>
      </c>
      <c r="B64" s="16" t="inlineStr">
        <is>
          <t>Traditional and Complementary Medicine Professionals</t>
        </is>
      </c>
      <c r="C64" s="16" t="inlineStr">
        <is>
          <t>바이오 / 제약 / 임상헬스케어</t>
        </is>
      </c>
      <c r="D64" s="22" t="n">
        <v>78000000</v>
      </c>
      <c r="E64" s="22" t="n">
        <v>138000000</v>
      </c>
      <c r="F64" s="23" t="n">
        <v>132000</v>
      </c>
      <c r="G64" s="22" t="n">
        <v>102000</v>
      </c>
      <c r="H64" s="15" t="inlineStr">
        <is>
          <t>very-high</t>
        </is>
      </c>
      <c r="I64" s="20" t="inlineStr">
        <is>
          <t>8.3%</t>
        </is>
      </c>
      <c r="J64" s="15" t="n">
        <v>1</v>
      </c>
      <c r="K64" s="15" t="inlineStr">
        <is>
          <t>high</t>
        </is>
      </c>
    </row>
    <row r="65">
      <c r="A65" s="17" t="inlineStr">
        <is>
          <t>2240</t>
        </is>
      </c>
      <c r="B65" s="18" t="inlineStr">
        <is>
          <t>Paramedical Practitioners</t>
        </is>
      </c>
      <c r="C65" s="18" t="inlineStr">
        <is>
          <t>바이오 / 제약 / 임상헬스케어</t>
        </is>
      </c>
      <c r="D65" s="24" t="n">
        <v>78000000</v>
      </c>
      <c r="E65" s="24" t="n">
        <v>138000000</v>
      </c>
      <c r="F65" s="25" t="n">
        <v>132000</v>
      </c>
      <c r="G65" s="24" t="n">
        <v>102000</v>
      </c>
      <c r="H65" s="17" t="inlineStr">
        <is>
          <t>very-high</t>
        </is>
      </c>
      <c r="I65" s="21" t="inlineStr">
        <is>
          <t>8.3%</t>
        </is>
      </c>
      <c r="J65" s="17" t="n">
        <v>0.92</v>
      </c>
      <c r="K65" s="17" t="inlineStr">
        <is>
          <t>high</t>
        </is>
      </c>
    </row>
    <row r="66">
      <c r="A66" s="15" t="inlineStr">
        <is>
          <t>2250</t>
        </is>
      </c>
      <c r="B66" s="16" t="inlineStr">
        <is>
          <t>Veterinarians</t>
        </is>
      </c>
      <c r="C66" s="16" t="inlineStr">
        <is>
          <t>바이오 / 제약 / 임상헬스케어</t>
        </is>
      </c>
      <c r="D66" s="22" t="n">
        <v>78000000</v>
      </c>
      <c r="E66" s="22" t="n">
        <v>138000000</v>
      </c>
      <c r="F66" s="23" t="n">
        <v>132000</v>
      </c>
      <c r="G66" s="22" t="n">
        <v>102000</v>
      </c>
      <c r="H66" s="15" t="inlineStr">
        <is>
          <t>very-high</t>
        </is>
      </c>
      <c r="I66" s="20" t="inlineStr">
        <is>
          <t>8.3%</t>
        </is>
      </c>
      <c r="J66" s="15" t="n">
        <v>0.92</v>
      </c>
      <c r="K66" s="15" t="inlineStr">
        <is>
          <t>high</t>
        </is>
      </c>
    </row>
    <row r="67">
      <c r="A67" s="17" t="inlineStr">
        <is>
          <t>2261</t>
        </is>
      </c>
      <c r="B67" s="18" t="inlineStr">
        <is>
          <t>Dentists</t>
        </is>
      </c>
      <c r="C67" s="18" t="inlineStr">
        <is>
          <t>바이오 / 제약 / 임상헬스케어</t>
        </is>
      </c>
      <c r="D67" s="24" t="n">
        <v>78000000</v>
      </c>
      <c r="E67" s="24" t="n">
        <v>138000000</v>
      </c>
      <c r="F67" s="25" t="n">
        <v>132000</v>
      </c>
      <c r="G67" s="24" t="n">
        <v>102000</v>
      </c>
      <c r="H67" s="17" t="inlineStr">
        <is>
          <t>very-high</t>
        </is>
      </c>
      <c r="I67" s="21" t="inlineStr">
        <is>
          <t>8.3%</t>
        </is>
      </c>
      <c r="J67" s="17" t="n">
        <v>0.88</v>
      </c>
      <c r="K67" s="17" t="inlineStr">
        <is>
          <t>high</t>
        </is>
      </c>
    </row>
    <row r="68">
      <c r="A68" s="15" t="inlineStr">
        <is>
          <t>2262</t>
        </is>
      </c>
      <c r="B68" s="16" t="inlineStr">
        <is>
          <t>Pharmacists</t>
        </is>
      </c>
      <c r="C68" s="16" t="inlineStr">
        <is>
          <t>바이오 / 제약 / 임상헬스케어</t>
        </is>
      </c>
      <c r="D68" s="22" t="n">
        <v>78000000</v>
      </c>
      <c r="E68" s="22" t="n">
        <v>138000000</v>
      </c>
      <c r="F68" s="23" t="n">
        <v>132000</v>
      </c>
      <c r="G68" s="22" t="n">
        <v>102000</v>
      </c>
      <c r="H68" s="15" t="inlineStr">
        <is>
          <t>very-high</t>
        </is>
      </c>
      <c r="I68" s="20" t="inlineStr">
        <is>
          <t>8.3%</t>
        </is>
      </c>
      <c r="J68" s="15" t="n">
        <v>0.89</v>
      </c>
      <c r="K68" s="15" t="inlineStr">
        <is>
          <t>high</t>
        </is>
      </c>
    </row>
    <row r="69">
      <c r="A69" s="17" t="inlineStr">
        <is>
          <t>2263</t>
        </is>
      </c>
      <c r="B69" s="18" t="inlineStr">
        <is>
          <t>Environmental and Occupational Health and Hygiene Professionals</t>
        </is>
      </c>
      <c r="C69" s="18" t="inlineStr">
        <is>
          <t>바이오 / 제약 / 임상헬스케어</t>
        </is>
      </c>
      <c r="D69" s="24" t="n">
        <v>78000000</v>
      </c>
      <c r="E69" s="24" t="n">
        <v>138000000</v>
      </c>
      <c r="F69" s="25" t="n">
        <v>132000</v>
      </c>
      <c r="G69" s="24" t="n">
        <v>102000</v>
      </c>
      <c r="H69" s="17" t="inlineStr">
        <is>
          <t>very-high</t>
        </is>
      </c>
      <c r="I69" s="21" t="inlineStr">
        <is>
          <t>8.3%</t>
        </is>
      </c>
      <c r="J69" s="17" t="n">
        <v>0.9399999999999999</v>
      </c>
      <c r="K69" s="17" t="inlineStr">
        <is>
          <t>high</t>
        </is>
      </c>
    </row>
    <row r="70">
      <c r="A70" s="15" t="inlineStr">
        <is>
          <t>2264</t>
        </is>
      </c>
      <c r="B70" s="16" t="inlineStr">
        <is>
          <t>Physiotherapists</t>
        </is>
      </c>
      <c r="C70" s="16" t="inlineStr">
        <is>
          <t>바이오 / 제약 / 임상헬스케어</t>
        </is>
      </c>
      <c r="D70" s="22" t="n">
        <v>78000000</v>
      </c>
      <c r="E70" s="22" t="n">
        <v>138000000</v>
      </c>
      <c r="F70" s="23" t="n">
        <v>132000</v>
      </c>
      <c r="G70" s="22" t="n">
        <v>102000</v>
      </c>
      <c r="H70" s="15" t="inlineStr">
        <is>
          <t>very-high</t>
        </is>
      </c>
      <c r="I70" s="20" t="inlineStr">
        <is>
          <t>8.3%</t>
        </is>
      </c>
      <c r="J70" s="15" t="n">
        <v>0.9</v>
      </c>
      <c r="K70" s="15" t="inlineStr">
        <is>
          <t>high</t>
        </is>
      </c>
    </row>
    <row r="71">
      <c r="A71" s="17" t="inlineStr">
        <is>
          <t>2265</t>
        </is>
      </c>
      <c r="B71" s="18" t="inlineStr">
        <is>
          <t>Dieticians and Nutritionists</t>
        </is>
      </c>
      <c r="C71" s="18" t="inlineStr">
        <is>
          <t>바이오 / 제약 / 임상헬스케어</t>
        </is>
      </c>
      <c r="D71" s="24" t="n">
        <v>78000000</v>
      </c>
      <c r="E71" s="24" t="n">
        <v>138000000</v>
      </c>
      <c r="F71" s="25" t="n">
        <v>132000</v>
      </c>
      <c r="G71" s="24" t="n">
        <v>102000</v>
      </c>
      <c r="H71" s="17" t="inlineStr">
        <is>
          <t>very-high</t>
        </is>
      </c>
      <c r="I71" s="21" t="inlineStr">
        <is>
          <t>8.3%</t>
        </is>
      </c>
      <c r="J71" s="17" t="n">
        <v>0.92</v>
      </c>
      <c r="K71" s="17" t="inlineStr">
        <is>
          <t>high</t>
        </is>
      </c>
    </row>
    <row r="72">
      <c r="A72" s="15" t="inlineStr">
        <is>
          <t>2266</t>
        </is>
      </c>
      <c r="B72" s="16" t="inlineStr">
        <is>
          <t>Audiologists and Speech Therapists</t>
        </is>
      </c>
      <c r="C72" s="16" t="inlineStr">
        <is>
          <t>바이오 / 제약 / 임상헬스케어</t>
        </is>
      </c>
      <c r="D72" s="22" t="n">
        <v>78000000</v>
      </c>
      <c r="E72" s="22" t="n">
        <v>138000000</v>
      </c>
      <c r="F72" s="23" t="n">
        <v>132000</v>
      </c>
      <c r="G72" s="22" t="n">
        <v>102000</v>
      </c>
      <c r="H72" s="15" t="inlineStr">
        <is>
          <t>very-high</t>
        </is>
      </c>
      <c r="I72" s="20" t="inlineStr">
        <is>
          <t>8.3%</t>
        </is>
      </c>
      <c r="J72" s="15" t="n">
        <v>1</v>
      </c>
      <c r="K72" s="15" t="inlineStr">
        <is>
          <t>high</t>
        </is>
      </c>
    </row>
    <row r="73">
      <c r="A73" s="17" t="inlineStr">
        <is>
          <t>2267</t>
        </is>
      </c>
      <c r="B73" s="18" t="inlineStr">
        <is>
          <t>Optometrists and Ophthalmic Opticians</t>
        </is>
      </c>
      <c r="C73" s="18" t="inlineStr">
        <is>
          <t>바이오 / 제약 / 임상헬스케어</t>
        </is>
      </c>
      <c r="D73" s="24" t="n">
        <v>78000000</v>
      </c>
      <c r="E73" s="24" t="n">
        <v>138000000</v>
      </c>
      <c r="F73" s="25" t="n">
        <v>132000</v>
      </c>
      <c r="G73" s="24" t="n">
        <v>102000</v>
      </c>
      <c r="H73" s="17" t="inlineStr">
        <is>
          <t>very-high</t>
        </is>
      </c>
      <c r="I73" s="21" t="inlineStr">
        <is>
          <t>8.3%</t>
        </is>
      </c>
      <c r="J73" s="17" t="n">
        <v>0.92</v>
      </c>
      <c r="K73" s="17" t="inlineStr">
        <is>
          <t>high</t>
        </is>
      </c>
    </row>
    <row r="74">
      <c r="A74" s="15" t="inlineStr">
        <is>
          <t>2269</t>
        </is>
      </c>
      <c r="B74" s="16" t="inlineStr">
        <is>
          <t>Health Professionals Not Elsewhere Classified</t>
        </is>
      </c>
      <c r="C74" s="16" t="inlineStr">
        <is>
          <t>바이오 / 제약 / 임상헬스케어</t>
        </is>
      </c>
      <c r="D74" s="22" t="n">
        <v>78000000</v>
      </c>
      <c r="E74" s="22" t="n">
        <v>138000000</v>
      </c>
      <c r="F74" s="23" t="n">
        <v>132000</v>
      </c>
      <c r="G74" s="22" t="n">
        <v>102000</v>
      </c>
      <c r="H74" s="15" t="inlineStr">
        <is>
          <t>very-high</t>
        </is>
      </c>
      <c r="I74" s="20" t="inlineStr">
        <is>
          <t>8.3%</t>
        </is>
      </c>
      <c r="J74" s="15" t="n">
        <v>1</v>
      </c>
      <c r="K74" s="15" t="inlineStr">
        <is>
          <t>high</t>
        </is>
      </c>
    </row>
    <row r="75">
      <c r="A75" s="17" t="inlineStr">
        <is>
          <t>2310</t>
        </is>
      </c>
      <c r="B75" s="18" t="inlineStr">
        <is>
          <t>University and Higher Education Teachers</t>
        </is>
      </c>
      <c r="C75" s="18" t="inlineStr">
        <is>
          <t>경영전략 / 인사 / 사업개발</t>
        </is>
      </c>
      <c r="D75" s="24" t="n">
        <v>74750000</v>
      </c>
      <c r="E75" s="24" t="n">
        <v>132249999</v>
      </c>
      <c r="F75" s="25" t="n">
        <v>126499</v>
      </c>
      <c r="G75" s="24" t="n">
        <v>97749</v>
      </c>
      <c r="H75" s="17" t="inlineStr">
        <is>
          <t>increasing</t>
        </is>
      </c>
      <c r="I75" s="21" t="inlineStr">
        <is>
          <t>8.3%</t>
        </is>
      </c>
      <c r="J75" s="17" t="n">
        <v>0.92</v>
      </c>
      <c r="K75" s="17" t="inlineStr">
        <is>
          <t>high</t>
        </is>
      </c>
    </row>
    <row r="76">
      <c r="A76" s="15" t="inlineStr">
        <is>
          <t>2320</t>
        </is>
      </c>
      <c r="B76" s="16" t="inlineStr">
        <is>
          <t>Vocational Education Teachers</t>
        </is>
      </c>
      <c r="C76" s="16" t="inlineStr">
        <is>
          <t>경영전략 / 인사 / 사업개발</t>
        </is>
      </c>
      <c r="D76" s="22" t="n">
        <v>74750000</v>
      </c>
      <c r="E76" s="22" t="n">
        <v>132249999</v>
      </c>
      <c r="F76" s="23" t="n">
        <v>126499</v>
      </c>
      <c r="G76" s="22" t="n">
        <v>97749</v>
      </c>
      <c r="H76" s="15" t="inlineStr">
        <is>
          <t>increasing</t>
        </is>
      </c>
      <c r="I76" s="20" t="inlineStr">
        <is>
          <t>8.3%</t>
        </is>
      </c>
      <c r="J76" s="15" t="n">
        <v>1</v>
      </c>
      <c r="K76" s="15" t="inlineStr">
        <is>
          <t>high</t>
        </is>
      </c>
    </row>
    <row r="77">
      <c r="A77" s="17" t="inlineStr">
        <is>
          <t>2330</t>
        </is>
      </c>
      <c r="B77" s="18" t="inlineStr">
        <is>
          <t>Secondary Education Teachers</t>
        </is>
      </c>
      <c r="C77" s="18" t="inlineStr">
        <is>
          <t>경영전략 / 인사 / 사업개발</t>
        </is>
      </c>
      <c r="D77" s="24" t="n">
        <v>74750000</v>
      </c>
      <c r="E77" s="24" t="n">
        <v>132249999</v>
      </c>
      <c r="F77" s="25" t="n">
        <v>126499</v>
      </c>
      <c r="G77" s="24" t="n">
        <v>97749</v>
      </c>
      <c r="H77" s="17" t="inlineStr">
        <is>
          <t>increasing</t>
        </is>
      </c>
      <c r="I77" s="21" t="inlineStr">
        <is>
          <t>8.3%</t>
        </is>
      </c>
      <c r="J77" s="17" t="n">
        <v>1</v>
      </c>
      <c r="K77" s="17" t="inlineStr">
        <is>
          <t>high</t>
        </is>
      </c>
    </row>
    <row r="78">
      <c r="A78" s="15" t="inlineStr">
        <is>
          <t>2341</t>
        </is>
      </c>
      <c r="B78" s="16" t="inlineStr">
        <is>
          <t>Primary School Teachers</t>
        </is>
      </c>
      <c r="C78" s="16" t="inlineStr">
        <is>
          <t>경영전략 / 인사 / 사업개발</t>
        </is>
      </c>
      <c r="D78" s="22" t="n">
        <v>74750000</v>
      </c>
      <c r="E78" s="22" t="n">
        <v>132249999</v>
      </c>
      <c r="F78" s="23" t="n">
        <v>126499</v>
      </c>
      <c r="G78" s="22" t="n">
        <v>97749</v>
      </c>
      <c r="H78" s="15" t="inlineStr">
        <is>
          <t>increasing</t>
        </is>
      </c>
      <c r="I78" s="20" t="inlineStr">
        <is>
          <t>8.3%</t>
        </is>
      </c>
      <c r="J78" s="15" t="n">
        <v>1</v>
      </c>
      <c r="K78" s="15" t="inlineStr">
        <is>
          <t>high</t>
        </is>
      </c>
    </row>
    <row r="79">
      <c r="A79" s="17" t="inlineStr">
        <is>
          <t>2342</t>
        </is>
      </c>
      <c r="B79" s="18" t="inlineStr">
        <is>
          <t>Early Childhood Educators</t>
        </is>
      </c>
      <c r="C79" s="18" t="inlineStr">
        <is>
          <t>경영전략 / 인사 / 사업개발</t>
        </is>
      </c>
      <c r="D79" s="24" t="n">
        <v>74750000</v>
      </c>
      <c r="E79" s="24" t="n">
        <v>132249999</v>
      </c>
      <c r="F79" s="25" t="n">
        <v>126499</v>
      </c>
      <c r="G79" s="24" t="n">
        <v>97749</v>
      </c>
      <c r="H79" s="17" t="inlineStr">
        <is>
          <t>increasing</t>
        </is>
      </c>
      <c r="I79" s="21" t="inlineStr">
        <is>
          <t>8.3%</t>
        </is>
      </c>
      <c r="J79" s="17" t="n">
        <v>1</v>
      </c>
      <c r="K79" s="17" t="inlineStr">
        <is>
          <t>high</t>
        </is>
      </c>
    </row>
    <row r="80">
      <c r="A80" s="15" t="inlineStr">
        <is>
          <t>2351</t>
        </is>
      </c>
      <c r="B80" s="16" t="inlineStr">
        <is>
          <t>Education Methods Specialists</t>
        </is>
      </c>
      <c r="C80" s="16" t="inlineStr">
        <is>
          <t>경영전략 / 인사 / 사업개발</t>
        </is>
      </c>
      <c r="D80" s="22" t="n">
        <v>74750000</v>
      </c>
      <c r="E80" s="22" t="n">
        <v>132249999</v>
      </c>
      <c r="F80" s="23" t="n">
        <v>126499</v>
      </c>
      <c r="G80" s="22" t="n">
        <v>97749</v>
      </c>
      <c r="H80" s="15" t="inlineStr">
        <is>
          <t>increasing</t>
        </is>
      </c>
      <c r="I80" s="20" t="inlineStr">
        <is>
          <t>8.3%</t>
        </is>
      </c>
      <c r="J80" s="15" t="n">
        <v>1</v>
      </c>
      <c r="K80" s="15" t="inlineStr">
        <is>
          <t>high</t>
        </is>
      </c>
    </row>
    <row r="81">
      <c r="A81" s="17" t="inlineStr">
        <is>
          <t>2352</t>
        </is>
      </c>
      <c r="B81" s="18" t="inlineStr">
        <is>
          <t>Special Needs Teachers</t>
        </is>
      </c>
      <c r="C81" s="18" t="inlineStr">
        <is>
          <t>경영전략 / 인사 / 사업개발</t>
        </is>
      </c>
      <c r="D81" s="24" t="n">
        <v>74750000</v>
      </c>
      <c r="E81" s="24" t="n">
        <v>132249999</v>
      </c>
      <c r="F81" s="25" t="n">
        <v>126499</v>
      </c>
      <c r="G81" s="24" t="n">
        <v>97749</v>
      </c>
      <c r="H81" s="17" t="inlineStr">
        <is>
          <t>increasing</t>
        </is>
      </c>
      <c r="I81" s="21" t="inlineStr">
        <is>
          <t>8.3%</t>
        </is>
      </c>
      <c r="J81" s="17" t="n">
        <v>0.9399999999999999</v>
      </c>
      <c r="K81" s="17" t="inlineStr">
        <is>
          <t>high</t>
        </is>
      </c>
    </row>
    <row r="82">
      <c r="A82" s="15" t="inlineStr">
        <is>
          <t>2353</t>
        </is>
      </c>
      <c r="B82" s="16" t="inlineStr">
        <is>
          <t>Other Language Teachers</t>
        </is>
      </c>
      <c r="C82" s="16" t="inlineStr">
        <is>
          <t>경영전략 / 인사 / 사업개발</t>
        </is>
      </c>
      <c r="D82" s="22" t="n">
        <v>74750000</v>
      </c>
      <c r="E82" s="22" t="n">
        <v>132249999</v>
      </c>
      <c r="F82" s="23" t="n">
        <v>126499</v>
      </c>
      <c r="G82" s="22" t="n">
        <v>97749</v>
      </c>
      <c r="H82" s="15" t="inlineStr">
        <is>
          <t>increasing</t>
        </is>
      </c>
      <c r="I82" s="20" t="inlineStr">
        <is>
          <t>8.3%</t>
        </is>
      </c>
      <c r="J82" s="15" t="n">
        <v>0.92</v>
      </c>
      <c r="K82" s="15" t="inlineStr">
        <is>
          <t>high</t>
        </is>
      </c>
    </row>
    <row r="83">
      <c r="A83" s="17" t="inlineStr">
        <is>
          <t>2354</t>
        </is>
      </c>
      <c r="B83" s="18" t="inlineStr">
        <is>
          <t>Other Music Teachers</t>
        </is>
      </c>
      <c r="C83" s="18" t="inlineStr">
        <is>
          <t>경영전략 / 인사 / 사업개발</t>
        </is>
      </c>
      <c r="D83" s="24" t="n">
        <v>74750000</v>
      </c>
      <c r="E83" s="24" t="n">
        <v>132249999</v>
      </c>
      <c r="F83" s="25" t="n">
        <v>126499</v>
      </c>
      <c r="G83" s="24" t="n">
        <v>97749</v>
      </c>
      <c r="H83" s="17" t="inlineStr">
        <is>
          <t>increasing</t>
        </is>
      </c>
      <c r="I83" s="21" t="inlineStr">
        <is>
          <t>8.3%</t>
        </is>
      </c>
      <c r="J83" s="17" t="n">
        <v>0.93</v>
      </c>
      <c r="K83" s="17" t="inlineStr">
        <is>
          <t>high</t>
        </is>
      </c>
    </row>
    <row r="84">
      <c r="A84" s="15" t="inlineStr">
        <is>
          <t>2355</t>
        </is>
      </c>
      <c r="B84" s="16" t="inlineStr">
        <is>
          <t>Other Arts Teachers</t>
        </is>
      </c>
      <c r="C84" s="16" t="inlineStr">
        <is>
          <t>경영전략 / 인사 / 사업개발</t>
        </is>
      </c>
      <c r="D84" s="22" t="n">
        <v>74750000</v>
      </c>
      <c r="E84" s="22" t="n">
        <v>132249999</v>
      </c>
      <c r="F84" s="23" t="n">
        <v>126499</v>
      </c>
      <c r="G84" s="22" t="n">
        <v>97749</v>
      </c>
      <c r="H84" s="15" t="inlineStr">
        <is>
          <t>increasing</t>
        </is>
      </c>
      <c r="I84" s="20" t="inlineStr">
        <is>
          <t>8.3%</t>
        </is>
      </c>
      <c r="J84" s="15" t="n">
        <v>0.92</v>
      </c>
      <c r="K84" s="15" t="inlineStr">
        <is>
          <t>high</t>
        </is>
      </c>
    </row>
    <row r="85">
      <c r="A85" s="17" t="inlineStr">
        <is>
          <t>2356</t>
        </is>
      </c>
      <c r="B85" s="18" t="inlineStr">
        <is>
          <t>Information Technology Trainers</t>
        </is>
      </c>
      <c r="C85" s="18" t="inlineStr">
        <is>
          <t>경영전략 / 인사 / 사업개발</t>
        </is>
      </c>
      <c r="D85" s="24" t="n">
        <v>74750000</v>
      </c>
      <c r="E85" s="24" t="n">
        <v>132249999</v>
      </c>
      <c r="F85" s="25" t="n">
        <v>126499</v>
      </c>
      <c r="G85" s="24" t="n">
        <v>97749</v>
      </c>
      <c r="H85" s="17" t="inlineStr">
        <is>
          <t>increasing</t>
        </is>
      </c>
      <c r="I85" s="21" t="inlineStr">
        <is>
          <t>8.3%</t>
        </is>
      </c>
      <c r="J85" s="17" t="n">
        <v>0.93</v>
      </c>
      <c r="K85" s="17" t="inlineStr">
        <is>
          <t>high</t>
        </is>
      </c>
    </row>
    <row r="86">
      <c r="A86" s="15" t="inlineStr">
        <is>
          <t>2359</t>
        </is>
      </c>
      <c r="B86" s="16" t="inlineStr">
        <is>
          <t>Teaching Professionals Not Elsewhere Classified</t>
        </is>
      </c>
      <c r="C86" s="16" t="inlineStr">
        <is>
          <t>경영전략 / 인사 / 사업개발</t>
        </is>
      </c>
      <c r="D86" s="22" t="n">
        <v>74750000</v>
      </c>
      <c r="E86" s="22" t="n">
        <v>132249999</v>
      </c>
      <c r="F86" s="23" t="n">
        <v>126499</v>
      </c>
      <c r="G86" s="22" t="n">
        <v>97749</v>
      </c>
      <c r="H86" s="15" t="inlineStr">
        <is>
          <t>increasing</t>
        </is>
      </c>
      <c r="I86" s="20" t="inlineStr">
        <is>
          <t>8.3%</t>
        </is>
      </c>
      <c r="J86" s="15" t="n">
        <v>0.93</v>
      </c>
      <c r="K86" s="15" t="inlineStr">
        <is>
          <t>high</t>
        </is>
      </c>
    </row>
    <row r="87">
      <c r="A87" s="17" t="inlineStr">
        <is>
          <t>2411</t>
        </is>
      </c>
      <c r="B87" s="18" t="inlineStr">
        <is>
          <t>Accountants</t>
        </is>
      </c>
      <c r="C87" s="18" t="inlineStr">
        <is>
          <t>금융투자 / 핀테크 / 리스크</t>
        </is>
      </c>
      <c r="D87" s="24" t="n">
        <v>81250000</v>
      </c>
      <c r="E87" s="24" t="n">
        <v>143750000</v>
      </c>
      <c r="F87" s="25" t="n">
        <v>137500</v>
      </c>
      <c r="G87" s="24" t="n">
        <v>106250</v>
      </c>
      <c r="H87" s="17" t="inlineStr">
        <is>
          <t>increasing</t>
        </is>
      </c>
      <c r="I87" s="21" t="inlineStr">
        <is>
          <t>8.3%</t>
        </is>
      </c>
      <c r="J87" s="17" t="n">
        <v>0.91</v>
      </c>
      <c r="K87" s="17" t="inlineStr">
        <is>
          <t>top-tier</t>
        </is>
      </c>
    </row>
    <row r="88">
      <c r="A88" s="15" t="inlineStr">
        <is>
          <t>2412</t>
        </is>
      </c>
      <c r="B88" s="16" t="inlineStr">
        <is>
          <t>Financial and Investment Advisers</t>
        </is>
      </c>
      <c r="C88" s="16" t="inlineStr">
        <is>
          <t>금융투자 / 핀테크 / 리스크</t>
        </is>
      </c>
      <c r="D88" s="22" t="n">
        <v>81250000</v>
      </c>
      <c r="E88" s="22" t="n">
        <v>143750000</v>
      </c>
      <c r="F88" s="23" t="n">
        <v>137500</v>
      </c>
      <c r="G88" s="22" t="n">
        <v>106250</v>
      </c>
      <c r="H88" s="15" t="inlineStr">
        <is>
          <t>increasing</t>
        </is>
      </c>
      <c r="I88" s="20" t="inlineStr">
        <is>
          <t>8.3%</t>
        </is>
      </c>
      <c r="J88" s="15" t="n">
        <v>1</v>
      </c>
      <c r="K88" s="15" t="inlineStr">
        <is>
          <t>top-tier</t>
        </is>
      </c>
    </row>
    <row r="89">
      <c r="A89" s="17" t="inlineStr">
        <is>
          <t>2413</t>
        </is>
      </c>
      <c r="B89" s="18" t="inlineStr">
        <is>
          <t>Financial Analysts</t>
        </is>
      </c>
      <c r="C89" s="18" t="inlineStr">
        <is>
          <t>금융투자 / 핀테크 / 리스크</t>
        </is>
      </c>
      <c r="D89" s="24" t="n">
        <v>81250000</v>
      </c>
      <c r="E89" s="24" t="n">
        <v>143750000</v>
      </c>
      <c r="F89" s="25" t="n">
        <v>137500</v>
      </c>
      <c r="G89" s="24" t="n">
        <v>106250</v>
      </c>
      <c r="H89" s="17" t="inlineStr">
        <is>
          <t>increasing</t>
        </is>
      </c>
      <c r="I89" s="21" t="inlineStr">
        <is>
          <t>8.3%</t>
        </is>
      </c>
      <c r="J89" s="17" t="n">
        <v>1</v>
      </c>
      <c r="K89" s="17" t="inlineStr">
        <is>
          <t>top-tier</t>
        </is>
      </c>
    </row>
    <row r="90">
      <c r="A90" s="15" t="inlineStr">
        <is>
          <t>2421</t>
        </is>
      </c>
      <c r="B90" s="16" t="inlineStr">
        <is>
          <t>Management and Organization Analysts</t>
        </is>
      </c>
      <c r="C90" s="16" t="inlineStr">
        <is>
          <t>금융투자 / 핀테크 / 리스크</t>
        </is>
      </c>
      <c r="D90" s="22" t="n">
        <v>81250000</v>
      </c>
      <c r="E90" s="22" t="n">
        <v>143750000</v>
      </c>
      <c r="F90" s="23" t="n">
        <v>137500</v>
      </c>
      <c r="G90" s="22" t="n">
        <v>106250</v>
      </c>
      <c r="H90" s="15" t="inlineStr">
        <is>
          <t>increasing</t>
        </is>
      </c>
      <c r="I90" s="20" t="inlineStr">
        <is>
          <t>8.3%</t>
        </is>
      </c>
      <c r="J90" s="15" t="n">
        <v>0.9399999999999999</v>
      </c>
      <c r="K90" s="15" t="inlineStr">
        <is>
          <t>top-tier</t>
        </is>
      </c>
    </row>
    <row r="91">
      <c r="A91" s="17" t="inlineStr">
        <is>
          <t>2422</t>
        </is>
      </c>
      <c r="B91" s="18" t="inlineStr">
        <is>
          <t>Policy Administration Professionals</t>
        </is>
      </c>
      <c r="C91" s="18" t="inlineStr">
        <is>
          <t>금융투자 / 핀테크 / 리스크</t>
        </is>
      </c>
      <c r="D91" s="24" t="n">
        <v>81250000</v>
      </c>
      <c r="E91" s="24" t="n">
        <v>143750000</v>
      </c>
      <c r="F91" s="25" t="n">
        <v>137500</v>
      </c>
      <c r="G91" s="24" t="n">
        <v>106250</v>
      </c>
      <c r="H91" s="17" t="inlineStr">
        <is>
          <t>increasing</t>
        </is>
      </c>
      <c r="I91" s="21" t="inlineStr">
        <is>
          <t>8.3%</t>
        </is>
      </c>
      <c r="J91" s="17" t="n">
        <v>1</v>
      </c>
      <c r="K91" s="17" t="inlineStr">
        <is>
          <t>top-tier</t>
        </is>
      </c>
    </row>
    <row r="92">
      <c r="A92" s="15" t="inlineStr">
        <is>
          <t>2423</t>
        </is>
      </c>
      <c r="B92" s="16" t="inlineStr">
        <is>
          <t>Personnel and Careers Professionals</t>
        </is>
      </c>
      <c r="C92" s="16" t="inlineStr">
        <is>
          <t>금융투자 / 핀테크 / 리스크</t>
        </is>
      </c>
      <c r="D92" s="22" t="n">
        <v>81250000</v>
      </c>
      <c r="E92" s="22" t="n">
        <v>143750000</v>
      </c>
      <c r="F92" s="23" t="n">
        <v>137500</v>
      </c>
      <c r="G92" s="22" t="n">
        <v>106250</v>
      </c>
      <c r="H92" s="15" t="inlineStr">
        <is>
          <t>increasing</t>
        </is>
      </c>
      <c r="I92" s="20" t="inlineStr">
        <is>
          <t>8.3%</t>
        </is>
      </c>
      <c r="J92" s="15" t="n">
        <v>1</v>
      </c>
      <c r="K92" s="15" t="inlineStr">
        <is>
          <t>top-tier</t>
        </is>
      </c>
    </row>
    <row r="93">
      <c r="A93" s="17" t="inlineStr">
        <is>
          <t>2424</t>
        </is>
      </c>
      <c r="B93" s="18" t="inlineStr">
        <is>
          <t>Training and Staff Development Professionals</t>
        </is>
      </c>
      <c r="C93" s="18" t="inlineStr">
        <is>
          <t>금융투자 / 핀테크 / 리스크</t>
        </is>
      </c>
      <c r="D93" s="24" t="n">
        <v>81250000</v>
      </c>
      <c r="E93" s="24" t="n">
        <v>143750000</v>
      </c>
      <c r="F93" s="25" t="n">
        <v>137500</v>
      </c>
      <c r="G93" s="24" t="n">
        <v>106250</v>
      </c>
      <c r="H93" s="17" t="inlineStr">
        <is>
          <t>increasing</t>
        </is>
      </c>
      <c r="I93" s="21" t="inlineStr">
        <is>
          <t>8.3%</t>
        </is>
      </c>
      <c r="J93" s="17" t="n">
        <v>1</v>
      </c>
      <c r="K93" s="17" t="inlineStr">
        <is>
          <t>top-tier</t>
        </is>
      </c>
    </row>
    <row r="94">
      <c r="A94" s="15" t="inlineStr">
        <is>
          <t>2431</t>
        </is>
      </c>
      <c r="B94" s="16" t="inlineStr">
        <is>
          <t>Advertising and Marketing Professionals</t>
        </is>
      </c>
      <c r="C94" s="16" t="inlineStr">
        <is>
          <t>금융투자 / 핀테크 / 리스크</t>
        </is>
      </c>
      <c r="D94" s="22" t="n">
        <v>81250000</v>
      </c>
      <c r="E94" s="22" t="n">
        <v>143750000</v>
      </c>
      <c r="F94" s="23" t="n">
        <v>137500</v>
      </c>
      <c r="G94" s="22" t="n">
        <v>106250</v>
      </c>
      <c r="H94" s="15" t="inlineStr">
        <is>
          <t>increasing</t>
        </is>
      </c>
      <c r="I94" s="20" t="inlineStr">
        <is>
          <t>8.3%</t>
        </is>
      </c>
      <c r="J94" s="15" t="n">
        <v>0.92</v>
      </c>
      <c r="K94" s="15" t="inlineStr">
        <is>
          <t>top-tier</t>
        </is>
      </c>
    </row>
    <row r="95">
      <c r="A95" s="17" t="inlineStr">
        <is>
          <t>2432</t>
        </is>
      </c>
      <c r="B95" s="18" t="inlineStr">
        <is>
          <t>Public Relations Professionals</t>
        </is>
      </c>
      <c r="C95" s="18" t="inlineStr">
        <is>
          <t>금융투자 / 핀테크 / 리스크</t>
        </is>
      </c>
      <c r="D95" s="24" t="n">
        <v>81250000</v>
      </c>
      <c r="E95" s="24" t="n">
        <v>143750000</v>
      </c>
      <c r="F95" s="25" t="n">
        <v>137500</v>
      </c>
      <c r="G95" s="24" t="n">
        <v>106250</v>
      </c>
      <c r="H95" s="17" t="inlineStr">
        <is>
          <t>increasing</t>
        </is>
      </c>
      <c r="I95" s="21" t="inlineStr">
        <is>
          <t>8.3%</t>
        </is>
      </c>
      <c r="J95" s="17" t="n">
        <v>1</v>
      </c>
      <c r="K95" s="17" t="inlineStr">
        <is>
          <t>top-tier</t>
        </is>
      </c>
    </row>
    <row r="96">
      <c r="A96" s="15" t="inlineStr">
        <is>
          <t>2433</t>
        </is>
      </c>
      <c r="B96" s="16" t="inlineStr">
        <is>
          <t>Technical and Medical Sales Professionals (excluding ICT)</t>
        </is>
      </c>
      <c r="C96" s="16" t="inlineStr">
        <is>
          <t>금융투자 / 핀테크 / 리스크</t>
        </is>
      </c>
      <c r="D96" s="22" t="n">
        <v>81250000</v>
      </c>
      <c r="E96" s="22" t="n">
        <v>143750000</v>
      </c>
      <c r="F96" s="23" t="n">
        <v>137500</v>
      </c>
      <c r="G96" s="22" t="n">
        <v>106250</v>
      </c>
      <c r="H96" s="15" t="inlineStr">
        <is>
          <t>increasing</t>
        </is>
      </c>
      <c r="I96" s="20" t="inlineStr">
        <is>
          <t>8.3%</t>
        </is>
      </c>
      <c r="J96" s="15" t="n">
        <v>0.89</v>
      </c>
      <c r="K96" s="15" t="inlineStr">
        <is>
          <t>top-tier</t>
        </is>
      </c>
    </row>
    <row r="97">
      <c r="A97" s="17" t="inlineStr">
        <is>
          <t>2434</t>
        </is>
      </c>
      <c r="B97" s="18" t="inlineStr">
        <is>
          <t>Information and Communications Technology Sales Professionals</t>
        </is>
      </c>
      <c r="C97" s="18" t="inlineStr">
        <is>
          <t>금융투자 / 핀테크 / 리스크</t>
        </is>
      </c>
      <c r="D97" s="24" t="n">
        <v>81250000</v>
      </c>
      <c r="E97" s="24" t="n">
        <v>143750000</v>
      </c>
      <c r="F97" s="25" t="n">
        <v>137500</v>
      </c>
      <c r="G97" s="24" t="n">
        <v>106250</v>
      </c>
      <c r="H97" s="17" t="inlineStr">
        <is>
          <t>increasing</t>
        </is>
      </c>
      <c r="I97" s="21" t="inlineStr">
        <is>
          <t>8.3%</t>
        </is>
      </c>
      <c r="J97" s="17" t="n">
        <v>0.83</v>
      </c>
      <c r="K97" s="17" t="inlineStr">
        <is>
          <t>top-tier</t>
        </is>
      </c>
    </row>
    <row r="98">
      <c r="A98" s="15" t="inlineStr">
        <is>
          <t>2511</t>
        </is>
      </c>
      <c r="B98" s="16" t="inlineStr">
        <is>
          <t>Systems Analysts</t>
        </is>
      </c>
      <c r="C98" s="16" t="inlineStr">
        <is>
          <t>ICT / Software &amp; Data / AI</t>
        </is>
      </c>
      <c r="D98" s="22" t="n">
        <v>84500000</v>
      </c>
      <c r="E98" s="22" t="n">
        <v>149500000</v>
      </c>
      <c r="F98" s="23" t="n">
        <v>143000</v>
      </c>
      <c r="G98" s="22" t="n">
        <v>110500</v>
      </c>
      <c r="H98" s="15" t="inlineStr">
        <is>
          <t>very-high</t>
        </is>
      </c>
      <c r="I98" s="20" t="inlineStr">
        <is>
          <t>8.3%</t>
        </is>
      </c>
      <c r="J98" s="15" t="n">
        <v>1</v>
      </c>
      <c r="K98" s="15" t="inlineStr">
        <is>
          <t>top-tier</t>
        </is>
      </c>
    </row>
    <row r="99">
      <c r="A99" s="17" t="inlineStr">
        <is>
          <t>2512</t>
        </is>
      </c>
      <c r="B99" s="18" t="inlineStr">
        <is>
          <t>Software Developers</t>
        </is>
      </c>
      <c r="C99" s="18" t="inlineStr">
        <is>
          <t>ICT / Software &amp; Data / AI</t>
        </is>
      </c>
      <c r="D99" s="24" t="n">
        <v>84500000</v>
      </c>
      <c r="E99" s="24" t="n">
        <v>149500000</v>
      </c>
      <c r="F99" s="25" t="n">
        <v>143000</v>
      </c>
      <c r="G99" s="24" t="n">
        <v>110500</v>
      </c>
      <c r="H99" s="17" t="inlineStr">
        <is>
          <t>very-high</t>
        </is>
      </c>
      <c r="I99" s="21" t="inlineStr">
        <is>
          <t>8.3%</t>
        </is>
      </c>
      <c r="J99" s="17" t="n">
        <v>0.92</v>
      </c>
      <c r="K99" s="17" t="inlineStr">
        <is>
          <t>top-tier</t>
        </is>
      </c>
    </row>
    <row r="100">
      <c r="A100" s="15" t="inlineStr">
        <is>
          <t>2513</t>
        </is>
      </c>
      <c r="B100" s="16" t="inlineStr">
        <is>
          <t>Web and Multimedia Developers</t>
        </is>
      </c>
      <c r="C100" s="16" t="inlineStr">
        <is>
          <t>ICT / Software &amp; Data / AI</t>
        </is>
      </c>
      <c r="D100" s="22" t="n">
        <v>84500000</v>
      </c>
      <c r="E100" s="22" t="n">
        <v>149500000</v>
      </c>
      <c r="F100" s="23" t="n">
        <v>143000</v>
      </c>
      <c r="G100" s="22" t="n">
        <v>110500</v>
      </c>
      <c r="H100" s="15" t="inlineStr">
        <is>
          <t>very-high</t>
        </is>
      </c>
      <c r="I100" s="20" t="inlineStr">
        <is>
          <t>8.3%</t>
        </is>
      </c>
      <c r="J100" s="15" t="n">
        <v>1</v>
      </c>
      <c r="K100" s="15" t="inlineStr">
        <is>
          <t>top-tier</t>
        </is>
      </c>
    </row>
    <row r="101">
      <c r="A101" s="17" t="inlineStr">
        <is>
          <t>2514</t>
        </is>
      </c>
      <c r="B101" s="18" t="inlineStr">
        <is>
          <t>Applications Programmers</t>
        </is>
      </c>
      <c r="C101" s="18" t="inlineStr">
        <is>
          <t>ICT / Software &amp; Data / AI</t>
        </is>
      </c>
      <c r="D101" s="24" t="n">
        <v>84500000</v>
      </c>
      <c r="E101" s="24" t="n">
        <v>149500000</v>
      </c>
      <c r="F101" s="25" t="n">
        <v>143000</v>
      </c>
      <c r="G101" s="24" t="n">
        <v>110500</v>
      </c>
      <c r="H101" s="17" t="inlineStr">
        <is>
          <t>very-high</t>
        </is>
      </c>
      <c r="I101" s="21" t="inlineStr">
        <is>
          <t>8.3%</t>
        </is>
      </c>
      <c r="J101" s="17" t="n">
        <v>0.88</v>
      </c>
      <c r="K101" s="17" t="inlineStr">
        <is>
          <t>top-tier</t>
        </is>
      </c>
    </row>
    <row r="102">
      <c r="A102" s="15" t="inlineStr">
        <is>
          <t>2519</t>
        </is>
      </c>
      <c r="B102" s="16" t="inlineStr">
        <is>
          <t>Software and Applications Developers and Analysts Not Elsewhere Classified</t>
        </is>
      </c>
      <c r="C102" s="16" t="inlineStr">
        <is>
          <t>ICT / Software &amp; Data / AI</t>
        </is>
      </c>
      <c r="D102" s="22" t="n">
        <v>84500000</v>
      </c>
      <c r="E102" s="22" t="n">
        <v>149500000</v>
      </c>
      <c r="F102" s="23" t="n">
        <v>143000</v>
      </c>
      <c r="G102" s="22" t="n">
        <v>110500</v>
      </c>
      <c r="H102" s="15" t="inlineStr">
        <is>
          <t>very-high</t>
        </is>
      </c>
      <c r="I102" s="20" t="inlineStr">
        <is>
          <t>8.3%</t>
        </is>
      </c>
      <c r="J102" s="15" t="n">
        <v>0.83</v>
      </c>
      <c r="K102" s="15" t="inlineStr">
        <is>
          <t>top-tier</t>
        </is>
      </c>
    </row>
    <row r="103">
      <c r="A103" s="17" t="inlineStr">
        <is>
          <t>2521</t>
        </is>
      </c>
      <c r="B103" s="18" t="inlineStr">
        <is>
          <t>Database Designers and Administrators</t>
        </is>
      </c>
      <c r="C103" s="18" t="inlineStr">
        <is>
          <t>ICT / Software &amp; Data / AI</t>
        </is>
      </c>
      <c r="D103" s="24" t="n">
        <v>84500000</v>
      </c>
      <c r="E103" s="24" t="n">
        <v>149500000</v>
      </c>
      <c r="F103" s="25" t="n">
        <v>143000</v>
      </c>
      <c r="G103" s="24" t="n">
        <v>110500</v>
      </c>
      <c r="H103" s="17" t="inlineStr">
        <is>
          <t>very-high</t>
        </is>
      </c>
      <c r="I103" s="21" t="inlineStr">
        <is>
          <t>8.3%</t>
        </is>
      </c>
      <c r="J103" s="17" t="n">
        <v>1</v>
      </c>
      <c r="K103" s="17" t="inlineStr">
        <is>
          <t>top-tier</t>
        </is>
      </c>
    </row>
    <row r="104">
      <c r="A104" s="15" t="inlineStr">
        <is>
          <t>2522</t>
        </is>
      </c>
      <c r="B104" s="16" t="inlineStr">
        <is>
          <t>Systems Aministrators</t>
        </is>
      </c>
      <c r="C104" s="16" t="inlineStr">
        <is>
          <t>ICT / Software &amp; Data / AI</t>
        </is>
      </c>
      <c r="D104" s="22" t="n">
        <v>84500000</v>
      </c>
      <c r="E104" s="22" t="n">
        <v>149500000</v>
      </c>
      <c r="F104" s="23" t="n">
        <v>143000</v>
      </c>
      <c r="G104" s="22" t="n">
        <v>110500</v>
      </c>
      <c r="H104" s="15" t="inlineStr">
        <is>
          <t>very-high</t>
        </is>
      </c>
      <c r="I104" s="20" t="inlineStr">
        <is>
          <t>8.3%</t>
        </is>
      </c>
      <c r="J104" s="15" t="n">
        <v>0.86</v>
      </c>
      <c r="K104" s="15" t="inlineStr">
        <is>
          <t>top-tier</t>
        </is>
      </c>
    </row>
    <row r="105">
      <c r="A105" s="17" t="inlineStr">
        <is>
          <t>2523</t>
        </is>
      </c>
      <c r="B105" s="18" t="inlineStr">
        <is>
          <t>Computer Network Professionals</t>
        </is>
      </c>
      <c r="C105" s="18" t="inlineStr">
        <is>
          <t>ICT / Software &amp; Data / AI</t>
        </is>
      </c>
      <c r="D105" s="24" t="n">
        <v>84500000</v>
      </c>
      <c r="E105" s="24" t="n">
        <v>149500000</v>
      </c>
      <c r="F105" s="25" t="n">
        <v>143000</v>
      </c>
      <c r="G105" s="24" t="n">
        <v>110500</v>
      </c>
      <c r="H105" s="17" t="inlineStr">
        <is>
          <t>very-high</t>
        </is>
      </c>
      <c r="I105" s="21" t="inlineStr">
        <is>
          <t>8.3%</t>
        </is>
      </c>
      <c r="J105" s="17" t="n">
        <v>0.79</v>
      </c>
      <c r="K105" s="17" t="inlineStr">
        <is>
          <t>top-tier</t>
        </is>
      </c>
    </row>
    <row r="106">
      <c r="A106" s="15" t="inlineStr">
        <is>
          <t>2529</t>
        </is>
      </c>
      <c r="B106" s="16" t="inlineStr">
        <is>
          <t>Database and Network Professionals Not Elsewhere Classified</t>
        </is>
      </c>
      <c r="C106" s="16" t="inlineStr">
        <is>
          <t>ICT / Software &amp; Data / AI</t>
        </is>
      </c>
      <c r="D106" s="22" t="n">
        <v>84500000</v>
      </c>
      <c r="E106" s="22" t="n">
        <v>149500000</v>
      </c>
      <c r="F106" s="23" t="n">
        <v>143000</v>
      </c>
      <c r="G106" s="22" t="n">
        <v>110500</v>
      </c>
      <c r="H106" s="15" t="inlineStr">
        <is>
          <t>very-high</t>
        </is>
      </c>
      <c r="I106" s="20" t="inlineStr">
        <is>
          <t>8.3%</t>
        </is>
      </c>
      <c r="J106" s="15" t="n">
        <v>0.9</v>
      </c>
      <c r="K106" s="15" t="inlineStr">
        <is>
          <t>top-tier</t>
        </is>
      </c>
    </row>
    <row r="107">
      <c r="A107" s="17" t="inlineStr">
        <is>
          <t>2611</t>
        </is>
      </c>
      <c r="B107" s="18" t="inlineStr">
        <is>
          <t>Lawyers</t>
        </is>
      </c>
      <c r="C107" s="18" t="inlineStr">
        <is>
          <t>법률 / 지식재산권 / 변리</t>
        </is>
      </c>
      <c r="D107" s="24" t="n">
        <v>78000000</v>
      </c>
      <c r="E107" s="24" t="n">
        <v>138000000</v>
      </c>
      <c r="F107" s="25" t="n">
        <v>132000</v>
      </c>
      <c r="G107" s="24" t="n">
        <v>102000</v>
      </c>
      <c r="H107" s="17" t="inlineStr">
        <is>
          <t>increasing</t>
        </is>
      </c>
      <c r="I107" s="21" t="inlineStr">
        <is>
          <t>8.3%</t>
        </is>
      </c>
      <c r="J107" s="17" t="n">
        <v>1</v>
      </c>
      <c r="K107" s="17" t="inlineStr">
        <is>
          <t>high</t>
        </is>
      </c>
    </row>
    <row r="108">
      <c r="A108" s="15" t="inlineStr">
        <is>
          <t>2612</t>
        </is>
      </c>
      <c r="B108" s="16" t="inlineStr">
        <is>
          <t>Judges</t>
        </is>
      </c>
      <c r="C108" s="16" t="inlineStr">
        <is>
          <t>법률 / 지식재산권 / 변리</t>
        </is>
      </c>
      <c r="D108" s="22" t="n">
        <v>78000000</v>
      </c>
      <c r="E108" s="22" t="n">
        <v>138000000</v>
      </c>
      <c r="F108" s="23" t="n">
        <v>132000</v>
      </c>
      <c r="G108" s="22" t="n">
        <v>102000</v>
      </c>
      <c r="H108" s="15" t="inlineStr">
        <is>
          <t>increasing</t>
        </is>
      </c>
      <c r="I108" s="20" t="inlineStr">
        <is>
          <t>8.3%</t>
        </is>
      </c>
      <c r="J108" s="15" t="n">
        <v>1</v>
      </c>
      <c r="K108" s="15" t="inlineStr">
        <is>
          <t>high</t>
        </is>
      </c>
    </row>
    <row r="109">
      <c r="A109" s="17" t="inlineStr">
        <is>
          <t>2619</t>
        </is>
      </c>
      <c r="B109" s="18" t="inlineStr">
        <is>
          <t>Legal Professionals Not Elsewhere Classified</t>
        </is>
      </c>
      <c r="C109" s="18" t="inlineStr">
        <is>
          <t>법률 / 지식재산권 / 변리</t>
        </is>
      </c>
      <c r="D109" s="24" t="n">
        <v>78000000</v>
      </c>
      <c r="E109" s="24" t="n">
        <v>138000000</v>
      </c>
      <c r="F109" s="25" t="n">
        <v>132000</v>
      </c>
      <c r="G109" s="24" t="n">
        <v>102000</v>
      </c>
      <c r="H109" s="17" t="inlineStr">
        <is>
          <t>increasing</t>
        </is>
      </c>
      <c r="I109" s="21" t="inlineStr">
        <is>
          <t>8.3%</t>
        </is>
      </c>
      <c r="J109" s="17" t="n">
        <v>1</v>
      </c>
      <c r="K109" s="17" t="inlineStr">
        <is>
          <t>high</t>
        </is>
      </c>
    </row>
    <row r="110">
      <c r="A110" s="15" t="inlineStr">
        <is>
          <t>2621</t>
        </is>
      </c>
      <c r="B110" s="16" t="inlineStr">
        <is>
          <t>Archivists and Curators</t>
        </is>
      </c>
      <c r="C110" s="16" t="inlineStr">
        <is>
          <t>법률 / 지식재산권 / 변리</t>
        </is>
      </c>
      <c r="D110" s="22" t="n">
        <v>78000000</v>
      </c>
      <c r="E110" s="22" t="n">
        <v>138000000</v>
      </c>
      <c r="F110" s="23" t="n">
        <v>132000</v>
      </c>
      <c r="G110" s="22" t="n">
        <v>102000</v>
      </c>
      <c r="H110" s="15" t="inlineStr">
        <is>
          <t>increasing</t>
        </is>
      </c>
      <c r="I110" s="20" t="inlineStr">
        <is>
          <t>8.3%</t>
        </is>
      </c>
      <c r="J110" s="15" t="n">
        <v>1</v>
      </c>
      <c r="K110" s="15" t="inlineStr">
        <is>
          <t>high</t>
        </is>
      </c>
    </row>
    <row r="111">
      <c r="A111" s="17" t="inlineStr">
        <is>
          <t>2622</t>
        </is>
      </c>
      <c r="B111" s="18" t="inlineStr">
        <is>
          <t>Librarians and Related Information Professionals</t>
        </is>
      </c>
      <c r="C111" s="18" t="inlineStr">
        <is>
          <t>법률 / 지식재산권 / 변리</t>
        </is>
      </c>
      <c r="D111" s="24" t="n">
        <v>78000000</v>
      </c>
      <c r="E111" s="24" t="n">
        <v>138000000</v>
      </c>
      <c r="F111" s="25" t="n">
        <v>132000</v>
      </c>
      <c r="G111" s="24" t="n">
        <v>102000</v>
      </c>
      <c r="H111" s="17" t="inlineStr">
        <is>
          <t>increasing</t>
        </is>
      </c>
      <c r="I111" s="21" t="inlineStr">
        <is>
          <t>8.3%</t>
        </is>
      </c>
      <c r="J111" s="17" t="n">
        <v>1</v>
      </c>
      <c r="K111" s="17" t="inlineStr">
        <is>
          <t>high</t>
        </is>
      </c>
    </row>
    <row r="112">
      <c r="A112" s="15" t="inlineStr">
        <is>
          <t>2631</t>
        </is>
      </c>
      <c r="B112" s="16" t="inlineStr">
        <is>
          <t>Economists</t>
        </is>
      </c>
      <c r="C112" s="16" t="inlineStr">
        <is>
          <t>법률 / 지식재산권 / 변리</t>
        </is>
      </c>
      <c r="D112" s="22" t="n">
        <v>78000000</v>
      </c>
      <c r="E112" s="22" t="n">
        <v>138000000</v>
      </c>
      <c r="F112" s="23" t="n">
        <v>132000</v>
      </c>
      <c r="G112" s="22" t="n">
        <v>102000</v>
      </c>
      <c r="H112" s="15" t="inlineStr">
        <is>
          <t>increasing</t>
        </is>
      </c>
      <c r="I112" s="20" t="inlineStr">
        <is>
          <t>8.3%</t>
        </is>
      </c>
      <c r="J112" s="15" t="n">
        <v>0.86</v>
      </c>
      <c r="K112" s="15" t="inlineStr">
        <is>
          <t>high</t>
        </is>
      </c>
    </row>
    <row r="113">
      <c r="A113" s="17" t="inlineStr">
        <is>
          <t>2632</t>
        </is>
      </c>
      <c r="B113" s="18" t="inlineStr">
        <is>
          <t>Sociologists, Anthropologists and Related Professionals</t>
        </is>
      </c>
      <c r="C113" s="18" t="inlineStr">
        <is>
          <t>법률 / 지식재산권 / 변리</t>
        </is>
      </c>
      <c r="D113" s="24" t="n">
        <v>78000000</v>
      </c>
      <c r="E113" s="24" t="n">
        <v>138000000</v>
      </c>
      <c r="F113" s="25" t="n">
        <v>132000</v>
      </c>
      <c r="G113" s="24" t="n">
        <v>102000</v>
      </c>
      <c r="H113" s="17" t="inlineStr">
        <is>
          <t>increasing</t>
        </is>
      </c>
      <c r="I113" s="21" t="inlineStr">
        <is>
          <t>8.3%</t>
        </is>
      </c>
      <c r="J113" s="17" t="n">
        <v>1</v>
      </c>
      <c r="K113" s="17" t="inlineStr">
        <is>
          <t>high</t>
        </is>
      </c>
    </row>
    <row r="114">
      <c r="A114" s="15" t="inlineStr">
        <is>
          <t>2633</t>
        </is>
      </c>
      <c r="B114" s="16" t="inlineStr">
        <is>
          <t>Philosophers, Historians and Political Scientists</t>
        </is>
      </c>
      <c r="C114" s="16" t="inlineStr">
        <is>
          <t>법률 / 지식재산권 / 변리</t>
        </is>
      </c>
      <c r="D114" s="22" t="n">
        <v>78000000</v>
      </c>
      <c r="E114" s="22" t="n">
        <v>138000000</v>
      </c>
      <c r="F114" s="23" t="n">
        <v>132000</v>
      </c>
      <c r="G114" s="22" t="n">
        <v>102000</v>
      </c>
      <c r="H114" s="15" t="inlineStr">
        <is>
          <t>increasing</t>
        </is>
      </c>
      <c r="I114" s="20" t="inlineStr">
        <is>
          <t>8.3%</t>
        </is>
      </c>
      <c r="J114" s="15" t="n">
        <v>1</v>
      </c>
      <c r="K114" s="15" t="inlineStr">
        <is>
          <t>high</t>
        </is>
      </c>
    </row>
    <row r="115">
      <c r="A115" s="17" t="inlineStr">
        <is>
          <t>2634</t>
        </is>
      </c>
      <c r="B115" s="18" t="inlineStr">
        <is>
          <t>Psychologists</t>
        </is>
      </c>
      <c r="C115" s="18" t="inlineStr">
        <is>
          <t>법률 / 지식재산권 / 변리</t>
        </is>
      </c>
      <c r="D115" s="24" t="n">
        <v>78000000</v>
      </c>
      <c r="E115" s="24" t="n">
        <v>138000000</v>
      </c>
      <c r="F115" s="25" t="n">
        <v>132000</v>
      </c>
      <c r="G115" s="24" t="n">
        <v>102000</v>
      </c>
      <c r="H115" s="17" t="inlineStr">
        <is>
          <t>increasing</t>
        </is>
      </c>
      <c r="I115" s="21" t="inlineStr">
        <is>
          <t>8.3%</t>
        </is>
      </c>
      <c r="J115" s="17" t="n">
        <v>1</v>
      </c>
      <c r="K115" s="17" t="inlineStr">
        <is>
          <t>high</t>
        </is>
      </c>
    </row>
    <row r="116">
      <c r="A116" s="15" t="inlineStr">
        <is>
          <t>2635</t>
        </is>
      </c>
      <c r="B116" s="16" t="inlineStr">
        <is>
          <t>Social Work and Counselling Professionals</t>
        </is>
      </c>
      <c r="C116" s="16" t="inlineStr">
        <is>
          <t>법률 / 지식재산권 / 변리</t>
        </is>
      </c>
      <c r="D116" s="22" t="n">
        <v>78000000</v>
      </c>
      <c r="E116" s="22" t="n">
        <v>138000000</v>
      </c>
      <c r="F116" s="23" t="n">
        <v>132000</v>
      </c>
      <c r="G116" s="22" t="n">
        <v>102000</v>
      </c>
      <c r="H116" s="15" t="inlineStr">
        <is>
          <t>increasing</t>
        </is>
      </c>
      <c r="I116" s="20" t="inlineStr">
        <is>
          <t>8.3%</t>
        </is>
      </c>
      <c r="J116" s="15" t="n">
        <v>0.93</v>
      </c>
      <c r="K116" s="15" t="inlineStr">
        <is>
          <t>high</t>
        </is>
      </c>
    </row>
    <row r="117">
      <c r="A117" s="17" t="inlineStr">
        <is>
          <t>2636</t>
        </is>
      </c>
      <c r="B117" s="18" t="inlineStr">
        <is>
          <t>Religious Professionals</t>
        </is>
      </c>
      <c r="C117" s="18" t="inlineStr">
        <is>
          <t>법률 / 지식재산권 / 변리</t>
        </is>
      </c>
      <c r="D117" s="24" t="n">
        <v>78000000</v>
      </c>
      <c r="E117" s="24" t="n">
        <v>138000000</v>
      </c>
      <c r="F117" s="25" t="n">
        <v>132000</v>
      </c>
      <c r="G117" s="24" t="n">
        <v>102000</v>
      </c>
      <c r="H117" s="17" t="inlineStr">
        <is>
          <t>increasing</t>
        </is>
      </c>
      <c r="I117" s="21" t="inlineStr">
        <is>
          <t>8.3%</t>
        </is>
      </c>
      <c r="J117" s="17" t="n">
        <v>0.91</v>
      </c>
      <c r="K117" s="17" t="inlineStr">
        <is>
          <t>high</t>
        </is>
      </c>
    </row>
    <row r="118">
      <c r="A118" s="15" t="inlineStr">
        <is>
          <t>2641</t>
        </is>
      </c>
      <c r="B118" s="16" t="inlineStr">
        <is>
          <t>Authors and Related Writers</t>
        </is>
      </c>
      <c r="C118" s="16" t="inlineStr">
        <is>
          <t>법률 / 지식재산권 / 변리</t>
        </is>
      </c>
      <c r="D118" s="22" t="n">
        <v>78000000</v>
      </c>
      <c r="E118" s="22" t="n">
        <v>138000000</v>
      </c>
      <c r="F118" s="23" t="n">
        <v>132000</v>
      </c>
      <c r="G118" s="22" t="n">
        <v>102000</v>
      </c>
      <c r="H118" s="15" t="inlineStr">
        <is>
          <t>increasing</t>
        </is>
      </c>
      <c r="I118" s="20" t="inlineStr">
        <is>
          <t>8.3%</t>
        </is>
      </c>
      <c r="J118" s="15" t="n">
        <v>1</v>
      </c>
      <c r="K118" s="15" t="inlineStr">
        <is>
          <t>high</t>
        </is>
      </c>
    </row>
    <row r="119">
      <c r="A119" s="17" t="inlineStr">
        <is>
          <t>2642</t>
        </is>
      </c>
      <c r="B119" s="18" t="inlineStr">
        <is>
          <t>Journalists</t>
        </is>
      </c>
      <c r="C119" s="18" t="inlineStr">
        <is>
          <t>법률 / 지식재산권 / 변리</t>
        </is>
      </c>
      <c r="D119" s="24" t="n">
        <v>78000000</v>
      </c>
      <c r="E119" s="24" t="n">
        <v>138000000</v>
      </c>
      <c r="F119" s="25" t="n">
        <v>132000</v>
      </c>
      <c r="G119" s="24" t="n">
        <v>102000</v>
      </c>
      <c r="H119" s="17" t="inlineStr">
        <is>
          <t>increasing</t>
        </is>
      </c>
      <c r="I119" s="21" t="inlineStr">
        <is>
          <t>8.3%</t>
        </is>
      </c>
      <c r="J119" s="17" t="n">
        <v>0.79</v>
      </c>
      <c r="K119" s="17" t="inlineStr">
        <is>
          <t>high</t>
        </is>
      </c>
    </row>
    <row r="120">
      <c r="A120" s="15" t="inlineStr">
        <is>
          <t>2643</t>
        </is>
      </c>
      <c r="B120" s="16" t="inlineStr">
        <is>
          <t>Translators, Interpreters and Other Linguists</t>
        </is>
      </c>
      <c r="C120" s="16" t="inlineStr">
        <is>
          <t>법률 / 지식재산권 / 변리</t>
        </is>
      </c>
      <c r="D120" s="22" t="n">
        <v>78000000</v>
      </c>
      <c r="E120" s="22" t="n">
        <v>138000000</v>
      </c>
      <c r="F120" s="23" t="n">
        <v>132000</v>
      </c>
      <c r="G120" s="22" t="n">
        <v>102000</v>
      </c>
      <c r="H120" s="15" t="inlineStr">
        <is>
          <t>increasing</t>
        </is>
      </c>
      <c r="I120" s="20" t="inlineStr">
        <is>
          <t>8.3%</t>
        </is>
      </c>
      <c r="J120" s="15" t="n">
        <v>1</v>
      </c>
      <c r="K120" s="15" t="inlineStr">
        <is>
          <t>high</t>
        </is>
      </c>
    </row>
    <row r="121">
      <c r="A121" s="17" t="inlineStr">
        <is>
          <t>2651</t>
        </is>
      </c>
      <c r="B121" s="18" t="inlineStr">
        <is>
          <t>Visual Artists</t>
        </is>
      </c>
      <c r="C121" s="18" t="inlineStr">
        <is>
          <t>법률 / 지식재산권 / 변리</t>
        </is>
      </c>
      <c r="D121" s="24" t="n">
        <v>78000000</v>
      </c>
      <c r="E121" s="24" t="n">
        <v>138000000</v>
      </c>
      <c r="F121" s="25" t="n">
        <v>132000</v>
      </c>
      <c r="G121" s="24" t="n">
        <v>102000</v>
      </c>
      <c r="H121" s="17" t="inlineStr">
        <is>
          <t>increasing</t>
        </is>
      </c>
      <c r="I121" s="21" t="inlineStr">
        <is>
          <t>8.3%</t>
        </is>
      </c>
      <c r="J121" s="17" t="n">
        <v>1</v>
      </c>
      <c r="K121" s="17" t="inlineStr">
        <is>
          <t>high</t>
        </is>
      </c>
    </row>
    <row r="122">
      <c r="A122" s="15" t="inlineStr">
        <is>
          <t>2652</t>
        </is>
      </c>
      <c r="B122" s="16" t="inlineStr">
        <is>
          <t>Musicians, Singers and Composers</t>
        </is>
      </c>
      <c r="C122" s="16" t="inlineStr">
        <is>
          <t>법률 / 지식재산권 / 변리</t>
        </is>
      </c>
      <c r="D122" s="22" t="n">
        <v>78000000</v>
      </c>
      <c r="E122" s="22" t="n">
        <v>138000000</v>
      </c>
      <c r="F122" s="23" t="n">
        <v>132000</v>
      </c>
      <c r="G122" s="22" t="n">
        <v>102000</v>
      </c>
      <c r="H122" s="15" t="inlineStr">
        <is>
          <t>increasing</t>
        </is>
      </c>
      <c r="I122" s="20" t="inlineStr">
        <is>
          <t>8.3%</t>
        </is>
      </c>
      <c r="J122" s="15" t="n">
        <v>1</v>
      </c>
      <c r="K122" s="15" t="inlineStr">
        <is>
          <t>high</t>
        </is>
      </c>
    </row>
    <row r="123">
      <c r="A123" s="17" t="inlineStr">
        <is>
          <t>2653</t>
        </is>
      </c>
      <c r="B123" s="18" t="inlineStr">
        <is>
          <t>Dancers and Choreographers</t>
        </is>
      </c>
      <c r="C123" s="18" t="inlineStr">
        <is>
          <t>법률 / 지식재산권 / 변리</t>
        </is>
      </c>
      <c r="D123" s="24" t="n">
        <v>78000000</v>
      </c>
      <c r="E123" s="24" t="n">
        <v>138000000</v>
      </c>
      <c r="F123" s="25" t="n">
        <v>132000</v>
      </c>
      <c r="G123" s="24" t="n">
        <v>102000</v>
      </c>
      <c r="H123" s="17" t="inlineStr">
        <is>
          <t>increasing</t>
        </is>
      </c>
      <c r="I123" s="21" t="inlineStr">
        <is>
          <t>8.3%</t>
        </is>
      </c>
      <c r="J123" s="17" t="n">
        <v>1</v>
      </c>
      <c r="K123" s="17" t="inlineStr">
        <is>
          <t>high</t>
        </is>
      </c>
    </row>
    <row r="124">
      <c r="A124" s="15" t="inlineStr">
        <is>
          <t>2654</t>
        </is>
      </c>
      <c r="B124" s="16" t="inlineStr">
        <is>
          <t>Film, Stage and Related Directors and Producers</t>
        </is>
      </c>
      <c r="C124" s="16" t="inlineStr">
        <is>
          <t>법률 / 지식재산권 / 변리</t>
        </is>
      </c>
      <c r="D124" s="22" t="n">
        <v>78000000</v>
      </c>
      <c r="E124" s="22" t="n">
        <v>138000000</v>
      </c>
      <c r="F124" s="23" t="n">
        <v>132000</v>
      </c>
      <c r="G124" s="22" t="n">
        <v>102000</v>
      </c>
      <c r="H124" s="15" t="inlineStr">
        <is>
          <t>increasing</t>
        </is>
      </c>
      <c r="I124" s="20" t="inlineStr">
        <is>
          <t>8.3%</t>
        </is>
      </c>
      <c r="J124" s="15" t="n">
        <v>0.87</v>
      </c>
      <c r="K124" s="15" t="inlineStr">
        <is>
          <t>high</t>
        </is>
      </c>
    </row>
    <row r="125">
      <c r="A125" s="17" t="inlineStr">
        <is>
          <t>2655</t>
        </is>
      </c>
      <c r="B125" s="18" t="inlineStr">
        <is>
          <t>Actors</t>
        </is>
      </c>
      <c r="C125" s="18" t="inlineStr">
        <is>
          <t>법률 / 지식재산권 / 변리</t>
        </is>
      </c>
      <c r="D125" s="24" t="n">
        <v>78000000</v>
      </c>
      <c r="E125" s="24" t="n">
        <v>138000000</v>
      </c>
      <c r="F125" s="25" t="n">
        <v>132000</v>
      </c>
      <c r="G125" s="24" t="n">
        <v>102000</v>
      </c>
      <c r="H125" s="17" t="inlineStr">
        <is>
          <t>increasing</t>
        </is>
      </c>
      <c r="I125" s="21" t="inlineStr">
        <is>
          <t>8.3%</t>
        </is>
      </c>
      <c r="J125" s="17" t="n">
        <v>1</v>
      </c>
      <c r="K125" s="17" t="inlineStr">
        <is>
          <t>high</t>
        </is>
      </c>
    </row>
    <row r="126">
      <c r="A126" s="15" t="inlineStr">
        <is>
          <t>2656</t>
        </is>
      </c>
      <c r="B126" s="16" t="inlineStr">
        <is>
          <t>Announcers on Radio, Television and Other Media</t>
        </is>
      </c>
      <c r="C126" s="16" t="inlineStr">
        <is>
          <t>법률 / 지식재산권 / 변리</t>
        </is>
      </c>
      <c r="D126" s="22" t="n">
        <v>78000000</v>
      </c>
      <c r="E126" s="22" t="n">
        <v>138000000</v>
      </c>
      <c r="F126" s="23" t="n">
        <v>132000</v>
      </c>
      <c r="G126" s="22" t="n">
        <v>102000</v>
      </c>
      <c r="H126" s="15" t="inlineStr">
        <is>
          <t>increasing</t>
        </is>
      </c>
      <c r="I126" s="20" t="inlineStr">
        <is>
          <t>8.3%</t>
        </is>
      </c>
      <c r="J126" s="15" t="n">
        <v>1</v>
      </c>
      <c r="K126" s="15" t="inlineStr">
        <is>
          <t>high</t>
        </is>
      </c>
    </row>
    <row r="127">
      <c r="A127" s="17" t="inlineStr">
        <is>
          <t>2659</t>
        </is>
      </c>
      <c r="B127" s="18" t="inlineStr">
        <is>
          <t>Creative and Performing Artists Not Elsewhere Classified</t>
        </is>
      </c>
      <c r="C127" s="18" t="inlineStr">
        <is>
          <t>법률 / 지식재산권 / 변리</t>
        </is>
      </c>
      <c r="D127" s="24" t="n">
        <v>78000000</v>
      </c>
      <c r="E127" s="24" t="n">
        <v>138000000</v>
      </c>
      <c r="F127" s="25" t="n">
        <v>132000</v>
      </c>
      <c r="G127" s="24" t="n">
        <v>102000</v>
      </c>
      <c r="H127" s="17" t="inlineStr">
        <is>
          <t>increasing</t>
        </is>
      </c>
      <c r="I127" s="21" t="inlineStr">
        <is>
          <t>8.3%</t>
        </is>
      </c>
      <c r="J127" s="17" t="n">
        <v>1</v>
      </c>
      <c r="K127" s="17" t="inlineStr">
        <is>
          <t>high</t>
        </is>
      </c>
    </row>
    <row r="128">
      <c r="A128" s="15" t="inlineStr">
        <is>
          <t>3111</t>
        </is>
      </c>
      <c r="B128" s="16" t="inlineStr">
        <is>
          <t>Chemical and Physical Science Technicians</t>
        </is>
      </c>
      <c r="C128" s="16" t="inlineStr">
        <is>
          <t>반도체 / 전자회로 / 하드웨어</t>
        </is>
      </c>
      <c r="D128" s="22" t="n">
        <v>60000000</v>
      </c>
      <c r="E128" s="22" t="n">
        <v>100000000</v>
      </c>
      <c r="F128" s="23" t="n">
        <v>102500</v>
      </c>
      <c r="G128" s="22" t="n">
        <v>81250</v>
      </c>
      <c r="H128" s="15" t="inlineStr">
        <is>
          <t>very-high</t>
        </is>
      </c>
      <c r="I128" s="20" t="inlineStr">
        <is>
          <t>7.1%</t>
        </is>
      </c>
      <c r="J128" s="15" t="n">
        <v>0.76</v>
      </c>
      <c r="K128" s="15" t="inlineStr">
        <is>
          <t>high</t>
        </is>
      </c>
    </row>
    <row r="129">
      <c r="A129" s="17" t="inlineStr">
        <is>
          <t>3112</t>
        </is>
      </c>
      <c r="B129" s="18" t="inlineStr">
        <is>
          <t>Civil Engineering Technicians</t>
        </is>
      </c>
      <c r="C129" s="18" t="inlineStr">
        <is>
          <t>반도체 / 전자회로 / 하드웨어</t>
        </is>
      </c>
      <c r="D129" s="24" t="n">
        <v>60000000</v>
      </c>
      <c r="E129" s="24" t="n">
        <v>100000000</v>
      </c>
      <c r="F129" s="25" t="n">
        <v>102500</v>
      </c>
      <c r="G129" s="24" t="n">
        <v>81250</v>
      </c>
      <c r="H129" s="17" t="inlineStr">
        <is>
          <t>very-high</t>
        </is>
      </c>
      <c r="I129" s="21" t="inlineStr">
        <is>
          <t>7.1%</t>
        </is>
      </c>
      <c r="J129" s="17" t="n">
        <v>0.89</v>
      </c>
      <c r="K129" s="17" t="inlineStr">
        <is>
          <t>high</t>
        </is>
      </c>
    </row>
    <row r="130">
      <c r="A130" s="15" t="inlineStr">
        <is>
          <t>3113</t>
        </is>
      </c>
      <c r="B130" s="16" t="inlineStr">
        <is>
          <t>Electrical Engineering Technicians</t>
        </is>
      </c>
      <c r="C130" s="16" t="inlineStr">
        <is>
          <t>반도체 / 전자회로 / 하드웨어</t>
        </is>
      </c>
      <c r="D130" s="22" t="n">
        <v>60000000</v>
      </c>
      <c r="E130" s="22" t="n">
        <v>100000000</v>
      </c>
      <c r="F130" s="23" t="n">
        <v>102500</v>
      </c>
      <c r="G130" s="22" t="n">
        <v>81250</v>
      </c>
      <c r="H130" s="15" t="inlineStr">
        <is>
          <t>very-high</t>
        </is>
      </c>
      <c r="I130" s="20" t="inlineStr">
        <is>
          <t>7.1%</t>
        </is>
      </c>
      <c r="J130" s="15" t="n">
        <v>0.75</v>
      </c>
      <c r="K130" s="15" t="inlineStr">
        <is>
          <t>high</t>
        </is>
      </c>
    </row>
    <row r="131">
      <c r="A131" s="17" t="inlineStr">
        <is>
          <t>3114</t>
        </is>
      </c>
      <c r="B131" s="18" t="inlineStr">
        <is>
          <t>Electronics Engineering Technicians</t>
        </is>
      </c>
      <c r="C131" s="18" t="inlineStr">
        <is>
          <t>반도체 / 전자회로 / 하드웨어</t>
        </is>
      </c>
      <c r="D131" s="24" t="n">
        <v>60000000</v>
      </c>
      <c r="E131" s="24" t="n">
        <v>100000000</v>
      </c>
      <c r="F131" s="25" t="n">
        <v>102500</v>
      </c>
      <c r="G131" s="24" t="n">
        <v>81250</v>
      </c>
      <c r="H131" s="17" t="inlineStr">
        <is>
          <t>very-high</t>
        </is>
      </c>
      <c r="I131" s="21" t="inlineStr">
        <is>
          <t>7.1%</t>
        </is>
      </c>
      <c r="J131" s="17" t="n">
        <v>0.9</v>
      </c>
      <c r="K131" s="17" t="inlineStr">
        <is>
          <t>high</t>
        </is>
      </c>
    </row>
    <row r="132">
      <c r="A132" s="15" t="inlineStr">
        <is>
          <t>3115</t>
        </is>
      </c>
      <c r="B132" s="16" t="inlineStr">
        <is>
          <t>Mechanical Engineering Technicians</t>
        </is>
      </c>
      <c r="C132" s="16" t="inlineStr">
        <is>
          <t>반도체 / 전자회로 / 하드웨어</t>
        </is>
      </c>
      <c r="D132" s="22" t="n">
        <v>60000000</v>
      </c>
      <c r="E132" s="22" t="n">
        <v>100000000</v>
      </c>
      <c r="F132" s="23" t="n">
        <v>102500</v>
      </c>
      <c r="G132" s="22" t="n">
        <v>81250</v>
      </c>
      <c r="H132" s="15" t="inlineStr">
        <is>
          <t>very-high</t>
        </is>
      </c>
      <c r="I132" s="20" t="inlineStr">
        <is>
          <t>7.1%</t>
        </is>
      </c>
      <c r="J132" s="15" t="n">
        <v>0.71</v>
      </c>
      <c r="K132" s="15" t="inlineStr">
        <is>
          <t>high</t>
        </is>
      </c>
    </row>
    <row r="133">
      <c r="A133" s="17" t="inlineStr">
        <is>
          <t>3116</t>
        </is>
      </c>
      <c r="B133" s="18" t="inlineStr">
        <is>
          <t>Chemical Engineering Technicians</t>
        </is>
      </c>
      <c r="C133" s="18" t="inlineStr">
        <is>
          <t>반도체 / 전자회로 / 하드웨어</t>
        </is>
      </c>
      <c r="D133" s="24" t="n">
        <v>60000000</v>
      </c>
      <c r="E133" s="24" t="n">
        <v>100000000</v>
      </c>
      <c r="F133" s="25" t="n">
        <v>102500</v>
      </c>
      <c r="G133" s="24" t="n">
        <v>81250</v>
      </c>
      <c r="H133" s="17" t="inlineStr">
        <is>
          <t>very-high</t>
        </is>
      </c>
      <c r="I133" s="21" t="inlineStr">
        <is>
          <t>7.1%</t>
        </is>
      </c>
      <c r="J133" s="17" t="n">
        <v>1</v>
      </c>
      <c r="K133" s="17" t="inlineStr">
        <is>
          <t>high</t>
        </is>
      </c>
    </row>
    <row r="134">
      <c r="A134" s="15" t="inlineStr">
        <is>
          <t>3117</t>
        </is>
      </c>
      <c r="B134" s="16" t="inlineStr">
        <is>
          <t>Mining and metallurgical technicians</t>
        </is>
      </c>
      <c r="C134" s="16" t="inlineStr">
        <is>
          <t>반도체 / 전자회로 / 하드웨어</t>
        </is>
      </c>
      <c r="D134" s="22" t="n">
        <v>60000000</v>
      </c>
      <c r="E134" s="22" t="n">
        <v>100000000</v>
      </c>
      <c r="F134" s="23" t="n">
        <v>102500</v>
      </c>
      <c r="G134" s="22" t="n">
        <v>81250</v>
      </c>
      <c r="H134" s="15" t="inlineStr">
        <is>
          <t>very-high</t>
        </is>
      </c>
      <c r="I134" s="20" t="inlineStr">
        <is>
          <t>7.1%</t>
        </is>
      </c>
      <c r="J134" s="15" t="n">
        <v>0.92</v>
      </c>
      <c r="K134" s="15" t="inlineStr">
        <is>
          <t>high</t>
        </is>
      </c>
    </row>
    <row r="135">
      <c r="A135" s="17" t="inlineStr">
        <is>
          <t>3118</t>
        </is>
      </c>
      <c r="B135" s="18" t="inlineStr">
        <is>
          <t>Draughtspersons</t>
        </is>
      </c>
      <c r="C135" s="18" t="inlineStr">
        <is>
          <t>반도체 / 전자회로 / 하드웨어</t>
        </is>
      </c>
      <c r="D135" s="24" t="n">
        <v>60000000</v>
      </c>
      <c r="E135" s="24" t="n">
        <v>100000000</v>
      </c>
      <c r="F135" s="25" t="n">
        <v>102500</v>
      </c>
      <c r="G135" s="24" t="n">
        <v>81250</v>
      </c>
      <c r="H135" s="17" t="inlineStr">
        <is>
          <t>very-high</t>
        </is>
      </c>
      <c r="I135" s="21" t="inlineStr">
        <is>
          <t>7.1%</t>
        </is>
      </c>
      <c r="J135" s="17" t="n">
        <v>0.78</v>
      </c>
      <c r="K135" s="17" t="inlineStr">
        <is>
          <t>high</t>
        </is>
      </c>
    </row>
    <row r="136">
      <c r="A136" s="15" t="inlineStr">
        <is>
          <t>3119</t>
        </is>
      </c>
      <c r="B136" s="16" t="inlineStr">
        <is>
          <t>Physical and Engineering Science Technicians Not Elsewhere Classified</t>
        </is>
      </c>
      <c r="C136" s="16" t="inlineStr">
        <is>
          <t>반도체 / 전자회로 / 하드웨어</t>
        </is>
      </c>
      <c r="D136" s="22" t="n">
        <v>60000000</v>
      </c>
      <c r="E136" s="22" t="n">
        <v>100000000</v>
      </c>
      <c r="F136" s="23" t="n">
        <v>102500</v>
      </c>
      <c r="G136" s="22" t="n">
        <v>81250</v>
      </c>
      <c r="H136" s="15" t="inlineStr">
        <is>
          <t>very-high</t>
        </is>
      </c>
      <c r="I136" s="20" t="inlineStr">
        <is>
          <t>7.1%</t>
        </is>
      </c>
      <c r="J136" s="15" t="n">
        <v>0.9</v>
      </c>
      <c r="K136" s="15" t="inlineStr">
        <is>
          <t>high</t>
        </is>
      </c>
    </row>
    <row r="137">
      <c r="A137" s="17" t="inlineStr">
        <is>
          <t>3121</t>
        </is>
      </c>
      <c r="B137" s="18" t="inlineStr">
        <is>
          <t>Mining Supervisors</t>
        </is>
      </c>
      <c r="C137" s="18" t="inlineStr">
        <is>
          <t>반도체 / 전자회로 / 하드웨어</t>
        </is>
      </c>
      <c r="D137" s="24" t="n">
        <v>60000000</v>
      </c>
      <c r="E137" s="24" t="n">
        <v>100000000</v>
      </c>
      <c r="F137" s="25" t="n">
        <v>102500</v>
      </c>
      <c r="G137" s="24" t="n">
        <v>81250</v>
      </c>
      <c r="H137" s="17" t="inlineStr">
        <is>
          <t>very-high</t>
        </is>
      </c>
      <c r="I137" s="21" t="inlineStr">
        <is>
          <t>7.1%</t>
        </is>
      </c>
      <c r="J137" s="17" t="n">
        <v>1</v>
      </c>
      <c r="K137" s="17" t="inlineStr">
        <is>
          <t>high</t>
        </is>
      </c>
    </row>
    <row r="138">
      <c r="A138" s="15" t="inlineStr">
        <is>
          <t>3122</t>
        </is>
      </c>
      <c r="B138" s="16" t="inlineStr">
        <is>
          <t>Manufacturing Supervisors</t>
        </is>
      </c>
      <c r="C138" s="16" t="inlineStr">
        <is>
          <t>반도체 / 전자회로 / 하드웨어</t>
        </is>
      </c>
      <c r="D138" s="22" t="n">
        <v>60000000</v>
      </c>
      <c r="E138" s="22" t="n">
        <v>100000000</v>
      </c>
      <c r="F138" s="23" t="n">
        <v>102500</v>
      </c>
      <c r="G138" s="22" t="n">
        <v>81250</v>
      </c>
      <c r="H138" s="15" t="inlineStr">
        <is>
          <t>very-high</t>
        </is>
      </c>
      <c r="I138" s="20" t="inlineStr">
        <is>
          <t>7.1%</t>
        </is>
      </c>
      <c r="J138" s="15" t="n">
        <v>1</v>
      </c>
      <c r="K138" s="15" t="inlineStr">
        <is>
          <t>high</t>
        </is>
      </c>
    </row>
    <row r="139">
      <c r="A139" s="17" t="inlineStr">
        <is>
          <t>3123</t>
        </is>
      </c>
      <c r="B139" s="18" t="inlineStr">
        <is>
          <t>Construction Supervisors</t>
        </is>
      </c>
      <c r="C139" s="18" t="inlineStr">
        <is>
          <t>반도체 / 전자회로 / 하드웨어</t>
        </is>
      </c>
      <c r="D139" s="24" t="n">
        <v>60000000</v>
      </c>
      <c r="E139" s="24" t="n">
        <v>100000000</v>
      </c>
      <c r="F139" s="25" t="n">
        <v>102500</v>
      </c>
      <c r="G139" s="24" t="n">
        <v>81250</v>
      </c>
      <c r="H139" s="17" t="inlineStr">
        <is>
          <t>very-high</t>
        </is>
      </c>
      <c r="I139" s="21" t="inlineStr">
        <is>
          <t>7.1%</t>
        </is>
      </c>
      <c r="J139" s="17" t="n">
        <v>0.7</v>
      </c>
      <c r="K139" s="17" t="inlineStr">
        <is>
          <t>high</t>
        </is>
      </c>
    </row>
    <row r="140">
      <c r="A140" s="15" t="inlineStr">
        <is>
          <t>3131</t>
        </is>
      </c>
      <c r="B140" s="16" t="inlineStr">
        <is>
          <t>Power Production Plant Operators</t>
        </is>
      </c>
      <c r="C140" s="16" t="inlineStr">
        <is>
          <t>반도체 / 전자회로 / 하드웨어</t>
        </is>
      </c>
      <c r="D140" s="22" t="n">
        <v>60000000</v>
      </c>
      <c r="E140" s="22" t="n">
        <v>100000000</v>
      </c>
      <c r="F140" s="23" t="n">
        <v>102500</v>
      </c>
      <c r="G140" s="22" t="n">
        <v>81250</v>
      </c>
      <c r="H140" s="15" t="inlineStr">
        <is>
          <t>very-high</t>
        </is>
      </c>
      <c r="I140" s="20" t="inlineStr">
        <is>
          <t>7.1%</t>
        </is>
      </c>
      <c r="J140" s="15" t="n">
        <v>0.6899999999999999</v>
      </c>
      <c r="K140" s="15" t="inlineStr">
        <is>
          <t>high</t>
        </is>
      </c>
    </row>
    <row r="141">
      <c r="A141" s="17" t="inlineStr">
        <is>
          <t>3132</t>
        </is>
      </c>
      <c r="B141" s="18" t="inlineStr">
        <is>
          <t>Incinerator and Water Treatment Plant Operators</t>
        </is>
      </c>
      <c r="C141" s="18" t="inlineStr">
        <is>
          <t>반도체 / 전자회로 / 하드웨어</t>
        </is>
      </c>
      <c r="D141" s="24" t="n">
        <v>60000000</v>
      </c>
      <c r="E141" s="24" t="n">
        <v>100000000</v>
      </c>
      <c r="F141" s="25" t="n">
        <v>102500</v>
      </c>
      <c r="G141" s="24" t="n">
        <v>81250</v>
      </c>
      <c r="H141" s="17" t="inlineStr">
        <is>
          <t>very-high</t>
        </is>
      </c>
      <c r="I141" s="21" t="inlineStr">
        <is>
          <t>7.1%</t>
        </is>
      </c>
      <c r="J141" s="17" t="n">
        <v>0.75</v>
      </c>
      <c r="K141" s="17" t="inlineStr">
        <is>
          <t>high</t>
        </is>
      </c>
    </row>
    <row r="142">
      <c r="A142" s="15" t="inlineStr">
        <is>
          <t>3133</t>
        </is>
      </c>
      <c r="B142" s="16" t="inlineStr">
        <is>
          <t>Chemical Processing Plant Controllers</t>
        </is>
      </c>
      <c r="C142" s="16" t="inlineStr">
        <is>
          <t>반도체 / 전자회로 / 하드웨어</t>
        </is>
      </c>
      <c r="D142" s="22" t="n">
        <v>60000000</v>
      </c>
      <c r="E142" s="22" t="n">
        <v>100000000</v>
      </c>
      <c r="F142" s="23" t="n">
        <v>102500</v>
      </c>
      <c r="G142" s="22" t="n">
        <v>81250</v>
      </c>
      <c r="H142" s="15" t="inlineStr">
        <is>
          <t>very-high</t>
        </is>
      </c>
      <c r="I142" s="20" t="inlineStr">
        <is>
          <t>7.1%</t>
        </is>
      </c>
      <c r="J142" s="15" t="n">
        <v>0.91</v>
      </c>
      <c r="K142" s="15" t="inlineStr">
        <is>
          <t>high</t>
        </is>
      </c>
    </row>
    <row r="143">
      <c r="A143" s="17" t="inlineStr">
        <is>
          <t>3134</t>
        </is>
      </c>
      <c r="B143" s="18" t="inlineStr">
        <is>
          <t>Petroleum and Natural Gas Refining Plant Operators</t>
        </is>
      </c>
      <c r="C143" s="18" t="inlineStr">
        <is>
          <t>반도체 / 전자회로 / 하드웨어</t>
        </is>
      </c>
      <c r="D143" s="24" t="n">
        <v>60000000</v>
      </c>
      <c r="E143" s="24" t="n">
        <v>100000000</v>
      </c>
      <c r="F143" s="25" t="n">
        <v>102500</v>
      </c>
      <c r="G143" s="24" t="n">
        <v>81250</v>
      </c>
      <c r="H143" s="17" t="inlineStr">
        <is>
          <t>very-high</t>
        </is>
      </c>
      <c r="I143" s="21" t="inlineStr">
        <is>
          <t>7.1%</t>
        </is>
      </c>
      <c r="J143" s="17" t="n">
        <v>0.88</v>
      </c>
      <c r="K143" s="17" t="inlineStr">
        <is>
          <t>high</t>
        </is>
      </c>
    </row>
    <row r="144">
      <c r="A144" s="15" t="inlineStr">
        <is>
          <t>3135</t>
        </is>
      </c>
      <c r="B144" s="16" t="inlineStr">
        <is>
          <t>Metal Production Process Controllers</t>
        </is>
      </c>
      <c r="C144" s="16" t="inlineStr">
        <is>
          <t>반도체 / 전자회로 / 하드웨어</t>
        </is>
      </c>
      <c r="D144" s="22" t="n">
        <v>60000000</v>
      </c>
      <c r="E144" s="22" t="n">
        <v>100000000</v>
      </c>
      <c r="F144" s="23" t="n">
        <v>102500</v>
      </c>
      <c r="G144" s="22" t="n">
        <v>81250</v>
      </c>
      <c r="H144" s="15" t="inlineStr">
        <is>
          <t>very-high</t>
        </is>
      </c>
      <c r="I144" s="20" t="inlineStr">
        <is>
          <t>7.1%</t>
        </is>
      </c>
      <c r="J144" s="15" t="n">
        <v>0.91</v>
      </c>
      <c r="K144" s="15" t="inlineStr">
        <is>
          <t>high</t>
        </is>
      </c>
    </row>
    <row r="145">
      <c r="A145" s="17" t="inlineStr">
        <is>
          <t>3139</t>
        </is>
      </c>
      <c r="B145" s="18" t="inlineStr">
        <is>
          <t>Process Control Technicians Not Elsewhere Classified</t>
        </is>
      </c>
      <c r="C145" s="18" t="inlineStr">
        <is>
          <t>반도체 / 전자회로 / 하드웨어</t>
        </is>
      </c>
      <c r="D145" s="24" t="n">
        <v>60000000</v>
      </c>
      <c r="E145" s="24" t="n">
        <v>100000000</v>
      </c>
      <c r="F145" s="25" t="n">
        <v>102500</v>
      </c>
      <c r="G145" s="24" t="n">
        <v>81250</v>
      </c>
      <c r="H145" s="17" t="inlineStr">
        <is>
          <t>very-high</t>
        </is>
      </c>
      <c r="I145" s="21" t="inlineStr">
        <is>
          <t>7.1%</t>
        </is>
      </c>
      <c r="J145" s="17" t="n">
        <v>0.45</v>
      </c>
      <c r="K145" s="17" t="inlineStr">
        <is>
          <t>high</t>
        </is>
      </c>
    </row>
    <row r="146">
      <c r="A146" s="15" t="inlineStr">
        <is>
          <t>3141</t>
        </is>
      </c>
      <c r="B146" s="16" t="inlineStr">
        <is>
          <t>Life Science Technicians (excluding Medical)</t>
        </is>
      </c>
      <c r="C146" s="16" t="inlineStr">
        <is>
          <t>반도체 / 전자회로 / 하드웨어</t>
        </is>
      </c>
      <c r="D146" s="22" t="n">
        <v>60000000</v>
      </c>
      <c r="E146" s="22" t="n">
        <v>100000000</v>
      </c>
      <c r="F146" s="23" t="n">
        <v>102500</v>
      </c>
      <c r="G146" s="22" t="n">
        <v>81250</v>
      </c>
      <c r="H146" s="15" t="inlineStr">
        <is>
          <t>very-high</t>
        </is>
      </c>
      <c r="I146" s="20" t="inlineStr">
        <is>
          <t>7.1%</t>
        </is>
      </c>
      <c r="J146" s="15" t="n">
        <v>0.9399999999999999</v>
      </c>
      <c r="K146" s="15" t="inlineStr">
        <is>
          <t>high</t>
        </is>
      </c>
    </row>
    <row r="147">
      <c r="A147" s="17" t="inlineStr">
        <is>
          <t>3142</t>
        </is>
      </c>
      <c r="B147" s="18" t="inlineStr">
        <is>
          <t>Agricultural Technicians</t>
        </is>
      </c>
      <c r="C147" s="18" t="inlineStr">
        <is>
          <t>반도체 / 전자회로 / 하드웨어</t>
        </is>
      </c>
      <c r="D147" s="24" t="n">
        <v>60000000</v>
      </c>
      <c r="E147" s="24" t="n">
        <v>100000000</v>
      </c>
      <c r="F147" s="25" t="n">
        <v>102500</v>
      </c>
      <c r="G147" s="24" t="n">
        <v>81250</v>
      </c>
      <c r="H147" s="17" t="inlineStr">
        <is>
          <t>very-high</t>
        </is>
      </c>
      <c r="I147" s="21" t="inlineStr">
        <is>
          <t>7.1%</t>
        </is>
      </c>
      <c r="J147" s="17" t="n">
        <v>0.83</v>
      </c>
      <c r="K147" s="17" t="inlineStr">
        <is>
          <t>high</t>
        </is>
      </c>
    </row>
    <row r="148">
      <c r="A148" s="15" t="inlineStr">
        <is>
          <t>3143</t>
        </is>
      </c>
      <c r="B148" s="16" t="inlineStr">
        <is>
          <t>Forestry Technicians</t>
        </is>
      </c>
      <c r="C148" s="16" t="inlineStr">
        <is>
          <t>반도체 / 전자회로 / 하드웨어</t>
        </is>
      </c>
      <c r="D148" s="22" t="n">
        <v>60000000</v>
      </c>
      <c r="E148" s="22" t="n">
        <v>100000000</v>
      </c>
      <c r="F148" s="23" t="n">
        <v>102500</v>
      </c>
      <c r="G148" s="22" t="n">
        <v>81250</v>
      </c>
      <c r="H148" s="15" t="inlineStr">
        <is>
          <t>very-high</t>
        </is>
      </c>
      <c r="I148" s="20" t="inlineStr">
        <is>
          <t>7.1%</t>
        </is>
      </c>
      <c r="J148" s="15" t="n">
        <v>1</v>
      </c>
      <c r="K148" s="15" t="inlineStr">
        <is>
          <t>high</t>
        </is>
      </c>
    </row>
    <row r="149">
      <c r="A149" s="17" t="inlineStr">
        <is>
          <t>3151</t>
        </is>
      </c>
      <c r="B149" s="18" t="inlineStr">
        <is>
          <t>Ships' Engineers</t>
        </is>
      </c>
      <c r="C149" s="18" t="inlineStr">
        <is>
          <t>반도체 / 전자회로 / 하드웨어</t>
        </is>
      </c>
      <c r="D149" s="24" t="n">
        <v>60000000</v>
      </c>
      <c r="E149" s="24" t="n">
        <v>100000000</v>
      </c>
      <c r="F149" s="25" t="n">
        <v>102500</v>
      </c>
      <c r="G149" s="24" t="n">
        <v>81250</v>
      </c>
      <c r="H149" s="17" t="inlineStr">
        <is>
          <t>very-high</t>
        </is>
      </c>
      <c r="I149" s="21" t="inlineStr">
        <is>
          <t>7.1%</t>
        </is>
      </c>
      <c r="J149" s="17" t="n">
        <v>0.86</v>
      </c>
      <c r="K149" s="17" t="inlineStr">
        <is>
          <t>high</t>
        </is>
      </c>
    </row>
    <row r="150">
      <c r="A150" s="15" t="inlineStr">
        <is>
          <t>3152</t>
        </is>
      </c>
      <c r="B150" s="16" t="inlineStr">
        <is>
          <t>Ships' Deck Officers and Pilots</t>
        </is>
      </c>
      <c r="C150" s="16" t="inlineStr">
        <is>
          <t>반도체 / 전자회로 / 하드웨어</t>
        </is>
      </c>
      <c r="D150" s="22" t="n">
        <v>60000000</v>
      </c>
      <c r="E150" s="22" t="n">
        <v>100000000</v>
      </c>
      <c r="F150" s="23" t="n">
        <v>102500</v>
      </c>
      <c r="G150" s="22" t="n">
        <v>81250</v>
      </c>
      <c r="H150" s="15" t="inlineStr">
        <is>
          <t>very-high</t>
        </is>
      </c>
      <c r="I150" s="20" t="inlineStr">
        <is>
          <t>7.1%</t>
        </is>
      </c>
      <c r="J150" s="15" t="n">
        <v>0.91</v>
      </c>
      <c r="K150" s="15" t="inlineStr">
        <is>
          <t>high</t>
        </is>
      </c>
    </row>
    <row r="151">
      <c r="A151" s="17" t="inlineStr">
        <is>
          <t>3153</t>
        </is>
      </c>
      <c r="B151" s="18" t="inlineStr">
        <is>
          <t>Aircraft Pilots and Related Associate Professionals</t>
        </is>
      </c>
      <c r="C151" s="18" t="inlineStr">
        <is>
          <t>반도체 / 전자회로 / 하드웨어</t>
        </is>
      </c>
      <c r="D151" s="24" t="n">
        <v>60000000</v>
      </c>
      <c r="E151" s="24" t="n">
        <v>100000000</v>
      </c>
      <c r="F151" s="25" t="n">
        <v>102500</v>
      </c>
      <c r="G151" s="24" t="n">
        <v>81250</v>
      </c>
      <c r="H151" s="17" t="inlineStr">
        <is>
          <t>very-high</t>
        </is>
      </c>
      <c r="I151" s="21" t="inlineStr">
        <is>
          <t>7.1%</t>
        </is>
      </c>
      <c r="J151" s="17" t="n">
        <v>0.75</v>
      </c>
      <c r="K151" s="17" t="inlineStr">
        <is>
          <t>high</t>
        </is>
      </c>
    </row>
    <row r="152">
      <c r="A152" s="15" t="inlineStr">
        <is>
          <t>3154</t>
        </is>
      </c>
      <c r="B152" s="16" t="inlineStr">
        <is>
          <t>Air Traffic Controllers</t>
        </is>
      </c>
      <c r="C152" s="16" t="inlineStr">
        <is>
          <t>반도체 / 전자회로 / 하드웨어</t>
        </is>
      </c>
      <c r="D152" s="22" t="n">
        <v>60000000</v>
      </c>
      <c r="E152" s="22" t="n">
        <v>100000000</v>
      </c>
      <c r="F152" s="23" t="n">
        <v>102500</v>
      </c>
      <c r="G152" s="22" t="n">
        <v>81250</v>
      </c>
      <c r="H152" s="15" t="inlineStr">
        <is>
          <t>very-high</t>
        </is>
      </c>
      <c r="I152" s="20" t="inlineStr">
        <is>
          <t>7.1%</t>
        </is>
      </c>
      <c r="J152" s="15" t="n">
        <v>0.92</v>
      </c>
      <c r="K152" s="15" t="inlineStr">
        <is>
          <t>high</t>
        </is>
      </c>
    </row>
    <row r="153">
      <c r="A153" s="17" t="inlineStr">
        <is>
          <t>3155</t>
        </is>
      </c>
      <c r="B153" s="18" t="inlineStr">
        <is>
          <t>Air Traffic Safety Electronics Technicians</t>
        </is>
      </c>
      <c r="C153" s="18" t="inlineStr">
        <is>
          <t>반도체 / 전자회로 / 하드웨어</t>
        </is>
      </c>
      <c r="D153" s="24" t="n">
        <v>60000000</v>
      </c>
      <c r="E153" s="24" t="n">
        <v>100000000</v>
      </c>
      <c r="F153" s="25" t="n">
        <v>102500</v>
      </c>
      <c r="G153" s="24" t="n">
        <v>81250</v>
      </c>
      <c r="H153" s="17" t="inlineStr">
        <is>
          <t>very-high</t>
        </is>
      </c>
      <c r="I153" s="21" t="inlineStr">
        <is>
          <t>7.1%</t>
        </is>
      </c>
      <c r="J153" s="17" t="n">
        <v>1</v>
      </c>
      <c r="K153" s="17" t="inlineStr">
        <is>
          <t>high</t>
        </is>
      </c>
    </row>
    <row r="154">
      <c r="A154" s="15" t="inlineStr">
        <is>
          <t>3211</t>
        </is>
      </c>
      <c r="B154" s="16" t="inlineStr">
        <is>
          <t>Medical Imaging and Therapeutic Equipment Technicians</t>
        </is>
      </c>
      <c r="C154" s="16" t="inlineStr">
        <is>
          <t>바이오 / 제약 / 임상헬스케어</t>
        </is>
      </c>
      <c r="D154" s="22" t="n">
        <v>57600000</v>
      </c>
      <c r="E154" s="22" t="n">
        <v>96000000</v>
      </c>
      <c r="F154" s="23" t="n">
        <v>98400</v>
      </c>
      <c r="G154" s="22" t="n">
        <v>78000</v>
      </c>
      <c r="H154" s="15" t="inlineStr">
        <is>
          <t>very-high</t>
        </is>
      </c>
      <c r="I154" s="20" t="inlineStr">
        <is>
          <t>7.1%</t>
        </is>
      </c>
      <c r="J154" s="15" t="n">
        <v>0.57</v>
      </c>
      <c r="K154" s="15" t="inlineStr">
        <is>
          <t>high</t>
        </is>
      </c>
    </row>
    <row r="155">
      <c r="A155" s="17" t="inlineStr">
        <is>
          <t>3212</t>
        </is>
      </c>
      <c r="B155" s="18" t="inlineStr">
        <is>
          <t>Medical and Pathology Laboratory Technicians</t>
        </is>
      </c>
      <c r="C155" s="18" t="inlineStr">
        <is>
          <t>바이오 / 제약 / 임상헬스케어</t>
        </is>
      </c>
      <c r="D155" s="24" t="n">
        <v>57600000</v>
      </c>
      <c r="E155" s="24" t="n">
        <v>96000000</v>
      </c>
      <c r="F155" s="25" t="n">
        <v>98400</v>
      </c>
      <c r="G155" s="24" t="n">
        <v>78000</v>
      </c>
      <c r="H155" s="17" t="inlineStr">
        <is>
          <t>very-high</t>
        </is>
      </c>
      <c r="I155" s="21" t="inlineStr">
        <is>
          <t>7.1%</t>
        </is>
      </c>
      <c r="J155" s="17" t="n">
        <v>0.8100000000000001</v>
      </c>
      <c r="K155" s="17" t="inlineStr">
        <is>
          <t>high</t>
        </is>
      </c>
    </row>
    <row r="156">
      <c r="A156" s="15" t="inlineStr">
        <is>
          <t>3213</t>
        </is>
      </c>
      <c r="B156" s="16" t="inlineStr">
        <is>
          <t>Pharmaceutical Technicians and Assistants</t>
        </is>
      </c>
      <c r="C156" s="16" t="inlineStr">
        <is>
          <t>바이오 / 제약 / 임상헬스케어</t>
        </is>
      </c>
      <c r="D156" s="22" t="n">
        <v>57600000</v>
      </c>
      <c r="E156" s="22" t="n">
        <v>96000000</v>
      </c>
      <c r="F156" s="23" t="n">
        <v>98400</v>
      </c>
      <c r="G156" s="22" t="n">
        <v>78000</v>
      </c>
      <c r="H156" s="15" t="inlineStr">
        <is>
          <t>very-high</t>
        </is>
      </c>
      <c r="I156" s="20" t="inlineStr">
        <is>
          <t>7.1%</t>
        </is>
      </c>
      <c r="J156" s="15" t="n">
        <v>0.77</v>
      </c>
      <c r="K156" s="15" t="inlineStr">
        <is>
          <t>high</t>
        </is>
      </c>
    </row>
    <row r="157">
      <c r="A157" s="17" t="inlineStr">
        <is>
          <t>3214</t>
        </is>
      </c>
      <c r="B157" s="18" t="inlineStr">
        <is>
          <t>Medical and Dental Prosthetic Technicians</t>
        </is>
      </c>
      <c r="C157" s="18" t="inlineStr">
        <is>
          <t>바이오 / 제약 / 임상헬스케어</t>
        </is>
      </c>
      <c r="D157" s="24" t="n">
        <v>57600000</v>
      </c>
      <c r="E157" s="24" t="n">
        <v>96000000</v>
      </c>
      <c r="F157" s="25" t="n">
        <v>98400</v>
      </c>
      <c r="G157" s="24" t="n">
        <v>78000</v>
      </c>
      <c r="H157" s="17" t="inlineStr">
        <is>
          <t>very-high</t>
        </is>
      </c>
      <c r="I157" s="21" t="inlineStr">
        <is>
          <t>7.1%</t>
        </is>
      </c>
      <c r="J157" s="17" t="n">
        <v>0.75</v>
      </c>
      <c r="K157" s="17" t="inlineStr">
        <is>
          <t>high</t>
        </is>
      </c>
    </row>
    <row r="158">
      <c r="A158" s="15" t="inlineStr">
        <is>
          <t>3221</t>
        </is>
      </c>
      <c r="B158" s="16" t="inlineStr">
        <is>
          <t>Nursing Associate Professionals</t>
        </is>
      </c>
      <c r="C158" s="16" t="inlineStr">
        <is>
          <t>바이오 / 제약 / 임상헬스케어</t>
        </is>
      </c>
      <c r="D158" s="22" t="n">
        <v>57600000</v>
      </c>
      <c r="E158" s="22" t="n">
        <v>96000000</v>
      </c>
      <c r="F158" s="23" t="n">
        <v>98400</v>
      </c>
      <c r="G158" s="22" t="n">
        <v>78000</v>
      </c>
      <c r="H158" s="15" t="inlineStr">
        <is>
          <t>very-high</t>
        </is>
      </c>
      <c r="I158" s="20" t="inlineStr">
        <is>
          <t>7.1%</t>
        </is>
      </c>
      <c r="J158" s="15" t="n">
        <v>0.75</v>
      </c>
      <c r="K158" s="15" t="inlineStr">
        <is>
          <t>high</t>
        </is>
      </c>
    </row>
    <row r="159">
      <c r="A159" s="17" t="inlineStr">
        <is>
          <t>3222</t>
        </is>
      </c>
      <c r="B159" s="18" t="inlineStr">
        <is>
          <t>Midwifery Associate Professionals</t>
        </is>
      </c>
      <c r="C159" s="18" t="inlineStr">
        <is>
          <t>바이오 / 제약 / 임상헬스케어</t>
        </is>
      </c>
      <c r="D159" s="24" t="n">
        <v>57600000</v>
      </c>
      <c r="E159" s="24" t="n">
        <v>96000000</v>
      </c>
      <c r="F159" s="25" t="n">
        <v>98400</v>
      </c>
      <c r="G159" s="24" t="n">
        <v>78000</v>
      </c>
      <c r="H159" s="17" t="inlineStr">
        <is>
          <t>very-high</t>
        </is>
      </c>
      <c r="I159" s="21" t="inlineStr">
        <is>
          <t>7.1%</t>
        </is>
      </c>
      <c r="J159" s="17" t="n">
        <v>1</v>
      </c>
      <c r="K159" s="17" t="inlineStr">
        <is>
          <t>high</t>
        </is>
      </c>
    </row>
    <row r="160">
      <c r="A160" s="15" t="inlineStr">
        <is>
          <t>3230</t>
        </is>
      </c>
      <c r="B160" s="16" t="inlineStr">
        <is>
          <t>Traditional and Complementary Medicine Associate Professionals</t>
        </is>
      </c>
      <c r="C160" s="16" t="inlineStr">
        <is>
          <t>바이오 / 제약 / 임상헬스케어</t>
        </is>
      </c>
      <c r="D160" s="22" t="n">
        <v>57600000</v>
      </c>
      <c r="E160" s="22" t="n">
        <v>96000000</v>
      </c>
      <c r="F160" s="23" t="n">
        <v>98400</v>
      </c>
      <c r="G160" s="22" t="n">
        <v>78000</v>
      </c>
      <c r="H160" s="15" t="inlineStr">
        <is>
          <t>very-high</t>
        </is>
      </c>
      <c r="I160" s="20" t="inlineStr">
        <is>
          <t>7.1%</t>
        </is>
      </c>
      <c r="J160" s="15" t="n">
        <v>0.88</v>
      </c>
      <c r="K160" s="15" t="inlineStr">
        <is>
          <t>high</t>
        </is>
      </c>
    </row>
    <row r="161">
      <c r="A161" s="17" t="inlineStr">
        <is>
          <t>3240</t>
        </is>
      </c>
      <c r="B161" s="18" t="inlineStr">
        <is>
          <t>Veterinary Technicians and Assistants</t>
        </is>
      </c>
      <c r="C161" s="18" t="inlineStr">
        <is>
          <t>바이오 / 제약 / 임상헬스케어</t>
        </is>
      </c>
      <c r="D161" s="24" t="n">
        <v>57600000</v>
      </c>
      <c r="E161" s="24" t="n">
        <v>96000000</v>
      </c>
      <c r="F161" s="25" t="n">
        <v>98400</v>
      </c>
      <c r="G161" s="24" t="n">
        <v>78000</v>
      </c>
      <c r="H161" s="17" t="inlineStr">
        <is>
          <t>very-high</t>
        </is>
      </c>
      <c r="I161" s="21" t="inlineStr">
        <is>
          <t>7.1%</t>
        </is>
      </c>
      <c r="J161" s="17" t="n">
        <v>0.85</v>
      </c>
      <c r="K161" s="17" t="inlineStr">
        <is>
          <t>high</t>
        </is>
      </c>
    </row>
    <row r="162">
      <c r="A162" s="15" t="inlineStr">
        <is>
          <t>3251</t>
        </is>
      </c>
      <c r="B162" s="16" t="inlineStr">
        <is>
          <t>Dental Assistants and Therapists</t>
        </is>
      </c>
      <c r="C162" s="16" t="inlineStr">
        <is>
          <t>바이오 / 제약 / 임상헬스케어</t>
        </is>
      </c>
      <c r="D162" s="22" t="n">
        <v>57600000</v>
      </c>
      <c r="E162" s="22" t="n">
        <v>96000000</v>
      </c>
      <c r="F162" s="23" t="n">
        <v>98400</v>
      </c>
      <c r="G162" s="22" t="n">
        <v>78000</v>
      </c>
      <c r="H162" s="15" t="inlineStr">
        <is>
          <t>very-high</t>
        </is>
      </c>
      <c r="I162" s="20" t="inlineStr">
        <is>
          <t>7.1%</t>
        </is>
      </c>
      <c r="J162" s="15" t="n">
        <v>1</v>
      </c>
      <c r="K162" s="15" t="inlineStr">
        <is>
          <t>high</t>
        </is>
      </c>
    </row>
    <row r="163">
      <c r="A163" s="17" t="inlineStr">
        <is>
          <t>3252</t>
        </is>
      </c>
      <c r="B163" s="18" t="inlineStr">
        <is>
          <t>Medical Records and Health Information Technicians</t>
        </is>
      </c>
      <c r="C163" s="18" t="inlineStr">
        <is>
          <t>바이오 / 제약 / 임상헬스케어</t>
        </is>
      </c>
      <c r="D163" s="24" t="n">
        <v>57600000</v>
      </c>
      <c r="E163" s="24" t="n">
        <v>96000000</v>
      </c>
      <c r="F163" s="25" t="n">
        <v>98400</v>
      </c>
      <c r="G163" s="24" t="n">
        <v>78000</v>
      </c>
      <c r="H163" s="17" t="inlineStr">
        <is>
          <t>very-high</t>
        </is>
      </c>
      <c r="I163" s="21" t="inlineStr">
        <is>
          <t>7.1%</t>
        </is>
      </c>
      <c r="J163" s="17" t="n">
        <v>0.88</v>
      </c>
      <c r="K163" s="17" t="inlineStr">
        <is>
          <t>high</t>
        </is>
      </c>
    </row>
    <row r="164">
      <c r="A164" s="15" t="inlineStr">
        <is>
          <t>3253</t>
        </is>
      </c>
      <c r="B164" s="16" t="inlineStr">
        <is>
          <t>Community Health Workers</t>
        </is>
      </c>
      <c r="C164" s="16" t="inlineStr">
        <is>
          <t>바이오 / 제약 / 임상헬스케어</t>
        </is>
      </c>
      <c r="D164" s="22" t="n">
        <v>57600000</v>
      </c>
      <c r="E164" s="22" t="n">
        <v>96000000</v>
      </c>
      <c r="F164" s="23" t="n">
        <v>98400</v>
      </c>
      <c r="G164" s="22" t="n">
        <v>78000</v>
      </c>
      <c r="H164" s="15" t="inlineStr">
        <is>
          <t>very-high</t>
        </is>
      </c>
      <c r="I164" s="20" t="inlineStr">
        <is>
          <t>7.1%</t>
        </is>
      </c>
      <c r="J164" s="15" t="n">
        <v>0.86</v>
      </c>
      <c r="K164" s="15" t="inlineStr">
        <is>
          <t>high</t>
        </is>
      </c>
    </row>
    <row r="165">
      <c r="A165" s="17" t="inlineStr">
        <is>
          <t>3254</t>
        </is>
      </c>
      <c r="B165" s="18" t="inlineStr">
        <is>
          <t>Dispensing Opticians</t>
        </is>
      </c>
      <c r="C165" s="18" t="inlineStr">
        <is>
          <t>바이오 / 제약 / 임상헬스케어</t>
        </is>
      </c>
      <c r="D165" s="24" t="n">
        <v>57600000</v>
      </c>
      <c r="E165" s="24" t="n">
        <v>96000000</v>
      </c>
      <c r="F165" s="25" t="n">
        <v>98400</v>
      </c>
      <c r="G165" s="24" t="n">
        <v>78000</v>
      </c>
      <c r="H165" s="17" t="inlineStr">
        <is>
          <t>very-high</t>
        </is>
      </c>
      <c r="I165" s="21" t="inlineStr">
        <is>
          <t>7.1%</t>
        </is>
      </c>
      <c r="J165" s="17" t="n">
        <v>0.83</v>
      </c>
      <c r="K165" s="17" t="inlineStr">
        <is>
          <t>high</t>
        </is>
      </c>
    </row>
    <row r="166">
      <c r="A166" s="15" t="inlineStr">
        <is>
          <t>3255</t>
        </is>
      </c>
      <c r="B166" s="16" t="inlineStr">
        <is>
          <t>Physiotherapy Technicians and Assistants</t>
        </is>
      </c>
      <c r="C166" s="16" t="inlineStr">
        <is>
          <t>바이오 / 제약 / 임상헬스케어</t>
        </is>
      </c>
      <c r="D166" s="22" t="n">
        <v>57600000</v>
      </c>
      <c r="E166" s="22" t="n">
        <v>96000000</v>
      </c>
      <c r="F166" s="23" t="n">
        <v>98400</v>
      </c>
      <c r="G166" s="22" t="n">
        <v>78000</v>
      </c>
      <c r="H166" s="15" t="inlineStr">
        <is>
          <t>very-high</t>
        </is>
      </c>
      <c r="I166" s="20" t="inlineStr">
        <is>
          <t>7.1%</t>
        </is>
      </c>
      <c r="J166" s="15" t="n">
        <v>0.88</v>
      </c>
      <c r="K166" s="15" t="inlineStr">
        <is>
          <t>high</t>
        </is>
      </c>
    </row>
    <row r="167">
      <c r="A167" s="17" t="inlineStr">
        <is>
          <t>3256</t>
        </is>
      </c>
      <c r="B167" s="18" t="inlineStr">
        <is>
          <t>Medical Assistants</t>
        </is>
      </c>
      <c r="C167" s="18" t="inlineStr">
        <is>
          <t>바이오 / 제약 / 임상헬스케어</t>
        </is>
      </c>
      <c r="D167" s="24" t="n">
        <v>57600000</v>
      </c>
      <c r="E167" s="24" t="n">
        <v>96000000</v>
      </c>
      <c r="F167" s="25" t="n">
        <v>98400</v>
      </c>
      <c r="G167" s="24" t="n">
        <v>78000</v>
      </c>
      <c r="H167" s="17" t="inlineStr">
        <is>
          <t>very-high</t>
        </is>
      </c>
      <c r="I167" s="21" t="inlineStr">
        <is>
          <t>7.1%</t>
        </is>
      </c>
      <c r="J167" s="17" t="n">
        <v>0.71</v>
      </c>
      <c r="K167" s="17" t="inlineStr">
        <is>
          <t>high</t>
        </is>
      </c>
    </row>
    <row r="168">
      <c r="A168" s="15" t="inlineStr">
        <is>
          <t>3257</t>
        </is>
      </c>
      <c r="B168" s="16" t="inlineStr">
        <is>
          <t>Environmental and Occupational Health Inspectors and Associates</t>
        </is>
      </c>
      <c r="C168" s="16" t="inlineStr">
        <is>
          <t>바이오 / 제약 / 임상헬스케어</t>
        </is>
      </c>
      <c r="D168" s="22" t="n">
        <v>57600000</v>
      </c>
      <c r="E168" s="22" t="n">
        <v>96000000</v>
      </c>
      <c r="F168" s="23" t="n">
        <v>98400</v>
      </c>
      <c r="G168" s="22" t="n">
        <v>78000</v>
      </c>
      <c r="H168" s="15" t="inlineStr">
        <is>
          <t>very-high</t>
        </is>
      </c>
      <c r="I168" s="20" t="inlineStr">
        <is>
          <t>7.1%</t>
        </is>
      </c>
      <c r="J168" s="15" t="n">
        <v>0.55</v>
      </c>
      <c r="K168" s="15" t="inlineStr">
        <is>
          <t>high</t>
        </is>
      </c>
    </row>
    <row r="169">
      <c r="A169" s="17" t="inlineStr">
        <is>
          <t>3258</t>
        </is>
      </c>
      <c r="B169" s="18" t="inlineStr">
        <is>
          <t>Ambulance Workers</t>
        </is>
      </c>
      <c r="C169" s="18" t="inlineStr">
        <is>
          <t>바이오 / 제약 / 임상헬스케어</t>
        </is>
      </c>
      <c r="D169" s="24" t="n">
        <v>57600000</v>
      </c>
      <c r="E169" s="24" t="n">
        <v>96000000</v>
      </c>
      <c r="F169" s="25" t="n">
        <v>98400</v>
      </c>
      <c r="G169" s="24" t="n">
        <v>78000</v>
      </c>
      <c r="H169" s="17" t="inlineStr">
        <is>
          <t>very-high</t>
        </is>
      </c>
      <c r="I169" s="21" t="inlineStr">
        <is>
          <t>7.1%</t>
        </is>
      </c>
      <c r="J169" s="17" t="n">
        <v>0.8</v>
      </c>
      <c r="K169" s="17" t="inlineStr">
        <is>
          <t>high</t>
        </is>
      </c>
    </row>
    <row r="170">
      <c r="A170" s="15" t="inlineStr">
        <is>
          <t>3259</t>
        </is>
      </c>
      <c r="B170" s="16" t="inlineStr">
        <is>
          <t>Health Associate Professionals Not Elsewhere Classified</t>
        </is>
      </c>
      <c r="C170" s="16" t="inlineStr">
        <is>
          <t>바이오 / 제약 / 임상헬스케어</t>
        </is>
      </c>
      <c r="D170" s="22" t="n">
        <v>57600000</v>
      </c>
      <c r="E170" s="22" t="n">
        <v>96000000</v>
      </c>
      <c r="F170" s="23" t="n">
        <v>98400</v>
      </c>
      <c r="G170" s="22" t="n">
        <v>78000</v>
      </c>
      <c r="H170" s="15" t="inlineStr">
        <is>
          <t>very-high</t>
        </is>
      </c>
      <c r="I170" s="20" t="inlineStr">
        <is>
          <t>7.1%</t>
        </is>
      </c>
      <c r="J170" s="15" t="n">
        <v>0.82</v>
      </c>
      <c r="K170" s="15" t="inlineStr">
        <is>
          <t>high</t>
        </is>
      </c>
    </row>
    <row r="171">
      <c r="A171" s="17" t="inlineStr">
        <is>
          <t>3311</t>
        </is>
      </c>
      <c r="B171" s="18" t="inlineStr">
        <is>
          <t>Securities and Finance Dealers and Brokers</t>
        </is>
      </c>
      <c r="C171" s="18" t="inlineStr">
        <is>
          <t>금융투자 / 핀테크 / 리스크</t>
        </is>
      </c>
      <c r="D171" s="24" t="n">
        <v>60000000</v>
      </c>
      <c r="E171" s="24" t="n">
        <v>100000000</v>
      </c>
      <c r="F171" s="25" t="n">
        <v>102500</v>
      </c>
      <c r="G171" s="24" t="n">
        <v>81250</v>
      </c>
      <c r="H171" s="17" t="inlineStr">
        <is>
          <t>increasing</t>
        </is>
      </c>
      <c r="I171" s="21" t="inlineStr">
        <is>
          <t>7.1%</t>
        </is>
      </c>
      <c r="J171" s="17" t="n">
        <v>0.8</v>
      </c>
      <c r="K171" s="17" t="inlineStr">
        <is>
          <t>high</t>
        </is>
      </c>
    </row>
    <row r="172">
      <c r="A172" s="15" t="inlineStr">
        <is>
          <t>3312</t>
        </is>
      </c>
      <c r="B172" s="16" t="inlineStr">
        <is>
          <t>Credit and Loans Officers</t>
        </is>
      </c>
      <c r="C172" s="16" t="inlineStr">
        <is>
          <t>금융투자 / 핀테크 / 리스크</t>
        </is>
      </c>
      <c r="D172" s="22" t="n">
        <v>60000000</v>
      </c>
      <c r="E172" s="22" t="n">
        <v>100000000</v>
      </c>
      <c r="F172" s="23" t="n">
        <v>102500</v>
      </c>
      <c r="G172" s="22" t="n">
        <v>81250</v>
      </c>
      <c r="H172" s="15" t="inlineStr">
        <is>
          <t>increasing</t>
        </is>
      </c>
      <c r="I172" s="20" t="inlineStr">
        <is>
          <t>7.1%</t>
        </is>
      </c>
      <c r="J172" s="15" t="n">
        <v>0.88</v>
      </c>
      <c r="K172" s="15" t="inlineStr">
        <is>
          <t>high</t>
        </is>
      </c>
    </row>
    <row r="173">
      <c r="A173" s="17" t="inlineStr">
        <is>
          <t>3313</t>
        </is>
      </c>
      <c r="B173" s="18" t="inlineStr">
        <is>
          <t>Accounting Associate Professionals</t>
        </is>
      </c>
      <c r="C173" s="18" t="inlineStr">
        <is>
          <t>금융투자 / 핀테크 / 리스크</t>
        </is>
      </c>
      <c r="D173" s="24" t="n">
        <v>60000000</v>
      </c>
      <c r="E173" s="24" t="n">
        <v>100000000</v>
      </c>
      <c r="F173" s="25" t="n">
        <v>102500</v>
      </c>
      <c r="G173" s="24" t="n">
        <v>81250</v>
      </c>
      <c r="H173" s="17" t="inlineStr">
        <is>
          <t>increasing</t>
        </is>
      </c>
      <c r="I173" s="21" t="inlineStr">
        <is>
          <t>7.1%</t>
        </is>
      </c>
      <c r="J173" s="17" t="n">
        <v>1</v>
      </c>
      <c r="K173" s="17" t="inlineStr">
        <is>
          <t>high</t>
        </is>
      </c>
    </row>
    <row r="174">
      <c r="A174" s="15" t="inlineStr">
        <is>
          <t>3314</t>
        </is>
      </c>
      <c r="B174" s="16" t="inlineStr">
        <is>
          <t>Statistical, Mathematical and Related Associate Professionals</t>
        </is>
      </c>
      <c r="C174" s="16" t="inlineStr">
        <is>
          <t>금융투자 / 핀테크 / 리스크</t>
        </is>
      </c>
      <c r="D174" s="22" t="n">
        <v>60000000</v>
      </c>
      <c r="E174" s="22" t="n">
        <v>100000000</v>
      </c>
      <c r="F174" s="23" t="n">
        <v>102500</v>
      </c>
      <c r="G174" s="22" t="n">
        <v>81250</v>
      </c>
      <c r="H174" s="15" t="inlineStr">
        <is>
          <t>increasing</t>
        </is>
      </c>
      <c r="I174" s="20" t="inlineStr">
        <is>
          <t>7.1%</t>
        </is>
      </c>
      <c r="J174" s="15" t="n">
        <v>1</v>
      </c>
      <c r="K174" s="15" t="inlineStr">
        <is>
          <t>high</t>
        </is>
      </c>
    </row>
    <row r="175">
      <c r="A175" s="17" t="inlineStr">
        <is>
          <t>3315</t>
        </is>
      </c>
      <c r="B175" s="18" t="inlineStr">
        <is>
          <t>Valuers and Loss Assessors</t>
        </is>
      </c>
      <c r="C175" s="18" t="inlineStr">
        <is>
          <t>금융투자 / 핀테크 / 리스크</t>
        </is>
      </c>
      <c r="D175" s="24" t="n">
        <v>60000000</v>
      </c>
      <c r="E175" s="24" t="n">
        <v>100000000</v>
      </c>
      <c r="F175" s="25" t="n">
        <v>102500</v>
      </c>
      <c r="G175" s="24" t="n">
        <v>81250</v>
      </c>
      <c r="H175" s="17" t="inlineStr">
        <is>
          <t>increasing</t>
        </is>
      </c>
      <c r="I175" s="21" t="inlineStr">
        <is>
          <t>7.1%</t>
        </is>
      </c>
      <c r="J175" s="17" t="n">
        <v>0.8</v>
      </c>
      <c r="K175" s="17" t="inlineStr">
        <is>
          <t>high</t>
        </is>
      </c>
    </row>
    <row r="176">
      <c r="A176" s="15" t="inlineStr">
        <is>
          <t>3321</t>
        </is>
      </c>
      <c r="B176" s="16" t="inlineStr">
        <is>
          <t>Insurance Representatives</t>
        </is>
      </c>
      <c r="C176" s="16" t="inlineStr">
        <is>
          <t>금융투자 / 핀테크 / 리스크</t>
        </is>
      </c>
      <c r="D176" s="22" t="n">
        <v>60000000</v>
      </c>
      <c r="E176" s="22" t="n">
        <v>100000000</v>
      </c>
      <c r="F176" s="23" t="n">
        <v>102500</v>
      </c>
      <c r="G176" s="22" t="n">
        <v>81250</v>
      </c>
      <c r="H176" s="15" t="inlineStr">
        <is>
          <t>increasing</t>
        </is>
      </c>
      <c r="I176" s="20" t="inlineStr">
        <is>
          <t>7.1%</t>
        </is>
      </c>
      <c r="J176" s="15" t="n">
        <v>1</v>
      </c>
      <c r="K176" s="15" t="inlineStr">
        <is>
          <t>high</t>
        </is>
      </c>
    </row>
    <row r="177">
      <c r="A177" s="17" t="inlineStr">
        <is>
          <t>3322</t>
        </is>
      </c>
      <c r="B177" s="18" t="inlineStr">
        <is>
          <t>Commercial Sales Representatives</t>
        </is>
      </c>
      <c r="C177" s="18" t="inlineStr">
        <is>
          <t>금융투자 / 핀테크 / 리스크</t>
        </is>
      </c>
      <c r="D177" s="24" t="n">
        <v>60000000</v>
      </c>
      <c r="E177" s="24" t="n">
        <v>100000000</v>
      </c>
      <c r="F177" s="25" t="n">
        <v>102500</v>
      </c>
      <c r="G177" s="24" t="n">
        <v>81250</v>
      </c>
      <c r="H177" s="17" t="inlineStr">
        <is>
          <t>increasing</t>
        </is>
      </c>
      <c r="I177" s="21" t="inlineStr">
        <is>
          <t>7.1%</t>
        </is>
      </c>
      <c r="J177" s="17" t="n">
        <v>0.9</v>
      </c>
      <c r="K177" s="17" t="inlineStr">
        <is>
          <t>high</t>
        </is>
      </c>
    </row>
    <row r="178">
      <c r="A178" s="15" t="inlineStr">
        <is>
          <t>3323</t>
        </is>
      </c>
      <c r="B178" s="16" t="inlineStr">
        <is>
          <t>Buyers</t>
        </is>
      </c>
      <c r="C178" s="16" t="inlineStr">
        <is>
          <t>금융투자 / 핀테크 / 리스크</t>
        </is>
      </c>
      <c r="D178" s="22" t="n">
        <v>60000000</v>
      </c>
      <c r="E178" s="22" t="n">
        <v>100000000</v>
      </c>
      <c r="F178" s="23" t="n">
        <v>102500</v>
      </c>
      <c r="G178" s="22" t="n">
        <v>81250</v>
      </c>
      <c r="H178" s="15" t="inlineStr">
        <is>
          <t>increasing</t>
        </is>
      </c>
      <c r="I178" s="20" t="inlineStr">
        <is>
          <t>7.1%</t>
        </is>
      </c>
      <c r="J178" s="15" t="n">
        <v>1</v>
      </c>
      <c r="K178" s="15" t="inlineStr">
        <is>
          <t>high</t>
        </is>
      </c>
    </row>
    <row r="179">
      <c r="A179" s="17" t="inlineStr">
        <is>
          <t>3324</t>
        </is>
      </c>
      <c r="B179" s="18" t="inlineStr">
        <is>
          <t>Trade Brokers</t>
        </is>
      </c>
      <c r="C179" s="18" t="inlineStr">
        <is>
          <t>금융투자 / 핀테크 / 리스크</t>
        </is>
      </c>
      <c r="D179" s="24" t="n">
        <v>60000000</v>
      </c>
      <c r="E179" s="24" t="n">
        <v>100000000</v>
      </c>
      <c r="F179" s="25" t="n">
        <v>102500</v>
      </c>
      <c r="G179" s="24" t="n">
        <v>81250</v>
      </c>
      <c r="H179" s="17" t="inlineStr">
        <is>
          <t>increasing</t>
        </is>
      </c>
      <c r="I179" s="21" t="inlineStr">
        <is>
          <t>7.1%</t>
        </is>
      </c>
      <c r="J179" s="17" t="n">
        <v>1</v>
      </c>
      <c r="K179" s="17" t="inlineStr">
        <is>
          <t>high</t>
        </is>
      </c>
    </row>
    <row r="180">
      <c r="A180" s="15" t="inlineStr">
        <is>
          <t>3331</t>
        </is>
      </c>
      <c r="B180" s="16" t="inlineStr">
        <is>
          <t>Clearing and Forwarding Aents</t>
        </is>
      </c>
      <c r="C180" s="16" t="inlineStr">
        <is>
          <t>금융투자 / 핀테크 / 리스크</t>
        </is>
      </c>
      <c r="D180" s="22" t="n">
        <v>60000000</v>
      </c>
      <c r="E180" s="22" t="n">
        <v>100000000</v>
      </c>
      <c r="F180" s="23" t="n">
        <v>102500</v>
      </c>
      <c r="G180" s="22" t="n">
        <v>81250</v>
      </c>
      <c r="H180" s="15" t="inlineStr">
        <is>
          <t>increasing</t>
        </is>
      </c>
      <c r="I180" s="20" t="inlineStr">
        <is>
          <t>7.1%</t>
        </is>
      </c>
      <c r="J180" s="15" t="n">
        <v>0.86</v>
      </c>
      <c r="K180" s="15" t="inlineStr">
        <is>
          <t>high</t>
        </is>
      </c>
    </row>
    <row r="181">
      <c r="A181" s="17" t="inlineStr">
        <is>
          <t>3332</t>
        </is>
      </c>
      <c r="B181" s="18" t="inlineStr">
        <is>
          <t>Conference and Event Planners</t>
        </is>
      </c>
      <c r="C181" s="18" t="inlineStr">
        <is>
          <t>금융투자 / 핀테크 / 리스크</t>
        </is>
      </c>
      <c r="D181" s="24" t="n">
        <v>60000000</v>
      </c>
      <c r="E181" s="24" t="n">
        <v>100000000</v>
      </c>
      <c r="F181" s="25" t="n">
        <v>102500</v>
      </c>
      <c r="G181" s="24" t="n">
        <v>81250</v>
      </c>
      <c r="H181" s="17" t="inlineStr">
        <is>
          <t>increasing</t>
        </is>
      </c>
      <c r="I181" s="21" t="inlineStr">
        <is>
          <t>7.1%</t>
        </is>
      </c>
      <c r="J181" s="17" t="n">
        <v>1</v>
      </c>
      <c r="K181" s="17" t="inlineStr">
        <is>
          <t>high</t>
        </is>
      </c>
    </row>
    <row r="182">
      <c r="A182" s="15" t="inlineStr">
        <is>
          <t>3333</t>
        </is>
      </c>
      <c r="B182" s="16" t="inlineStr">
        <is>
          <t>Employment agents and contractors</t>
        </is>
      </c>
      <c r="C182" s="16" t="inlineStr">
        <is>
          <t>금융투자 / 핀테크 / 리스크</t>
        </is>
      </c>
      <c r="D182" s="22" t="n">
        <v>60000000</v>
      </c>
      <c r="E182" s="22" t="n">
        <v>100000000</v>
      </c>
      <c r="F182" s="23" t="n">
        <v>102500</v>
      </c>
      <c r="G182" s="22" t="n">
        <v>81250</v>
      </c>
      <c r="H182" s="15" t="inlineStr">
        <is>
          <t>increasing</t>
        </is>
      </c>
      <c r="I182" s="20" t="inlineStr">
        <is>
          <t>7.1%</t>
        </is>
      </c>
      <c r="J182" s="15" t="n">
        <v>0.86</v>
      </c>
      <c r="K182" s="15" t="inlineStr">
        <is>
          <t>high</t>
        </is>
      </c>
    </row>
    <row r="183">
      <c r="A183" s="17" t="inlineStr">
        <is>
          <t>3334</t>
        </is>
      </c>
      <c r="B183" s="18" t="inlineStr">
        <is>
          <t>Real Estate Agents and Property Managers</t>
        </is>
      </c>
      <c r="C183" s="18" t="inlineStr">
        <is>
          <t>금융투자 / 핀테크 / 리스크</t>
        </is>
      </c>
      <c r="D183" s="24" t="n">
        <v>60000000</v>
      </c>
      <c r="E183" s="24" t="n">
        <v>100000000</v>
      </c>
      <c r="F183" s="25" t="n">
        <v>102500</v>
      </c>
      <c r="G183" s="24" t="n">
        <v>81250</v>
      </c>
      <c r="H183" s="17" t="inlineStr">
        <is>
          <t>increasing</t>
        </is>
      </c>
      <c r="I183" s="21" t="inlineStr">
        <is>
          <t>7.1%</t>
        </is>
      </c>
      <c r="J183" s="17" t="n">
        <v>0.58</v>
      </c>
      <c r="K183" s="17" t="inlineStr">
        <is>
          <t>high</t>
        </is>
      </c>
    </row>
    <row r="184">
      <c r="A184" s="15" t="inlineStr">
        <is>
          <t>3339</t>
        </is>
      </c>
      <c r="B184" s="16" t="inlineStr">
        <is>
          <t>Business Services Agents Not Elsewhere Classified</t>
        </is>
      </c>
      <c r="C184" s="16" t="inlineStr">
        <is>
          <t>금융투자 / 핀테크 / 리스크</t>
        </is>
      </c>
      <c r="D184" s="22" t="n">
        <v>60000000</v>
      </c>
      <c r="E184" s="22" t="n">
        <v>100000000</v>
      </c>
      <c r="F184" s="23" t="n">
        <v>102500</v>
      </c>
      <c r="G184" s="22" t="n">
        <v>81250</v>
      </c>
      <c r="H184" s="15" t="inlineStr">
        <is>
          <t>increasing</t>
        </is>
      </c>
      <c r="I184" s="20" t="inlineStr">
        <is>
          <t>7.1%</t>
        </is>
      </c>
      <c r="J184" s="15" t="n">
        <v>0.89</v>
      </c>
      <c r="K184" s="15" t="inlineStr">
        <is>
          <t>high</t>
        </is>
      </c>
    </row>
    <row r="185">
      <c r="A185" s="17" t="inlineStr">
        <is>
          <t>3341</t>
        </is>
      </c>
      <c r="B185" s="18" t="inlineStr">
        <is>
          <t>Office Supervisors</t>
        </is>
      </c>
      <c r="C185" s="18" t="inlineStr">
        <is>
          <t>금융투자 / 핀테크 / 리스크</t>
        </is>
      </c>
      <c r="D185" s="24" t="n">
        <v>60000000</v>
      </c>
      <c r="E185" s="24" t="n">
        <v>100000000</v>
      </c>
      <c r="F185" s="25" t="n">
        <v>102500</v>
      </c>
      <c r="G185" s="24" t="n">
        <v>81250</v>
      </c>
      <c r="H185" s="17" t="inlineStr">
        <is>
          <t>increasing</t>
        </is>
      </c>
      <c r="I185" s="21" t="inlineStr">
        <is>
          <t>7.1%</t>
        </is>
      </c>
      <c r="J185" s="17" t="n">
        <v>1</v>
      </c>
      <c r="K185" s="17" t="inlineStr">
        <is>
          <t>high</t>
        </is>
      </c>
    </row>
    <row r="186">
      <c r="A186" s="15" t="inlineStr">
        <is>
          <t>3342</t>
        </is>
      </c>
      <c r="B186" s="16" t="inlineStr">
        <is>
          <t>Legal Secretaries</t>
        </is>
      </c>
      <c r="C186" s="16" t="inlineStr">
        <is>
          <t>금융투자 / 핀테크 / 리스크</t>
        </is>
      </c>
      <c r="D186" s="22" t="n">
        <v>60000000</v>
      </c>
      <c r="E186" s="22" t="n">
        <v>100000000</v>
      </c>
      <c r="F186" s="23" t="n">
        <v>102500</v>
      </c>
      <c r="G186" s="22" t="n">
        <v>81250</v>
      </c>
      <c r="H186" s="15" t="inlineStr">
        <is>
          <t>increasing</t>
        </is>
      </c>
      <c r="I186" s="20" t="inlineStr">
        <is>
          <t>7.1%</t>
        </is>
      </c>
      <c r="J186" s="15" t="n">
        <v>0.92</v>
      </c>
      <c r="K186" s="15" t="inlineStr">
        <is>
          <t>high</t>
        </is>
      </c>
    </row>
    <row r="187">
      <c r="A187" s="17" t="inlineStr">
        <is>
          <t>3343</t>
        </is>
      </c>
      <c r="B187" s="18" t="inlineStr">
        <is>
          <t>Administrative and Executive Secretaries</t>
        </is>
      </c>
      <c r="C187" s="18" t="inlineStr">
        <is>
          <t>금융투자 / 핀테크 / 리스크</t>
        </is>
      </c>
      <c r="D187" s="24" t="n">
        <v>60000000</v>
      </c>
      <c r="E187" s="24" t="n">
        <v>100000000</v>
      </c>
      <c r="F187" s="25" t="n">
        <v>102500</v>
      </c>
      <c r="G187" s="24" t="n">
        <v>81250</v>
      </c>
      <c r="H187" s="17" t="inlineStr">
        <is>
          <t>increasing</t>
        </is>
      </c>
      <c r="I187" s="21" t="inlineStr">
        <is>
          <t>7.1%</t>
        </is>
      </c>
      <c r="J187" s="17" t="n">
        <v>0.92</v>
      </c>
      <c r="K187" s="17" t="inlineStr">
        <is>
          <t>high</t>
        </is>
      </c>
    </row>
    <row r="188">
      <c r="A188" s="15" t="inlineStr">
        <is>
          <t>3344</t>
        </is>
      </c>
      <c r="B188" s="16" t="inlineStr">
        <is>
          <t>Medical Secretaries</t>
        </is>
      </c>
      <c r="C188" s="16" t="inlineStr">
        <is>
          <t>금융투자 / 핀테크 / 리스크</t>
        </is>
      </c>
      <c r="D188" s="22" t="n">
        <v>60000000</v>
      </c>
      <c r="E188" s="22" t="n">
        <v>100000000</v>
      </c>
      <c r="F188" s="23" t="n">
        <v>102500</v>
      </c>
      <c r="G188" s="22" t="n">
        <v>81250</v>
      </c>
      <c r="H188" s="15" t="inlineStr">
        <is>
          <t>increasing</t>
        </is>
      </c>
      <c r="I188" s="20" t="inlineStr">
        <is>
          <t>7.1%</t>
        </is>
      </c>
      <c r="J188" s="15" t="n">
        <v>0.77</v>
      </c>
      <c r="K188" s="15" t="inlineStr">
        <is>
          <t>high</t>
        </is>
      </c>
    </row>
    <row r="189">
      <c r="A189" s="17" t="inlineStr">
        <is>
          <t>3351</t>
        </is>
      </c>
      <c r="B189" s="18" t="inlineStr">
        <is>
          <t>Customs and Border Inspectors</t>
        </is>
      </c>
      <c r="C189" s="18" t="inlineStr">
        <is>
          <t>금융투자 / 핀테크 / 리스크</t>
        </is>
      </c>
      <c r="D189" s="24" t="n">
        <v>60000000</v>
      </c>
      <c r="E189" s="24" t="n">
        <v>100000000</v>
      </c>
      <c r="F189" s="25" t="n">
        <v>102500</v>
      </c>
      <c r="G189" s="24" t="n">
        <v>81250</v>
      </c>
      <c r="H189" s="17" t="inlineStr">
        <is>
          <t>increasing</t>
        </is>
      </c>
      <c r="I189" s="21" t="inlineStr">
        <is>
          <t>7.1%</t>
        </is>
      </c>
      <c r="J189" s="17" t="n">
        <v>0.75</v>
      </c>
      <c r="K189" s="17" t="inlineStr">
        <is>
          <t>high</t>
        </is>
      </c>
    </row>
    <row r="190">
      <c r="A190" s="15" t="inlineStr">
        <is>
          <t>3352</t>
        </is>
      </c>
      <c r="B190" s="16" t="inlineStr">
        <is>
          <t>Government Tax and Excise Officials</t>
        </is>
      </c>
      <c r="C190" s="16" t="inlineStr">
        <is>
          <t>금융투자 / 핀테크 / 리스크</t>
        </is>
      </c>
      <c r="D190" s="22" t="n">
        <v>60000000</v>
      </c>
      <c r="E190" s="22" t="n">
        <v>100000000</v>
      </c>
      <c r="F190" s="23" t="n">
        <v>102500</v>
      </c>
      <c r="G190" s="22" t="n">
        <v>81250</v>
      </c>
      <c r="H190" s="15" t="inlineStr">
        <is>
          <t>increasing</t>
        </is>
      </c>
      <c r="I190" s="20" t="inlineStr">
        <is>
          <t>7.1%</t>
        </is>
      </c>
      <c r="J190" s="15" t="n">
        <v>0.75</v>
      </c>
      <c r="K190" s="15" t="inlineStr">
        <is>
          <t>high</t>
        </is>
      </c>
    </row>
    <row r="191">
      <c r="A191" s="17" t="inlineStr">
        <is>
          <t>3353</t>
        </is>
      </c>
      <c r="B191" s="18" t="inlineStr">
        <is>
          <t>Government Social Benefits Officials</t>
        </is>
      </c>
      <c r="C191" s="18" t="inlineStr">
        <is>
          <t>금융투자 / 핀테크 / 리스크</t>
        </is>
      </c>
      <c r="D191" s="24" t="n">
        <v>60000000</v>
      </c>
      <c r="E191" s="24" t="n">
        <v>100000000</v>
      </c>
      <c r="F191" s="25" t="n">
        <v>102500</v>
      </c>
      <c r="G191" s="24" t="n">
        <v>81250</v>
      </c>
      <c r="H191" s="17" t="inlineStr">
        <is>
          <t>increasing</t>
        </is>
      </c>
      <c r="I191" s="21" t="inlineStr">
        <is>
          <t>7.1%</t>
        </is>
      </c>
      <c r="J191" s="17" t="n">
        <v>0.8</v>
      </c>
      <c r="K191" s="17" t="inlineStr">
        <is>
          <t>high</t>
        </is>
      </c>
    </row>
    <row r="192">
      <c r="A192" s="15" t="inlineStr">
        <is>
          <t>3354</t>
        </is>
      </c>
      <c r="B192" s="16" t="inlineStr">
        <is>
          <t>Government Licensing Officials</t>
        </is>
      </c>
      <c r="C192" s="16" t="inlineStr">
        <is>
          <t>금융투자 / 핀테크 / 리스크</t>
        </is>
      </c>
      <c r="D192" s="22" t="n">
        <v>60000000</v>
      </c>
      <c r="E192" s="22" t="n">
        <v>100000000</v>
      </c>
      <c r="F192" s="23" t="n">
        <v>102500</v>
      </c>
      <c r="G192" s="22" t="n">
        <v>81250</v>
      </c>
      <c r="H192" s="15" t="inlineStr">
        <is>
          <t>increasing</t>
        </is>
      </c>
      <c r="I192" s="20" t="inlineStr">
        <is>
          <t>7.1%</t>
        </is>
      </c>
      <c r="J192" s="15" t="n">
        <v>0.71</v>
      </c>
      <c r="K192" s="15" t="inlineStr">
        <is>
          <t>high</t>
        </is>
      </c>
    </row>
    <row r="193">
      <c r="A193" s="17" t="inlineStr">
        <is>
          <t>3355</t>
        </is>
      </c>
      <c r="B193" s="18" t="inlineStr">
        <is>
          <t>Police Inspectors and Detectives</t>
        </is>
      </c>
      <c r="C193" s="18" t="inlineStr">
        <is>
          <t>금융투자 / 핀테크 / 리스크</t>
        </is>
      </c>
      <c r="D193" s="24" t="n">
        <v>60000000</v>
      </c>
      <c r="E193" s="24" t="n">
        <v>100000000</v>
      </c>
      <c r="F193" s="25" t="n">
        <v>102500</v>
      </c>
      <c r="G193" s="24" t="n">
        <v>81250</v>
      </c>
      <c r="H193" s="17" t="inlineStr">
        <is>
          <t>increasing</t>
        </is>
      </c>
      <c r="I193" s="21" t="inlineStr">
        <is>
          <t>7.1%</t>
        </is>
      </c>
      <c r="J193" s="17" t="n">
        <v>1</v>
      </c>
      <c r="K193" s="17" t="inlineStr">
        <is>
          <t>high</t>
        </is>
      </c>
    </row>
    <row r="194">
      <c r="A194" s="15" t="inlineStr">
        <is>
          <t>3359</t>
        </is>
      </c>
      <c r="B194" s="16" t="inlineStr">
        <is>
          <t>Government Regulatory AssociatePprofessionals Not Elsewhere Classified</t>
        </is>
      </c>
      <c r="C194" s="16" t="inlineStr">
        <is>
          <t>금융투자 / 핀테크 / 리스크</t>
        </is>
      </c>
      <c r="D194" s="22" t="n">
        <v>60000000</v>
      </c>
      <c r="E194" s="22" t="n">
        <v>100000000</v>
      </c>
      <c r="F194" s="23" t="n">
        <v>102500</v>
      </c>
      <c r="G194" s="22" t="n">
        <v>81250</v>
      </c>
      <c r="H194" s="15" t="inlineStr">
        <is>
          <t>increasing</t>
        </is>
      </c>
      <c r="I194" s="20" t="inlineStr">
        <is>
          <t>7.1%</t>
        </is>
      </c>
      <c r="J194" s="15" t="n">
        <v>0.75</v>
      </c>
      <c r="K194" s="15" t="inlineStr">
        <is>
          <t>high</t>
        </is>
      </c>
    </row>
    <row r="195">
      <c r="A195" s="17" t="inlineStr">
        <is>
          <t>3411</t>
        </is>
      </c>
      <c r="B195" s="18" t="inlineStr">
        <is>
          <t>Legal and Related Associate Professionals</t>
        </is>
      </c>
      <c r="C195" s="18" t="inlineStr">
        <is>
          <t>법률 / 지식재산권 / 변리</t>
        </is>
      </c>
      <c r="D195" s="24" t="n">
        <v>57600000</v>
      </c>
      <c r="E195" s="24" t="n">
        <v>96000000</v>
      </c>
      <c r="F195" s="25" t="n">
        <v>98400</v>
      </c>
      <c r="G195" s="24" t="n">
        <v>78000</v>
      </c>
      <c r="H195" s="17" t="inlineStr">
        <is>
          <t>increasing</t>
        </is>
      </c>
      <c r="I195" s="21" t="inlineStr">
        <is>
          <t>7.1%</t>
        </is>
      </c>
      <c r="J195" s="17" t="n">
        <v>0.92</v>
      </c>
      <c r="K195" s="17" t="inlineStr">
        <is>
          <t>high</t>
        </is>
      </c>
    </row>
    <row r="196">
      <c r="A196" s="15" t="inlineStr">
        <is>
          <t>3412</t>
        </is>
      </c>
      <c r="B196" s="16" t="inlineStr">
        <is>
          <t>Social Work Associate Professionals</t>
        </is>
      </c>
      <c r="C196" s="16" t="inlineStr">
        <is>
          <t>법률 / 지식재산권 / 변리</t>
        </is>
      </c>
      <c r="D196" s="22" t="n">
        <v>57600000</v>
      </c>
      <c r="E196" s="22" t="n">
        <v>96000000</v>
      </c>
      <c r="F196" s="23" t="n">
        <v>98400</v>
      </c>
      <c r="G196" s="22" t="n">
        <v>78000</v>
      </c>
      <c r="H196" s="15" t="inlineStr">
        <is>
          <t>increasing</t>
        </is>
      </c>
      <c r="I196" s="20" t="inlineStr">
        <is>
          <t>7.1%</t>
        </is>
      </c>
      <c r="J196" s="15" t="n">
        <v>0.92</v>
      </c>
      <c r="K196" s="15" t="inlineStr">
        <is>
          <t>high</t>
        </is>
      </c>
    </row>
    <row r="197">
      <c r="A197" s="17" t="inlineStr">
        <is>
          <t>3413</t>
        </is>
      </c>
      <c r="B197" s="18" t="inlineStr">
        <is>
          <t>Religious Associate Professionals</t>
        </is>
      </c>
      <c r="C197" s="18" t="inlineStr">
        <is>
          <t>법률 / 지식재산권 / 변리</t>
        </is>
      </c>
      <c r="D197" s="24" t="n">
        <v>57600000</v>
      </c>
      <c r="E197" s="24" t="n">
        <v>96000000</v>
      </c>
      <c r="F197" s="25" t="n">
        <v>98400</v>
      </c>
      <c r="G197" s="24" t="n">
        <v>78000</v>
      </c>
      <c r="H197" s="17" t="inlineStr">
        <is>
          <t>increasing</t>
        </is>
      </c>
      <c r="I197" s="21" t="inlineStr">
        <is>
          <t>7.1%</t>
        </is>
      </c>
      <c r="J197" s="17" t="n">
        <v>1</v>
      </c>
      <c r="K197" s="17" t="inlineStr">
        <is>
          <t>high</t>
        </is>
      </c>
    </row>
    <row r="198">
      <c r="A198" s="15" t="inlineStr">
        <is>
          <t>3421</t>
        </is>
      </c>
      <c r="B198" s="16" t="inlineStr">
        <is>
          <t>Athletes and Sports Players</t>
        </is>
      </c>
      <c r="C198" s="16" t="inlineStr">
        <is>
          <t>법률 / 지식재산권 / 변리</t>
        </is>
      </c>
      <c r="D198" s="22" t="n">
        <v>57600000</v>
      </c>
      <c r="E198" s="22" t="n">
        <v>96000000</v>
      </c>
      <c r="F198" s="23" t="n">
        <v>98400</v>
      </c>
      <c r="G198" s="22" t="n">
        <v>78000</v>
      </c>
      <c r="H198" s="15" t="inlineStr">
        <is>
          <t>increasing</t>
        </is>
      </c>
      <c r="I198" s="20" t="inlineStr">
        <is>
          <t>7.1%</t>
        </is>
      </c>
      <c r="J198" s="15" t="n">
        <v>1</v>
      </c>
      <c r="K198" s="15" t="inlineStr">
        <is>
          <t>high</t>
        </is>
      </c>
    </row>
    <row r="199">
      <c r="A199" s="17" t="inlineStr">
        <is>
          <t>3422</t>
        </is>
      </c>
      <c r="B199" s="18" t="inlineStr">
        <is>
          <t>Sports Coaches, Instructors and Officials</t>
        </is>
      </c>
      <c r="C199" s="18" t="inlineStr">
        <is>
          <t>법률 / 지식재산권 / 변리</t>
        </is>
      </c>
      <c r="D199" s="24" t="n">
        <v>57600000</v>
      </c>
      <c r="E199" s="24" t="n">
        <v>96000000</v>
      </c>
      <c r="F199" s="25" t="n">
        <v>98400</v>
      </c>
      <c r="G199" s="24" t="n">
        <v>78000</v>
      </c>
      <c r="H199" s="17" t="inlineStr">
        <is>
          <t>increasing</t>
        </is>
      </c>
      <c r="I199" s="21" t="inlineStr">
        <is>
          <t>7.1%</t>
        </is>
      </c>
      <c r="J199" s="17" t="n">
        <v>0.89</v>
      </c>
      <c r="K199" s="17" t="inlineStr">
        <is>
          <t>high</t>
        </is>
      </c>
    </row>
    <row r="200">
      <c r="A200" s="15" t="inlineStr">
        <is>
          <t>3423</t>
        </is>
      </c>
      <c r="B200" s="16" t="inlineStr">
        <is>
          <t>Fitness and Recreation Instructors and Programme Leaders</t>
        </is>
      </c>
      <c r="C200" s="16" t="inlineStr">
        <is>
          <t>법률 / 지식재산권 / 변리</t>
        </is>
      </c>
      <c r="D200" s="22" t="n">
        <v>57600000</v>
      </c>
      <c r="E200" s="22" t="n">
        <v>96000000</v>
      </c>
      <c r="F200" s="23" t="n">
        <v>98400</v>
      </c>
      <c r="G200" s="22" t="n">
        <v>78000</v>
      </c>
      <c r="H200" s="15" t="inlineStr">
        <is>
          <t>increasing</t>
        </is>
      </c>
      <c r="I200" s="20" t="inlineStr">
        <is>
          <t>7.1%</t>
        </is>
      </c>
      <c r="J200" s="15" t="n">
        <v>1</v>
      </c>
      <c r="K200" s="15" t="inlineStr">
        <is>
          <t>high</t>
        </is>
      </c>
    </row>
    <row r="201">
      <c r="A201" s="17" t="inlineStr">
        <is>
          <t>3431</t>
        </is>
      </c>
      <c r="B201" s="18" t="inlineStr">
        <is>
          <t>Photographers</t>
        </is>
      </c>
      <c r="C201" s="18" t="inlineStr">
        <is>
          <t>법률 / 지식재산권 / 변리</t>
        </is>
      </c>
      <c r="D201" s="24" t="n">
        <v>57600000</v>
      </c>
      <c r="E201" s="24" t="n">
        <v>96000000</v>
      </c>
      <c r="F201" s="25" t="n">
        <v>98400</v>
      </c>
      <c r="G201" s="24" t="n">
        <v>78000</v>
      </c>
      <c r="H201" s="17" t="inlineStr">
        <is>
          <t>increasing</t>
        </is>
      </c>
      <c r="I201" s="21" t="inlineStr">
        <is>
          <t>7.1%</t>
        </is>
      </c>
      <c r="J201" s="17" t="n">
        <v>0.75</v>
      </c>
      <c r="K201" s="17" t="inlineStr">
        <is>
          <t>high</t>
        </is>
      </c>
    </row>
    <row r="202">
      <c r="A202" s="15" t="inlineStr">
        <is>
          <t>3432</t>
        </is>
      </c>
      <c r="B202" s="16" t="inlineStr">
        <is>
          <t>Interior Designers and Decorators</t>
        </is>
      </c>
      <c r="C202" s="16" t="inlineStr">
        <is>
          <t>법률 / 지식재산권 / 변리</t>
        </is>
      </c>
      <c r="D202" s="22" t="n">
        <v>57600000</v>
      </c>
      <c r="E202" s="22" t="n">
        <v>96000000</v>
      </c>
      <c r="F202" s="23" t="n">
        <v>98400</v>
      </c>
      <c r="G202" s="22" t="n">
        <v>78000</v>
      </c>
      <c r="H202" s="15" t="inlineStr">
        <is>
          <t>increasing</t>
        </is>
      </c>
      <c r="I202" s="20" t="inlineStr">
        <is>
          <t>7.1%</t>
        </is>
      </c>
      <c r="J202" s="15" t="n">
        <v>1</v>
      </c>
      <c r="K202" s="15" t="inlineStr">
        <is>
          <t>high</t>
        </is>
      </c>
    </row>
    <row r="203">
      <c r="A203" s="17" t="inlineStr">
        <is>
          <t>3433</t>
        </is>
      </c>
      <c r="B203" s="18" t="inlineStr">
        <is>
          <t>Gallery, Museum and Library Technicians</t>
        </is>
      </c>
      <c r="C203" s="18" t="inlineStr">
        <is>
          <t>법률 / 지식재산권 / 변리</t>
        </is>
      </c>
      <c r="D203" s="24" t="n">
        <v>57600000</v>
      </c>
      <c r="E203" s="24" t="n">
        <v>96000000</v>
      </c>
      <c r="F203" s="25" t="n">
        <v>98400</v>
      </c>
      <c r="G203" s="24" t="n">
        <v>78000</v>
      </c>
      <c r="H203" s="17" t="inlineStr">
        <is>
          <t>increasing</t>
        </is>
      </c>
      <c r="I203" s="21" t="inlineStr">
        <is>
          <t>7.1%</t>
        </is>
      </c>
      <c r="J203" s="17" t="n">
        <v>0.77</v>
      </c>
      <c r="K203" s="17" t="inlineStr">
        <is>
          <t>high</t>
        </is>
      </c>
    </row>
    <row r="204">
      <c r="A204" s="15" t="inlineStr">
        <is>
          <t>3434</t>
        </is>
      </c>
      <c r="B204" s="16" t="inlineStr">
        <is>
          <t>Chefs</t>
        </is>
      </c>
      <c r="C204" s="16" t="inlineStr">
        <is>
          <t>법률 / 지식재산권 / 변리</t>
        </is>
      </c>
      <c r="D204" s="22" t="n">
        <v>57600000</v>
      </c>
      <c r="E204" s="22" t="n">
        <v>96000000</v>
      </c>
      <c r="F204" s="23" t="n">
        <v>98400</v>
      </c>
      <c r="G204" s="22" t="n">
        <v>78000</v>
      </c>
      <c r="H204" s="15" t="inlineStr">
        <is>
          <t>increasing</t>
        </is>
      </c>
      <c r="I204" s="20" t="inlineStr">
        <is>
          <t>7.1%</t>
        </is>
      </c>
      <c r="J204" s="15" t="n">
        <v>0.93</v>
      </c>
      <c r="K204" s="15" t="inlineStr">
        <is>
          <t>high</t>
        </is>
      </c>
    </row>
    <row r="205">
      <c r="A205" s="17" t="inlineStr">
        <is>
          <t>3435</t>
        </is>
      </c>
      <c r="B205" s="18" t="inlineStr">
        <is>
          <t>Other Artistic and Cultural Associate Professionals</t>
        </is>
      </c>
      <c r="C205" s="18" t="inlineStr">
        <is>
          <t>법률 / 지식재산권 / 변리</t>
        </is>
      </c>
      <c r="D205" s="24" t="n">
        <v>57600000</v>
      </c>
      <c r="E205" s="24" t="n">
        <v>96000000</v>
      </c>
      <c r="F205" s="25" t="n">
        <v>98400</v>
      </c>
      <c r="G205" s="24" t="n">
        <v>78000</v>
      </c>
      <c r="H205" s="17" t="inlineStr">
        <is>
          <t>increasing</t>
        </is>
      </c>
      <c r="I205" s="21" t="inlineStr">
        <is>
          <t>7.1%</t>
        </is>
      </c>
      <c r="J205" s="17" t="n">
        <v>0.45</v>
      </c>
      <c r="K205" s="17" t="inlineStr">
        <is>
          <t>high</t>
        </is>
      </c>
    </row>
    <row r="206">
      <c r="A206" s="15" t="inlineStr">
        <is>
          <t>3511</t>
        </is>
      </c>
      <c r="B206" s="16" t="inlineStr">
        <is>
          <t>Information and Communications Technology Operations Technicians</t>
        </is>
      </c>
      <c r="C206" s="16" t="inlineStr">
        <is>
          <t>ICT / Software &amp; Data / AI</t>
        </is>
      </c>
      <c r="D206" s="22" t="n">
        <v>62400000</v>
      </c>
      <c r="E206" s="22" t="n">
        <v>104000000</v>
      </c>
      <c r="F206" s="23" t="n">
        <v>106600</v>
      </c>
      <c r="G206" s="22" t="n">
        <v>84500</v>
      </c>
      <c r="H206" s="15" t="inlineStr">
        <is>
          <t>very-high</t>
        </is>
      </c>
      <c r="I206" s="20" t="inlineStr">
        <is>
          <t>7.1%</t>
        </is>
      </c>
      <c r="J206" s="15" t="n">
        <v>0.7</v>
      </c>
      <c r="K206" s="15" t="inlineStr">
        <is>
          <t>high</t>
        </is>
      </c>
    </row>
    <row r="207">
      <c r="A207" s="17" t="inlineStr">
        <is>
          <t>3512</t>
        </is>
      </c>
      <c r="B207" s="18" t="inlineStr">
        <is>
          <t>Information and Communications Technology User Support Technicians</t>
        </is>
      </c>
      <c r="C207" s="18" t="inlineStr">
        <is>
          <t>ICT / Software &amp; Data / AI</t>
        </is>
      </c>
      <c r="D207" s="24" t="n">
        <v>62400000</v>
      </c>
      <c r="E207" s="24" t="n">
        <v>104000000</v>
      </c>
      <c r="F207" s="25" t="n">
        <v>106600</v>
      </c>
      <c r="G207" s="24" t="n">
        <v>84500</v>
      </c>
      <c r="H207" s="17" t="inlineStr">
        <is>
          <t>very-high</t>
        </is>
      </c>
      <c r="I207" s="21" t="inlineStr">
        <is>
          <t>7.1%</t>
        </is>
      </c>
      <c r="J207" s="17" t="n">
        <v>0.83</v>
      </c>
      <c r="K207" s="17" t="inlineStr">
        <is>
          <t>high</t>
        </is>
      </c>
    </row>
    <row r="208">
      <c r="A208" s="15" t="inlineStr">
        <is>
          <t>3513</t>
        </is>
      </c>
      <c r="B208" s="16" t="inlineStr">
        <is>
          <t>Computer Network and Systems Technicians</t>
        </is>
      </c>
      <c r="C208" s="16" t="inlineStr">
        <is>
          <t>ICT / Software &amp; Data / AI</t>
        </is>
      </c>
      <c r="D208" s="22" t="n">
        <v>62400000</v>
      </c>
      <c r="E208" s="22" t="n">
        <v>104000000</v>
      </c>
      <c r="F208" s="23" t="n">
        <v>106600</v>
      </c>
      <c r="G208" s="22" t="n">
        <v>84500</v>
      </c>
      <c r="H208" s="15" t="inlineStr">
        <is>
          <t>very-high</t>
        </is>
      </c>
      <c r="I208" s="20" t="inlineStr">
        <is>
          <t>7.1%</t>
        </is>
      </c>
      <c r="J208" s="15" t="n">
        <v>0.57</v>
      </c>
      <c r="K208" s="15" t="inlineStr">
        <is>
          <t>high</t>
        </is>
      </c>
    </row>
    <row r="209">
      <c r="A209" s="17" t="inlineStr">
        <is>
          <t>3514</t>
        </is>
      </c>
      <c r="B209" s="18" t="inlineStr">
        <is>
          <t>Web Technicians</t>
        </is>
      </c>
      <c r="C209" s="18" t="inlineStr">
        <is>
          <t>ICT / Software &amp; Data / AI</t>
        </is>
      </c>
      <c r="D209" s="24" t="n">
        <v>62400000</v>
      </c>
      <c r="E209" s="24" t="n">
        <v>104000000</v>
      </c>
      <c r="F209" s="25" t="n">
        <v>106600</v>
      </c>
      <c r="G209" s="24" t="n">
        <v>84500</v>
      </c>
      <c r="H209" s="17" t="inlineStr">
        <is>
          <t>very-high</t>
        </is>
      </c>
      <c r="I209" s="21" t="inlineStr">
        <is>
          <t>7.1%</t>
        </is>
      </c>
      <c r="J209" s="17" t="n">
        <v>0.92</v>
      </c>
      <c r="K209" s="17" t="inlineStr">
        <is>
          <t>high</t>
        </is>
      </c>
    </row>
    <row r="210">
      <c r="A210" s="15" t="inlineStr">
        <is>
          <t>3521</t>
        </is>
      </c>
      <c r="B210" s="16" t="inlineStr">
        <is>
          <t>Broadcasting and Audio-visual Technicians</t>
        </is>
      </c>
      <c r="C210" s="16" t="inlineStr">
        <is>
          <t>ICT / Software &amp; Data / AI</t>
        </is>
      </c>
      <c r="D210" s="22" t="n">
        <v>62400000</v>
      </c>
      <c r="E210" s="22" t="n">
        <v>104000000</v>
      </c>
      <c r="F210" s="23" t="n">
        <v>106600</v>
      </c>
      <c r="G210" s="22" t="n">
        <v>84500</v>
      </c>
      <c r="H210" s="15" t="inlineStr">
        <is>
          <t>very-high</t>
        </is>
      </c>
      <c r="I210" s="20" t="inlineStr">
        <is>
          <t>7.1%</t>
        </is>
      </c>
      <c r="J210" s="15" t="n">
        <v>1</v>
      </c>
      <c r="K210" s="15" t="inlineStr">
        <is>
          <t>high</t>
        </is>
      </c>
    </row>
    <row r="211">
      <c r="A211" s="17" t="inlineStr">
        <is>
          <t>3522</t>
        </is>
      </c>
      <c r="B211" s="18" t="inlineStr">
        <is>
          <t>Telecommunications Engineering Technicians</t>
        </is>
      </c>
      <c r="C211" s="18" t="inlineStr">
        <is>
          <t>ICT / Software &amp; Data / AI</t>
        </is>
      </c>
      <c r="D211" s="24" t="n">
        <v>62400000</v>
      </c>
      <c r="E211" s="24" t="n">
        <v>104000000</v>
      </c>
      <c r="F211" s="25" t="n">
        <v>106600</v>
      </c>
      <c r="G211" s="24" t="n">
        <v>84500</v>
      </c>
      <c r="H211" s="17" t="inlineStr">
        <is>
          <t>very-high</t>
        </is>
      </c>
      <c r="I211" s="21" t="inlineStr">
        <is>
          <t>7.1%</t>
        </is>
      </c>
      <c r="J211" s="17" t="n">
        <v>1</v>
      </c>
      <c r="K211" s="17" t="inlineStr">
        <is>
          <t>high</t>
        </is>
      </c>
    </row>
    <row r="212">
      <c r="A212" s="15" t="inlineStr">
        <is>
          <t>4110</t>
        </is>
      </c>
      <c r="B212" s="16" t="inlineStr">
        <is>
          <t>General Office Clerks</t>
        </is>
      </c>
      <c r="C212" s="16" t="inlineStr">
        <is>
          <t>경영전략 / 인사 / 사업개발</t>
        </is>
      </c>
      <c r="D212" s="22" t="n">
        <v>43700000</v>
      </c>
      <c r="E212" s="22" t="n">
        <v>66699999</v>
      </c>
      <c r="F212" s="23" t="n">
        <v>63249</v>
      </c>
      <c r="G212" s="22" t="n">
        <v>55199</v>
      </c>
      <c r="H212" s="15" t="inlineStr">
        <is>
          <t>increasing</t>
        </is>
      </c>
      <c r="I212" s="20" t="inlineStr">
        <is>
          <t>5.9%</t>
        </is>
      </c>
      <c r="J212" s="15" t="n">
        <v>0.5600000000000001</v>
      </c>
      <c r="K212" s="15" t="inlineStr">
        <is>
          <t>standard</t>
        </is>
      </c>
    </row>
    <row r="213">
      <c r="A213" s="17" t="inlineStr">
        <is>
          <t>4120</t>
        </is>
      </c>
      <c r="B213" s="18" t="inlineStr">
        <is>
          <t>Secretaries (general)</t>
        </is>
      </c>
      <c r="C213" s="18" t="inlineStr">
        <is>
          <t>경영전략 / 인사 / 사업개발</t>
        </is>
      </c>
      <c r="D213" s="24" t="n">
        <v>43700000</v>
      </c>
      <c r="E213" s="24" t="n">
        <v>66699999</v>
      </c>
      <c r="F213" s="25" t="n">
        <v>63249</v>
      </c>
      <c r="G213" s="24" t="n">
        <v>55199</v>
      </c>
      <c r="H213" s="17" t="inlineStr">
        <is>
          <t>increasing</t>
        </is>
      </c>
      <c r="I213" s="21" t="inlineStr">
        <is>
          <t>5.9%</t>
        </is>
      </c>
      <c r="J213" s="17" t="n">
        <v>0.91</v>
      </c>
      <c r="K213" s="17" t="inlineStr">
        <is>
          <t>standard</t>
        </is>
      </c>
    </row>
    <row r="214">
      <c r="A214" s="15" t="inlineStr">
        <is>
          <t>4131</t>
        </is>
      </c>
      <c r="B214" s="16" t="inlineStr">
        <is>
          <t>Typists and Word Processing Operators</t>
        </is>
      </c>
      <c r="C214" s="16" t="inlineStr">
        <is>
          <t>경영전략 / 인사 / 사업개발</t>
        </is>
      </c>
      <c r="D214" s="22" t="n">
        <v>43700000</v>
      </c>
      <c r="E214" s="22" t="n">
        <v>66699999</v>
      </c>
      <c r="F214" s="23" t="n">
        <v>63249</v>
      </c>
      <c r="G214" s="22" t="n">
        <v>55199</v>
      </c>
      <c r="H214" s="15" t="inlineStr">
        <is>
          <t>increasing</t>
        </is>
      </c>
      <c r="I214" s="20" t="inlineStr">
        <is>
          <t>5.9%</t>
        </is>
      </c>
      <c r="J214" s="15" t="n">
        <v>0.9</v>
      </c>
      <c r="K214" s="15" t="inlineStr">
        <is>
          <t>standard</t>
        </is>
      </c>
    </row>
    <row r="215">
      <c r="A215" s="17" t="inlineStr">
        <is>
          <t>4132</t>
        </is>
      </c>
      <c r="B215" s="18" t="inlineStr">
        <is>
          <t>Data Entry Clerks</t>
        </is>
      </c>
      <c r="C215" s="18" t="inlineStr">
        <is>
          <t>경영전략 / 인사 / 사업개발</t>
        </is>
      </c>
      <c r="D215" s="24" t="n">
        <v>43700000</v>
      </c>
      <c r="E215" s="24" t="n">
        <v>66699999</v>
      </c>
      <c r="F215" s="25" t="n">
        <v>63249</v>
      </c>
      <c r="G215" s="24" t="n">
        <v>55199</v>
      </c>
      <c r="H215" s="17" t="inlineStr">
        <is>
          <t>increasing</t>
        </is>
      </c>
      <c r="I215" s="21" t="inlineStr">
        <is>
          <t>5.9%</t>
        </is>
      </c>
      <c r="J215" s="17" t="n">
        <v>0.5</v>
      </c>
      <c r="K215" s="17" t="inlineStr">
        <is>
          <t>standard</t>
        </is>
      </c>
    </row>
    <row r="216">
      <c r="A216" s="15" t="inlineStr">
        <is>
          <t>4211</t>
        </is>
      </c>
      <c r="B216" s="16" t="inlineStr">
        <is>
          <t>Bank Tellers and Related Clerks</t>
        </is>
      </c>
      <c r="C216" s="16" t="inlineStr">
        <is>
          <t>B2B영업 / 마케팅 / GTM</t>
        </is>
      </c>
      <c r="D216" s="22" t="n">
        <v>39900000</v>
      </c>
      <c r="E216" s="22" t="n">
        <v>60900000</v>
      </c>
      <c r="F216" s="23" t="n">
        <v>57750</v>
      </c>
      <c r="G216" s="22" t="n">
        <v>50400</v>
      </c>
      <c r="H216" s="15" t="inlineStr">
        <is>
          <t>increasing</t>
        </is>
      </c>
      <c r="I216" s="20" t="inlineStr">
        <is>
          <t>5.9%</t>
        </is>
      </c>
      <c r="J216" s="15" t="n">
        <v>0.75</v>
      </c>
      <c r="K216" s="15" t="inlineStr">
        <is>
          <t>standard</t>
        </is>
      </c>
    </row>
    <row r="217">
      <c r="A217" s="17" t="inlineStr">
        <is>
          <t>4212</t>
        </is>
      </c>
      <c r="B217" s="18" t="inlineStr">
        <is>
          <t>Bookmakers, Croupiers and Related Gaming Workers</t>
        </is>
      </c>
      <c r="C217" s="18" t="inlineStr">
        <is>
          <t>B2B영업 / 마케팅 / GTM</t>
        </is>
      </c>
      <c r="D217" s="24" t="n">
        <v>39900000</v>
      </c>
      <c r="E217" s="24" t="n">
        <v>60900000</v>
      </c>
      <c r="F217" s="25" t="n">
        <v>57750</v>
      </c>
      <c r="G217" s="24" t="n">
        <v>50400</v>
      </c>
      <c r="H217" s="17" t="inlineStr">
        <is>
          <t>increasing</t>
        </is>
      </c>
      <c r="I217" s="21" t="inlineStr">
        <is>
          <t>5.9%</t>
        </is>
      </c>
      <c r="J217" s="17" t="n">
        <v>0.88</v>
      </c>
      <c r="K217" s="17" t="inlineStr">
        <is>
          <t>standard</t>
        </is>
      </c>
    </row>
    <row r="218">
      <c r="A218" s="15" t="inlineStr">
        <is>
          <t>4213</t>
        </is>
      </c>
      <c r="B218" s="16" t="inlineStr">
        <is>
          <t>Pawnbrokers and Money-lenders</t>
        </is>
      </c>
      <c r="C218" s="16" t="inlineStr">
        <is>
          <t>B2B영업 / 마케팅 / GTM</t>
        </is>
      </c>
      <c r="D218" s="22" t="n">
        <v>39900000</v>
      </c>
      <c r="E218" s="22" t="n">
        <v>60900000</v>
      </c>
      <c r="F218" s="23" t="n">
        <v>57750</v>
      </c>
      <c r="G218" s="22" t="n">
        <v>50400</v>
      </c>
      <c r="H218" s="15" t="inlineStr">
        <is>
          <t>increasing</t>
        </is>
      </c>
      <c r="I218" s="20" t="inlineStr">
        <is>
          <t>5.9%</t>
        </is>
      </c>
      <c r="J218" s="15" t="n">
        <v>0.8</v>
      </c>
      <c r="K218" s="15" t="inlineStr">
        <is>
          <t>standard</t>
        </is>
      </c>
    </row>
    <row r="219">
      <c r="A219" s="17" t="inlineStr">
        <is>
          <t>4214</t>
        </is>
      </c>
      <c r="B219" s="18" t="inlineStr">
        <is>
          <t>Debt Collectors and Related Workers</t>
        </is>
      </c>
      <c r="C219" s="18" t="inlineStr">
        <is>
          <t>B2B영업 / 마케팅 / GTM</t>
        </is>
      </c>
      <c r="D219" s="24" t="n">
        <v>39900000</v>
      </c>
      <c r="E219" s="24" t="n">
        <v>60900000</v>
      </c>
      <c r="F219" s="25" t="n">
        <v>57750</v>
      </c>
      <c r="G219" s="24" t="n">
        <v>50400</v>
      </c>
      <c r="H219" s="17" t="inlineStr">
        <is>
          <t>increasing</t>
        </is>
      </c>
      <c r="I219" s="21" t="inlineStr">
        <is>
          <t>5.9%</t>
        </is>
      </c>
      <c r="J219" s="17" t="n">
        <v>0.83</v>
      </c>
      <c r="K219" s="17" t="inlineStr">
        <is>
          <t>standard</t>
        </is>
      </c>
    </row>
    <row r="220">
      <c r="A220" s="15" t="inlineStr">
        <is>
          <t>4221</t>
        </is>
      </c>
      <c r="B220" s="16" t="inlineStr">
        <is>
          <t>Travel Consultants and Clerks</t>
        </is>
      </c>
      <c r="C220" s="16" t="inlineStr">
        <is>
          <t>B2B영업 / 마케팅 / GTM</t>
        </is>
      </c>
      <c r="D220" s="22" t="n">
        <v>39900000</v>
      </c>
      <c r="E220" s="22" t="n">
        <v>60900000</v>
      </c>
      <c r="F220" s="23" t="n">
        <v>57750</v>
      </c>
      <c r="G220" s="22" t="n">
        <v>50400</v>
      </c>
      <c r="H220" s="15" t="inlineStr">
        <is>
          <t>increasing</t>
        </is>
      </c>
      <c r="I220" s="20" t="inlineStr">
        <is>
          <t>5.9%</t>
        </is>
      </c>
      <c r="J220" s="15" t="n">
        <v>0.92</v>
      </c>
      <c r="K220" s="15" t="inlineStr">
        <is>
          <t>standard</t>
        </is>
      </c>
    </row>
    <row r="221">
      <c r="A221" s="17" t="inlineStr">
        <is>
          <t>4222</t>
        </is>
      </c>
      <c r="B221" s="18" t="inlineStr">
        <is>
          <t>Contact Centre Information Clerks</t>
        </is>
      </c>
      <c r="C221" s="18" t="inlineStr">
        <is>
          <t>B2B영업 / 마케팅 / GTM</t>
        </is>
      </c>
      <c r="D221" s="24" t="n">
        <v>39900000</v>
      </c>
      <c r="E221" s="24" t="n">
        <v>60900000</v>
      </c>
      <c r="F221" s="25" t="n">
        <v>57750</v>
      </c>
      <c r="G221" s="24" t="n">
        <v>50400</v>
      </c>
      <c r="H221" s="17" t="inlineStr">
        <is>
          <t>increasing</t>
        </is>
      </c>
      <c r="I221" s="21" t="inlineStr">
        <is>
          <t>5.9%</t>
        </is>
      </c>
      <c r="J221" s="17" t="n">
        <v>0.86</v>
      </c>
      <c r="K221" s="17" t="inlineStr">
        <is>
          <t>standard</t>
        </is>
      </c>
    </row>
    <row r="222">
      <c r="A222" s="15" t="inlineStr">
        <is>
          <t>4223</t>
        </is>
      </c>
      <c r="B222" s="16" t="inlineStr">
        <is>
          <t>Telephone Switchboard Operators</t>
        </is>
      </c>
      <c r="C222" s="16" t="inlineStr">
        <is>
          <t>B2B영업 / 마케팅 / GTM</t>
        </is>
      </c>
      <c r="D222" s="22" t="n">
        <v>39900000</v>
      </c>
      <c r="E222" s="22" t="n">
        <v>60900000</v>
      </c>
      <c r="F222" s="23" t="n">
        <v>57750</v>
      </c>
      <c r="G222" s="22" t="n">
        <v>50400</v>
      </c>
      <c r="H222" s="15" t="inlineStr">
        <is>
          <t>increasing</t>
        </is>
      </c>
      <c r="I222" s="20" t="inlineStr">
        <is>
          <t>5.9%</t>
        </is>
      </c>
      <c r="J222" s="15" t="n">
        <v>0.71</v>
      </c>
      <c r="K222" s="15" t="inlineStr">
        <is>
          <t>standard</t>
        </is>
      </c>
    </row>
    <row r="223">
      <c r="A223" s="17" t="inlineStr">
        <is>
          <t>4224</t>
        </is>
      </c>
      <c r="B223" s="18" t="inlineStr">
        <is>
          <t>Hotel Receptionists</t>
        </is>
      </c>
      <c r="C223" s="18" t="inlineStr">
        <is>
          <t>B2B영업 / 마케팅 / GTM</t>
        </is>
      </c>
      <c r="D223" s="24" t="n">
        <v>39900000</v>
      </c>
      <c r="E223" s="24" t="n">
        <v>60900000</v>
      </c>
      <c r="F223" s="25" t="n">
        <v>57750</v>
      </c>
      <c r="G223" s="24" t="n">
        <v>50400</v>
      </c>
      <c r="H223" s="17" t="inlineStr">
        <is>
          <t>increasing</t>
        </is>
      </c>
      <c r="I223" s="21" t="inlineStr">
        <is>
          <t>5.9%</t>
        </is>
      </c>
      <c r="J223" s="17" t="n">
        <v>0.79</v>
      </c>
      <c r="K223" s="17" t="inlineStr">
        <is>
          <t>standard</t>
        </is>
      </c>
    </row>
    <row r="224">
      <c r="A224" s="15" t="inlineStr">
        <is>
          <t>4225</t>
        </is>
      </c>
      <c r="B224" s="16" t="inlineStr">
        <is>
          <t>Inquiry Clerks</t>
        </is>
      </c>
      <c r="C224" s="16" t="inlineStr">
        <is>
          <t>B2B영업 / 마케팅 / GTM</t>
        </is>
      </c>
      <c r="D224" s="22" t="n">
        <v>39900000</v>
      </c>
      <c r="E224" s="22" t="n">
        <v>60900000</v>
      </c>
      <c r="F224" s="23" t="n">
        <v>57750</v>
      </c>
      <c r="G224" s="22" t="n">
        <v>50400</v>
      </c>
      <c r="H224" s="15" t="inlineStr">
        <is>
          <t>increasing</t>
        </is>
      </c>
      <c r="I224" s="20" t="inlineStr">
        <is>
          <t>5.9%</t>
        </is>
      </c>
      <c r="J224" s="15" t="n">
        <v>0.86</v>
      </c>
      <c r="K224" s="15" t="inlineStr">
        <is>
          <t>standard</t>
        </is>
      </c>
    </row>
    <row r="225">
      <c r="A225" s="17" t="inlineStr">
        <is>
          <t>4226</t>
        </is>
      </c>
      <c r="B225" s="18" t="inlineStr">
        <is>
          <t>Receptionists (general)</t>
        </is>
      </c>
      <c r="C225" s="18" t="inlineStr">
        <is>
          <t>B2B영업 / 마케팅 / GTM</t>
        </is>
      </c>
      <c r="D225" s="24" t="n">
        <v>39900000</v>
      </c>
      <c r="E225" s="24" t="n">
        <v>60900000</v>
      </c>
      <c r="F225" s="25" t="n">
        <v>57750</v>
      </c>
      <c r="G225" s="24" t="n">
        <v>50400</v>
      </c>
      <c r="H225" s="17" t="inlineStr">
        <is>
          <t>increasing</t>
        </is>
      </c>
      <c r="I225" s="21" t="inlineStr">
        <is>
          <t>5.9%</t>
        </is>
      </c>
      <c r="J225" s="17" t="n">
        <v>0.8</v>
      </c>
      <c r="K225" s="17" t="inlineStr">
        <is>
          <t>standard</t>
        </is>
      </c>
    </row>
    <row r="226">
      <c r="A226" s="15" t="inlineStr">
        <is>
          <t>4227</t>
        </is>
      </c>
      <c r="B226" s="16" t="inlineStr">
        <is>
          <t>Survey and Market Research Interviewers</t>
        </is>
      </c>
      <c r="C226" s="16" t="inlineStr">
        <is>
          <t>B2B영업 / 마케팅 / GTM</t>
        </is>
      </c>
      <c r="D226" s="22" t="n">
        <v>39900000</v>
      </c>
      <c r="E226" s="22" t="n">
        <v>60900000</v>
      </c>
      <c r="F226" s="23" t="n">
        <v>57750</v>
      </c>
      <c r="G226" s="22" t="n">
        <v>50400</v>
      </c>
      <c r="H226" s="15" t="inlineStr">
        <is>
          <t>increasing</t>
        </is>
      </c>
      <c r="I226" s="20" t="inlineStr">
        <is>
          <t>5.9%</t>
        </is>
      </c>
      <c r="J226" s="15" t="n">
        <v>0.83</v>
      </c>
      <c r="K226" s="15" t="inlineStr">
        <is>
          <t>standard</t>
        </is>
      </c>
    </row>
    <row r="227">
      <c r="A227" s="17" t="inlineStr">
        <is>
          <t>4229</t>
        </is>
      </c>
      <c r="B227" s="18" t="inlineStr">
        <is>
          <t>Client Information Workers Not Elsewhere Classified</t>
        </is>
      </c>
      <c r="C227" s="18" t="inlineStr">
        <is>
          <t>B2B영업 / 마케팅 / GTM</t>
        </is>
      </c>
      <c r="D227" s="24" t="n">
        <v>39900000</v>
      </c>
      <c r="E227" s="24" t="n">
        <v>60900000</v>
      </c>
      <c r="F227" s="25" t="n">
        <v>57750</v>
      </c>
      <c r="G227" s="24" t="n">
        <v>50400</v>
      </c>
      <c r="H227" s="17" t="inlineStr">
        <is>
          <t>increasing</t>
        </is>
      </c>
      <c r="I227" s="21" t="inlineStr">
        <is>
          <t>5.9%</t>
        </is>
      </c>
      <c r="J227" s="17" t="n">
        <v>1</v>
      </c>
      <c r="K227" s="17" t="inlineStr">
        <is>
          <t>standard</t>
        </is>
      </c>
    </row>
    <row r="228">
      <c r="A228" s="15" t="inlineStr">
        <is>
          <t>4311</t>
        </is>
      </c>
      <c r="B228" s="16" t="inlineStr">
        <is>
          <t>Accounting and Bookkeeping Clerks</t>
        </is>
      </c>
      <c r="C228" s="16" t="inlineStr">
        <is>
          <t>경영전략 / 인사 / 사업개발</t>
        </is>
      </c>
      <c r="D228" s="22" t="n">
        <v>43700000</v>
      </c>
      <c r="E228" s="22" t="n">
        <v>66699999</v>
      </c>
      <c r="F228" s="23" t="n">
        <v>63249</v>
      </c>
      <c r="G228" s="22" t="n">
        <v>55199</v>
      </c>
      <c r="H228" s="15" t="inlineStr">
        <is>
          <t>increasing</t>
        </is>
      </c>
      <c r="I228" s="20" t="inlineStr">
        <is>
          <t>5.9%</t>
        </is>
      </c>
      <c r="J228" s="15" t="n">
        <v>0.5</v>
      </c>
      <c r="K228" s="15" t="inlineStr">
        <is>
          <t>standard</t>
        </is>
      </c>
    </row>
    <row r="229">
      <c r="A229" s="17" t="inlineStr">
        <is>
          <t>4312</t>
        </is>
      </c>
      <c r="B229" s="18" t="inlineStr">
        <is>
          <t>Statistical, Finance and Insurance Clerks</t>
        </is>
      </c>
      <c r="C229" s="18" t="inlineStr">
        <is>
          <t>경영전략 / 인사 / 사업개발</t>
        </is>
      </c>
      <c r="D229" s="24" t="n">
        <v>43700000</v>
      </c>
      <c r="E229" s="24" t="n">
        <v>66699999</v>
      </c>
      <c r="F229" s="25" t="n">
        <v>63249</v>
      </c>
      <c r="G229" s="24" t="n">
        <v>55199</v>
      </c>
      <c r="H229" s="17" t="inlineStr">
        <is>
          <t>increasing</t>
        </is>
      </c>
      <c r="I229" s="21" t="inlineStr">
        <is>
          <t>5.9%</t>
        </is>
      </c>
      <c r="J229" s="17" t="n">
        <v>0.62</v>
      </c>
      <c r="K229" s="17" t="inlineStr">
        <is>
          <t>standard</t>
        </is>
      </c>
    </row>
    <row r="230">
      <c r="A230" s="15" t="inlineStr">
        <is>
          <t>4313</t>
        </is>
      </c>
      <c r="B230" s="16" t="inlineStr">
        <is>
          <t>Payroll Clerks</t>
        </is>
      </c>
      <c r="C230" s="16" t="inlineStr">
        <is>
          <t>경영전략 / 인사 / 사업개발</t>
        </is>
      </c>
      <c r="D230" s="22" t="n">
        <v>43700000</v>
      </c>
      <c r="E230" s="22" t="n">
        <v>66699999</v>
      </c>
      <c r="F230" s="23" t="n">
        <v>63249</v>
      </c>
      <c r="G230" s="22" t="n">
        <v>55199</v>
      </c>
      <c r="H230" s="15" t="inlineStr">
        <is>
          <t>increasing</t>
        </is>
      </c>
      <c r="I230" s="20" t="inlineStr">
        <is>
          <t>5.9%</t>
        </is>
      </c>
      <c r="J230" s="15" t="n">
        <v>1</v>
      </c>
      <c r="K230" s="15" t="inlineStr">
        <is>
          <t>standard</t>
        </is>
      </c>
    </row>
    <row r="231">
      <c r="A231" s="17" t="inlineStr">
        <is>
          <t>4321</t>
        </is>
      </c>
      <c r="B231" s="18" t="inlineStr">
        <is>
          <t>Stock Clerks</t>
        </is>
      </c>
      <c r="C231" s="18" t="inlineStr">
        <is>
          <t>경영전략 / 인사 / 사업개발</t>
        </is>
      </c>
      <c r="D231" s="24" t="n">
        <v>43700000</v>
      </c>
      <c r="E231" s="24" t="n">
        <v>66699999</v>
      </c>
      <c r="F231" s="25" t="n">
        <v>63249</v>
      </c>
      <c r="G231" s="24" t="n">
        <v>55199</v>
      </c>
      <c r="H231" s="17" t="inlineStr">
        <is>
          <t>increasing</t>
        </is>
      </c>
      <c r="I231" s="21" t="inlineStr">
        <is>
          <t>5.9%</t>
        </is>
      </c>
      <c r="J231" s="17" t="n">
        <v>0.8</v>
      </c>
      <c r="K231" s="17" t="inlineStr">
        <is>
          <t>standard</t>
        </is>
      </c>
    </row>
    <row r="232">
      <c r="A232" s="15" t="inlineStr">
        <is>
          <t>4322</t>
        </is>
      </c>
      <c r="B232" s="16" t="inlineStr">
        <is>
          <t>Production Clerks</t>
        </is>
      </c>
      <c r="C232" s="16" t="inlineStr">
        <is>
          <t>경영전략 / 인사 / 사업개발</t>
        </is>
      </c>
      <c r="D232" s="22" t="n">
        <v>43700000</v>
      </c>
      <c r="E232" s="22" t="n">
        <v>66699999</v>
      </c>
      <c r="F232" s="23" t="n">
        <v>63249</v>
      </c>
      <c r="G232" s="22" t="n">
        <v>55199</v>
      </c>
      <c r="H232" s="15" t="inlineStr">
        <is>
          <t>increasing</t>
        </is>
      </c>
      <c r="I232" s="20" t="inlineStr">
        <is>
          <t>5.9%</t>
        </is>
      </c>
      <c r="J232" s="15" t="n">
        <v>0.86</v>
      </c>
      <c r="K232" s="15" t="inlineStr">
        <is>
          <t>standard</t>
        </is>
      </c>
    </row>
    <row r="233">
      <c r="A233" s="17" t="inlineStr">
        <is>
          <t>4323</t>
        </is>
      </c>
      <c r="B233" s="18" t="inlineStr">
        <is>
          <t>Transport Clerks</t>
        </is>
      </c>
      <c r="C233" s="18" t="inlineStr">
        <is>
          <t>경영전략 / 인사 / 사업개발</t>
        </is>
      </c>
      <c r="D233" s="24" t="n">
        <v>43700000</v>
      </c>
      <c r="E233" s="24" t="n">
        <v>66699999</v>
      </c>
      <c r="F233" s="25" t="n">
        <v>63249</v>
      </c>
      <c r="G233" s="24" t="n">
        <v>55199</v>
      </c>
      <c r="H233" s="17" t="inlineStr">
        <is>
          <t>increasing</t>
        </is>
      </c>
      <c r="I233" s="21" t="inlineStr">
        <is>
          <t>5.9%</t>
        </is>
      </c>
      <c r="J233" s="17" t="n">
        <v>0.89</v>
      </c>
      <c r="K233" s="17" t="inlineStr">
        <is>
          <t>standard</t>
        </is>
      </c>
    </row>
    <row r="234">
      <c r="A234" s="15" t="inlineStr">
        <is>
          <t>4411</t>
        </is>
      </c>
      <c r="B234" s="16" t="inlineStr">
        <is>
          <t>Library Clerks</t>
        </is>
      </c>
      <c r="C234" s="16" t="inlineStr">
        <is>
          <t>경영전략 / 인사 / 사업개발</t>
        </is>
      </c>
      <c r="D234" s="22" t="n">
        <v>43700000</v>
      </c>
      <c r="E234" s="22" t="n">
        <v>66699999</v>
      </c>
      <c r="F234" s="23" t="n">
        <v>63249</v>
      </c>
      <c r="G234" s="22" t="n">
        <v>55199</v>
      </c>
      <c r="H234" s="15" t="inlineStr">
        <is>
          <t>increasing</t>
        </is>
      </c>
      <c r="I234" s="20" t="inlineStr">
        <is>
          <t>5.9%</t>
        </is>
      </c>
      <c r="J234" s="15" t="n">
        <v>0.88</v>
      </c>
      <c r="K234" s="15" t="inlineStr">
        <is>
          <t>standard</t>
        </is>
      </c>
    </row>
    <row r="235">
      <c r="A235" s="17" t="inlineStr">
        <is>
          <t>4412</t>
        </is>
      </c>
      <c r="B235" s="18" t="inlineStr">
        <is>
          <t>Mail Carriers and Sorting Clerks</t>
        </is>
      </c>
      <c r="C235" s="18" t="inlineStr">
        <is>
          <t>경영전략 / 인사 / 사업개발</t>
        </is>
      </c>
      <c r="D235" s="24" t="n">
        <v>43700000</v>
      </c>
      <c r="E235" s="24" t="n">
        <v>66699999</v>
      </c>
      <c r="F235" s="25" t="n">
        <v>63249</v>
      </c>
      <c r="G235" s="24" t="n">
        <v>55199</v>
      </c>
      <c r="H235" s="17" t="inlineStr">
        <is>
          <t>increasing</t>
        </is>
      </c>
      <c r="I235" s="21" t="inlineStr">
        <is>
          <t>5.9%</t>
        </is>
      </c>
      <c r="J235" s="17" t="n">
        <v>0.5</v>
      </c>
      <c r="K235" s="17" t="inlineStr">
        <is>
          <t>standard</t>
        </is>
      </c>
    </row>
    <row r="236">
      <c r="A236" s="15" t="inlineStr">
        <is>
          <t>4413</t>
        </is>
      </c>
      <c r="B236" s="16" t="inlineStr">
        <is>
          <t>Coding, Proofreading and Related Clerks</t>
        </is>
      </c>
      <c r="C236" s="16" t="inlineStr">
        <is>
          <t>경영전략 / 인사 / 사업개발</t>
        </is>
      </c>
      <c r="D236" s="22" t="n">
        <v>43700000</v>
      </c>
      <c r="E236" s="22" t="n">
        <v>66699999</v>
      </c>
      <c r="F236" s="23" t="n">
        <v>63249</v>
      </c>
      <c r="G236" s="22" t="n">
        <v>55199</v>
      </c>
      <c r="H236" s="15" t="inlineStr">
        <is>
          <t>increasing</t>
        </is>
      </c>
      <c r="I236" s="20" t="inlineStr">
        <is>
          <t>5.9%</t>
        </is>
      </c>
      <c r="J236" s="15" t="n">
        <v>0.67</v>
      </c>
      <c r="K236" s="15" t="inlineStr">
        <is>
          <t>standard</t>
        </is>
      </c>
    </row>
    <row r="237">
      <c r="A237" s="17" t="inlineStr">
        <is>
          <t>4414</t>
        </is>
      </c>
      <c r="B237" s="18" t="inlineStr">
        <is>
          <t>Scribes and Related Workers</t>
        </is>
      </c>
      <c r="C237" s="18" t="inlineStr">
        <is>
          <t>경영전략 / 인사 / 사업개발</t>
        </is>
      </c>
      <c r="D237" s="24" t="n">
        <v>43700000</v>
      </c>
      <c r="E237" s="24" t="n">
        <v>66699999</v>
      </c>
      <c r="F237" s="25" t="n">
        <v>63249</v>
      </c>
      <c r="G237" s="24" t="n">
        <v>55199</v>
      </c>
      <c r="H237" s="17" t="inlineStr">
        <is>
          <t>increasing</t>
        </is>
      </c>
      <c r="I237" s="21" t="inlineStr">
        <is>
          <t>5.9%</t>
        </is>
      </c>
      <c r="J237" s="17" t="n">
        <v>1</v>
      </c>
      <c r="K237" s="17" t="inlineStr">
        <is>
          <t>standard</t>
        </is>
      </c>
    </row>
    <row r="238">
      <c r="A238" s="15" t="inlineStr">
        <is>
          <t>4415</t>
        </is>
      </c>
      <c r="B238" s="16" t="inlineStr">
        <is>
          <t>Filing and Copying Clerks</t>
        </is>
      </c>
      <c r="C238" s="16" t="inlineStr">
        <is>
          <t>경영전략 / 인사 / 사업개발</t>
        </is>
      </c>
      <c r="D238" s="22" t="n">
        <v>43700000</v>
      </c>
      <c r="E238" s="22" t="n">
        <v>66699999</v>
      </c>
      <c r="F238" s="23" t="n">
        <v>63249</v>
      </c>
      <c r="G238" s="22" t="n">
        <v>55199</v>
      </c>
      <c r="H238" s="15" t="inlineStr">
        <is>
          <t>increasing</t>
        </is>
      </c>
      <c r="I238" s="20" t="inlineStr">
        <is>
          <t>5.9%</t>
        </is>
      </c>
      <c r="J238" s="15" t="n">
        <v>0.8</v>
      </c>
      <c r="K238" s="15" t="inlineStr">
        <is>
          <t>standard</t>
        </is>
      </c>
    </row>
    <row r="239">
      <c r="A239" s="17" t="inlineStr">
        <is>
          <t>4416</t>
        </is>
      </c>
      <c r="B239" s="18" t="inlineStr">
        <is>
          <t>Personnel Clerks</t>
        </is>
      </c>
      <c r="C239" s="18" t="inlineStr">
        <is>
          <t>경영전략 / 인사 / 사업개발</t>
        </is>
      </c>
      <c r="D239" s="24" t="n">
        <v>43700000</v>
      </c>
      <c r="E239" s="24" t="n">
        <v>66699999</v>
      </c>
      <c r="F239" s="25" t="n">
        <v>63249</v>
      </c>
      <c r="G239" s="24" t="n">
        <v>55199</v>
      </c>
      <c r="H239" s="17" t="inlineStr">
        <is>
          <t>increasing</t>
        </is>
      </c>
      <c r="I239" s="21" t="inlineStr">
        <is>
          <t>5.9%</t>
        </is>
      </c>
      <c r="J239" s="17" t="n">
        <v>0.71</v>
      </c>
      <c r="K239" s="17" t="inlineStr">
        <is>
          <t>standard</t>
        </is>
      </c>
    </row>
    <row r="240">
      <c r="A240" s="15" t="inlineStr">
        <is>
          <t>4419</t>
        </is>
      </c>
      <c r="B240" s="16" t="inlineStr">
        <is>
          <t>Clerical Support Workers Not Elsewhere Classified</t>
        </is>
      </c>
      <c r="C240" s="16" t="inlineStr">
        <is>
          <t>경영전략 / 인사 / 사업개발</t>
        </is>
      </c>
      <c r="D240" s="22" t="n">
        <v>43700000</v>
      </c>
      <c r="E240" s="22" t="n">
        <v>66699999</v>
      </c>
      <c r="F240" s="23" t="n">
        <v>63249</v>
      </c>
      <c r="G240" s="22" t="n">
        <v>55199</v>
      </c>
      <c r="H240" s="15" t="inlineStr">
        <is>
          <t>increasing</t>
        </is>
      </c>
      <c r="I240" s="20" t="inlineStr">
        <is>
          <t>5.9%</t>
        </is>
      </c>
      <c r="J240" s="15" t="n">
        <v>0.5</v>
      </c>
      <c r="K240" s="15" t="inlineStr">
        <is>
          <t>standard</t>
        </is>
      </c>
    </row>
    <row r="241">
      <c r="A241" s="17" t="inlineStr">
        <is>
          <t>5111</t>
        </is>
      </c>
      <c r="B241" s="18" t="inlineStr">
        <is>
          <t>Travel Attendants and Travel Stewards</t>
        </is>
      </c>
      <c r="C241" s="18" t="inlineStr">
        <is>
          <t>B2B영업 / 마케팅 / GTM</t>
        </is>
      </c>
      <c r="D241" s="24" t="n">
        <v>39900000</v>
      </c>
      <c r="E241" s="24" t="n">
        <v>60900000</v>
      </c>
      <c r="F241" s="25" t="n">
        <v>57750</v>
      </c>
      <c r="G241" s="24" t="n">
        <v>50400</v>
      </c>
      <c r="H241" s="17" t="inlineStr">
        <is>
          <t>increasing</t>
        </is>
      </c>
      <c r="I241" s="21" t="inlineStr">
        <is>
          <t>5.9%</t>
        </is>
      </c>
      <c r="J241" s="17" t="n">
        <v>0.92</v>
      </c>
      <c r="K241" s="17" t="inlineStr">
        <is>
          <t>standard</t>
        </is>
      </c>
    </row>
    <row r="242">
      <c r="A242" s="15" t="inlineStr">
        <is>
          <t>5112</t>
        </is>
      </c>
      <c r="B242" s="16" t="inlineStr">
        <is>
          <t>Transport Conductors</t>
        </is>
      </c>
      <c r="C242" s="16" t="inlineStr">
        <is>
          <t>B2B영업 / 마케팅 / GTM</t>
        </is>
      </c>
      <c r="D242" s="22" t="n">
        <v>39900000</v>
      </c>
      <c r="E242" s="22" t="n">
        <v>60900000</v>
      </c>
      <c r="F242" s="23" t="n">
        <v>57750</v>
      </c>
      <c r="G242" s="22" t="n">
        <v>50400</v>
      </c>
      <c r="H242" s="15" t="inlineStr">
        <is>
          <t>increasing</t>
        </is>
      </c>
      <c r="I242" s="20" t="inlineStr">
        <is>
          <t>5.9%</t>
        </is>
      </c>
      <c r="J242" s="15" t="n">
        <v>0.92</v>
      </c>
      <c r="K242" s="15" t="inlineStr">
        <is>
          <t>standard</t>
        </is>
      </c>
    </row>
    <row r="243">
      <c r="A243" s="17" t="inlineStr">
        <is>
          <t>5113</t>
        </is>
      </c>
      <c r="B243" s="18" t="inlineStr">
        <is>
          <t>Travel Guides</t>
        </is>
      </c>
      <c r="C243" s="18" t="inlineStr">
        <is>
          <t>B2B영업 / 마케팅 / GTM</t>
        </is>
      </c>
      <c r="D243" s="24" t="n">
        <v>39900000</v>
      </c>
      <c r="E243" s="24" t="n">
        <v>60900000</v>
      </c>
      <c r="F243" s="25" t="n">
        <v>57750</v>
      </c>
      <c r="G243" s="24" t="n">
        <v>50400</v>
      </c>
      <c r="H243" s="17" t="inlineStr">
        <is>
          <t>increasing</t>
        </is>
      </c>
      <c r="I243" s="21" t="inlineStr">
        <is>
          <t>5.9%</t>
        </is>
      </c>
      <c r="J243" s="17" t="n">
        <v>1</v>
      </c>
      <c r="K243" s="17" t="inlineStr">
        <is>
          <t>standard</t>
        </is>
      </c>
    </row>
    <row r="244">
      <c r="A244" s="15" t="inlineStr">
        <is>
          <t>5120</t>
        </is>
      </c>
      <c r="B244" s="16" t="inlineStr">
        <is>
          <t>Cooks</t>
        </is>
      </c>
      <c r="C244" s="16" t="inlineStr">
        <is>
          <t>B2B영업 / 마케팅 / GTM</t>
        </is>
      </c>
      <c r="D244" s="22" t="n">
        <v>39900000</v>
      </c>
      <c r="E244" s="22" t="n">
        <v>60900000</v>
      </c>
      <c r="F244" s="23" t="n">
        <v>57750</v>
      </c>
      <c r="G244" s="22" t="n">
        <v>50400</v>
      </c>
      <c r="H244" s="15" t="inlineStr">
        <is>
          <t>increasing</t>
        </is>
      </c>
      <c r="I244" s="20" t="inlineStr">
        <is>
          <t>5.9%</t>
        </is>
      </c>
      <c r="J244" s="15" t="n">
        <v>0.7</v>
      </c>
      <c r="K244" s="15" t="inlineStr">
        <is>
          <t>standard</t>
        </is>
      </c>
    </row>
    <row r="245">
      <c r="A245" s="17" t="inlineStr">
        <is>
          <t>5131</t>
        </is>
      </c>
      <c r="B245" s="18" t="inlineStr">
        <is>
          <t>Waiters</t>
        </is>
      </c>
      <c r="C245" s="18" t="inlineStr">
        <is>
          <t>B2B영업 / 마케팅 / GTM</t>
        </is>
      </c>
      <c r="D245" s="24" t="n">
        <v>39900000</v>
      </c>
      <c r="E245" s="24" t="n">
        <v>60900000</v>
      </c>
      <c r="F245" s="25" t="n">
        <v>57750</v>
      </c>
      <c r="G245" s="24" t="n">
        <v>50400</v>
      </c>
      <c r="H245" s="17" t="inlineStr">
        <is>
          <t>increasing</t>
        </is>
      </c>
      <c r="I245" s="21" t="inlineStr">
        <is>
          <t>5.9%</t>
        </is>
      </c>
      <c r="J245" s="17" t="n">
        <v>0.89</v>
      </c>
      <c r="K245" s="17" t="inlineStr">
        <is>
          <t>standard</t>
        </is>
      </c>
    </row>
    <row r="246">
      <c r="A246" s="15" t="inlineStr">
        <is>
          <t>5132</t>
        </is>
      </c>
      <c r="B246" s="16" t="inlineStr">
        <is>
          <t>Bartenders</t>
        </is>
      </c>
      <c r="C246" s="16" t="inlineStr">
        <is>
          <t>B2B영업 / 마케팅 / GTM</t>
        </is>
      </c>
      <c r="D246" s="22" t="n">
        <v>39900000</v>
      </c>
      <c r="E246" s="22" t="n">
        <v>60900000</v>
      </c>
      <c r="F246" s="23" t="n">
        <v>57750</v>
      </c>
      <c r="G246" s="22" t="n">
        <v>50400</v>
      </c>
      <c r="H246" s="15" t="inlineStr">
        <is>
          <t>increasing</t>
        </is>
      </c>
      <c r="I246" s="20" t="inlineStr">
        <is>
          <t>5.9%</t>
        </is>
      </c>
      <c r="J246" s="15" t="n">
        <v>0.92</v>
      </c>
      <c r="K246" s="15" t="inlineStr">
        <is>
          <t>standard</t>
        </is>
      </c>
    </row>
    <row r="247">
      <c r="A247" s="17" t="inlineStr">
        <is>
          <t>5141</t>
        </is>
      </c>
      <c r="B247" s="18" t="inlineStr">
        <is>
          <t>Hairdressers</t>
        </is>
      </c>
      <c r="C247" s="18" t="inlineStr">
        <is>
          <t>B2B영업 / 마케팅 / GTM</t>
        </is>
      </c>
      <c r="D247" s="24" t="n">
        <v>39900000</v>
      </c>
      <c r="E247" s="24" t="n">
        <v>60900000</v>
      </c>
      <c r="F247" s="25" t="n">
        <v>57750</v>
      </c>
      <c r="G247" s="24" t="n">
        <v>50400</v>
      </c>
      <c r="H247" s="17" t="inlineStr">
        <is>
          <t>increasing</t>
        </is>
      </c>
      <c r="I247" s="21" t="inlineStr">
        <is>
          <t>5.9%</t>
        </is>
      </c>
      <c r="J247" s="17" t="n">
        <v>0.78</v>
      </c>
      <c r="K247" s="17" t="inlineStr">
        <is>
          <t>standard</t>
        </is>
      </c>
    </row>
    <row r="248">
      <c r="A248" s="15" t="inlineStr">
        <is>
          <t>5142</t>
        </is>
      </c>
      <c r="B248" s="16" t="inlineStr">
        <is>
          <t>Beauticians and Related Workers</t>
        </is>
      </c>
      <c r="C248" s="16" t="inlineStr">
        <is>
          <t>B2B영업 / 마케팅 / GTM</t>
        </is>
      </c>
      <c r="D248" s="22" t="n">
        <v>39900000</v>
      </c>
      <c r="E248" s="22" t="n">
        <v>60900000</v>
      </c>
      <c r="F248" s="23" t="n">
        <v>57750</v>
      </c>
      <c r="G248" s="22" t="n">
        <v>50400</v>
      </c>
      <c r="H248" s="15" t="inlineStr">
        <is>
          <t>increasing</t>
        </is>
      </c>
      <c r="I248" s="20" t="inlineStr">
        <is>
          <t>5.9%</t>
        </is>
      </c>
      <c r="J248" s="15" t="n">
        <v>0.67</v>
      </c>
      <c r="K248" s="15" t="inlineStr">
        <is>
          <t>standard</t>
        </is>
      </c>
    </row>
    <row r="249">
      <c r="A249" s="17" t="inlineStr">
        <is>
          <t>5151</t>
        </is>
      </c>
      <c r="B249" s="18" t="inlineStr">
        <is>
          <t>Cleaning and Housekeeping Supervisors in Offices, Hotels and Other Establishments</t>
        </is>
      </c>
      <c r="C249" s="18" t="inlineStr">
        <is>
          <t>B2B영업 / 마케팅 / GTM</t>
        </is>
      </c>
      <c r="D249" s="24" t="n">
        <v>39900000</v>
      </c>
      <c r="E249" s="24" t="n">
        <v>60900000</v>
      </c>
      <c r="F249" s="25" t="n">
        <v>57750</v>
      </c>
      <c r="G249" s="24" t="n">
        <v>50400</v>
      </c>
      <c r="H249" s="17" t="inlineStr">
        <is>
          <t>increasing</t>
        </is>
      </c>
      <c r="I249" s="21" t="inlineStr">
        <is>
          <t>5.9%</t>
        </is>
      </c>
      <c r="J249" s="17" t="n">
        <v>0.9</v>
      </c>
      <c r="K249" s="17" t="inlineStr">
        <is>
          <t>standard</t>
        </is>
      </c>
    </row>
    <row r="250">
      <c r="A250" s="15" t="inlineStr">
        <is>
          <t>5152</t>
        </is>
      </c>
      <c r="B250" s="16" t="inlineStr">
        <is>
          <t>Domestic Housekeepers</t>
        </is>
      </c>
      <c r="C250" s="16" t="inlineStr">
        <is>
          <t>B2B영업 / 마케팅 / GTM</t>
        </is>
      </c>
      <c r="D250" s="22" t="n">
        <v>39900000</v>
      </c>
      <c r="E250" s="22" t="n">
        <v>60900000</v>
      </c>
      <c r="F250" s="23" t="n">
        <v>57750</v>
      </c>
      <c r="G250" s="22" t="n">
        <v>50400</v>
      </c>
      <c r="H250" s="15" t="inlineStr">
        <is>
          <t>increasing</t>
        </is>
      </c>
      <c r="I250" s="20" t="inlineStr">
        <is>
          <t>5.9%</t>
        </is>
      </c>
      <c r="J250" s="15" t="n">
        <v>0.89</v>
      </c>
      <c r="K250" s="15" t="inlineStr">
        <is>
          <t>standard</t>
        </is>
      </c>
    </row>
    <row r="251">
      <c r="A251" s="17" t="inlineStr">
        <is>
          <t>5153</t>
        </is>
      </c>
      <c r="B251" s="18" t="inlineStr">
        <is>
          <t>Building Caretakers</t>
        </is>
      </c>
      <c r="C251" s="18" t="inlineStr">
        <is>
          <t>B2B영업 / 마케팅 / GTM</t>
        </is>
      </c>
      <c r="D251" s="24" t="n">
        <v>39900000</v>
      </c>
      <c r="E251" s="24" t="n">
        <v>60900000</v>
      </c>
      <c r="F251" s="25" t="n">
        <v>57750</v>
      </c>
      <c r="G251" s="24" t="n">
        <v>50400</v>
      </c>
      <c r="H251" s="17" t="inlineStr">
        <is>
          <t>increasing</t>
        </is>
      </c>
      <c r="I251" s="21" t="inlineStr">
        <is>
          <t>5.9%</t>
        </is>
      </c>
      <c r="J251" s="17" t="n">
        <v>1</v>
      </c>
      <c r="K251" s="17" t="inlineStr">
        <is>
          <t>standard</t>
        </is>
      </c>
    </row>
    <row r="252">
      <c r="A252" s="15" t="inlineStr">
        <is>
          <t>5161</t>
        </is>
      </c>
      <c r="B252" s="16" t="inlineStr">
        <is>
          <t>Astrologers, Fortune-tellers and Related Workers</t>
        </is>
      </c>
      <c r="C252" s="16" t="inlineStr">
        <is>
          <t>B2B영업 / 마케팅 / GTM</t>
        </is>
      </c>
      <c r="D252" s="22" t="n">
        <v>39900000</v>
      </c>
      <c r="E252" s="22" t="n">
        <v>60900000</v>
      </c>
      <c r="F252" s="23" t="n">
        <v>57750</v>
      </c>
      <c r="G252" s="22" t="n">
        <v>50400</v>
      </c>
      <c r="H252" s="15" t="inlineStr">
        <is>
          <t>increasing</t>
        </is>
      </c>
      <c r="I252" s="20" t="inlineStr">
        <is>
          <t>5.9%</t>
        </is>
      </c>
      <c r="J252" s="15" t="n">
        <v>1</v>
      </c>
      <c r="K252" s="15" t="inlineStr">
        <is>
          <t>standard</t>
        </is>
      </c>
    </row>
    <row r="253">
      <c r="A253" s="17" t="inlineStr">
        <is>
          <t>5162</t>
        </is>
      </c>
      <c r="B253" s="18" t="inlineStr">
        <is>
          <t>Companions and Valets</t>
        </is>
      </c>
      <c r="C253" s="18" t="inlineStr">
        <is>
          <t>B2B영업 / 마케팅 / GTM</t>
        </is>
      </c>
      <c r="D253" s="24" t="n">
        <v>39900000</v>
      </c>
      <c r="E253" s="24" t="n">
        <v>60900000</v>
      </c>
      <c r="F253" s="25" t="n">
        <v>57750</v>
      </c>
      <c r="G253" s="24" t="n">
        <v>50400</v>
      </c>
      <c r="H253" s="17" t="inlineStr">
        <is>
          <t>increasing</t>
        </is>
      </c>
      <c r="I253" s="21" t="inlineStr">
        <is>
          <t>5.9%</t>
        </is>
      </c>
      <c r="J253" s="17" t="n">
        <v>1</v>
      </c>
      <c r="K253" s="17" t="inlineStr">
        <is>
          <t>standard</t>
        </is>
      </c>
    </row>
    <row r="254">
      <c r="A254" s="15" t="inlineStr">
        <is>
          <t>5163</t>
        </is>
      </c>
      <c r="B254" s="16" t="inlineStr">
        <is>
          <t>Undertakers and Embalmers</t>
        </is>
      </c>
      <c r="C254" s="16" t="inlineStr">
        <is>
          <t>B2B영업 / 마케팅 / GTM</t>
        </is>
      </c>
      <c r="D254" s="22" t="n">
        <v>39900000</v>
      </c>
      <c r="E254" s="22" t="n">
        <v>60900000</v>
      </c>
      <c r="F254" s="23" t="n">
        <v>57750</v>
      </c>
      <c r="G254" s="22" t="n">
        <v>50400</v>
      </c>
      <c r="H254" s="15" t="inlineStr">
        <is>
          <t>increasing</t>
        </is>
      </c>
      <c r="I254" s="20" t="inlineStr">
        <is>
          <t>5.9%</t>
        </is>
      </c>
      <c r="J254" s="15" t="n">
        <v>1</v>
      </c>
      <c r="K254" s="15" t="inlineStr">
        <is>
          <t>standard</t>
        </is>
      </c>
    </row>
    <row r="255">
      <c r="A255" s="17" t="inlineStr">
        <is>
          <t>5164</t>
        </is>
      </c>
      <c r="B255" s="18" t="inlineStr">
        <is>
          <t>Pet Groomers and Animal Care Workers</t>
        </is>
      </c>
      <c r="C255" s="18" t="inlineStr">
        <is>
          <t>B2B영업 / 마케팅 / GTM</t>
        </is>
      </c>
      <c r="D255" s="24" t="n">
        <v>39900000</v>
      </c>
      <c r="E255" s="24" t="n">
        <v>60900000</v>
      </c>
      <c r="F255" s="25" t="n">
        <v>57750</v>
      </c>
      <c r="G255" s="24" t="n">
        <v>50400</v>
      </c>
      <c r="H255" s="17" t="inlineStr">
        <is>
          <t>increasing</t>
        </is>
      </c>
      <c r="I255" s="21" t="inlineStr">
        <is>
          <t>5.9%</t>
        </is>
      </c>
      <c r="J255" s="17" t="n">
        <v>0.58</v>
      </c>
      <c r="K255" s="17" t="inlineStr">
        <is>
          <t>standard</t>
        </is>
      </c>
    </row>
    <row r="256">
      <c r="A256" s="15" t="inlineStr">
        <is>
          <t>5165</t>
        </is>
      </c>
      <c r="B256" s="16" t="inlineStr">
        <is>
          <t>Driving Instructors</t>
        </is>
      </c>
      <c r="C256" s="16" t="inlineStr">
        <is>
          <t>B2B영업 / 마케팅 / GTM</t>
        </is>
      </c>
      <c r="D256" s="22" t="n">
        <v>39900000</v>
      </c>
      <c r="E256" s="22" t="n">
        <v>60900000</v>
      </c>
      <c r="F256" s="23" t="n">
        <v>57750</v>
      </c>
      <c r="G256" s="22" t="n">
        <v>50400</v>
      </c>
      <c r="H256" s="15" t="inlineStr">
        <is>
          <t>increasing</t>
        </is>
      </c>
      <c r="I256" s="20" t="inlineStr">
        <is>
          <t>5.9%</t>
        </is>
      </c>
      <c r="J256" s="15" t="n">
        <v>0.9</v>
      </c>
      <c r="K256" s="15" t="inlineStr">
        <is>
          <t>standard</t>
        </is>
      </c>
    </row>
    <row r="257">
      <c r="A257" s="17" t="inlineStr">
        <is>
          <t>5169</t>
        </is>
      </c>
      <c r="B257" s="18" t="inlineStr">
        <is>
          <t>Personal Services Workers Not Elsewhere Classified</t>
        </is>
      </c>
      <c r="C257" s="18" t="inlineStr">
        <is>
          <t>B2B영업 / 마케팅 / GTM</t>
        </is>
      </c>
      <c r="D257" s="24" t="n">
        <v>39900000</v>
      </c>
      <c r="E257" s="24" t="n">
        <v>60900000</v>
      </c>
      <c r="F257" s="25" t="n">
        <v>57750</v>
      </c>
      <c r="G257" s="24" t="n">
        <v>50400</v>
      </c>
      <c r="H257" s="17" t="inlineStr">
        <is>
          <t>increasing</t>
        </is>
      </c>
      <c r="I257" s="21" t="inlineStr">
        <is>
          <t>5.9%</t>
        </is>
      </c>
      <c r="J257" s="17" t="n">
        <v>1</v>
      </c>
      <c r="K257" s="17" t="inlineStr">
        <is>
          <t>standard</t>
        </is>
      </c>
    </row>
    <row r="258">
      <c r="A258" s="15" t="inlineStr">
        <is>
          <t>5211</t>
        </is>
      </c>
      <c r="B258" s="16" t="inlineStr">
        <is>
          <t>Stall and Market Salespersons</t>
        </is>
      </c>
      <c r="C258" s="16" t="inlineStr">
        <is>
          <t>B2B영업 / 마케팅 / GTM</t>
        </is>
      </c>
      <c r="D258" s="22" t="n">
        <v>39900000</v>
      </c>
      <c r="E258" s="22" t="n">
        <v>60900000</v>
      </c>
      <c r="F258" s="23" t="n">
        <v>57750</v>
      </c>
      <c r="G258" s="22" t="n">
        <v>50400</v>
      </c>
      <c r="H258" s="15" t="inlineStr">
        <is>
          <t>increasing</t>
        </is>
      </c>
      <c r="I258" s="20" t="inlineStr">
        <is>
          <t>5.9%</t>
        </is>
      </c>
      <c r="J258" s="15" t="n">
        <v>0.91</v>
      </c>
      <c r="K258" s="15" t="inlineStr">
        <is>
          <t>standard</t>
        </is>
      </c>
    </row>
    <row r="259">
      <c r="A259" s="17" t="inlineStr">
        <is>
          <t>5212</t>
        </is>
      </c>
      <c r="B259" s="18" t="inlineStr">
        <is>
          <t>Street Food Salespersons</t>
        </is>
      </c>
      <c r="C259" s="18" t="inlineStr">
        <is>
          <t>B2B영업 / 마케팅 / GTM</t>
        </is>
      </c>
      <c r="D259" s="24" t="n">
        <v>39900000</v>
      </c>
      <c r="E259" s="24" t="n">
        <v>60900000</v>
      </c>
      <c r="F259" s="25" t="n">
        <v>57750</v>
      </c>
      <c r="G259" s="24" t="n">
        <v>50400</v>
      </c>
      <c r="H259" s="17" t="inlineStr">
        <is>
          <t>increasing</t>
        </is>
      </c>
      <c r="I259" s="21" t="inlineStr">
        <is>
          <t>5.9%</t>
        </is>
      </c>
      <c r="J259" s="17" t="n">
        <v>1</v>
      </c>
      <c r="K259" s="17" t="inlineStr">
        <is>
          <t>standard</t>
        </is>
      </c>
    </row>
    <row r="260">
      <c r="A260" s="15" t="inlineStr">
        <is>
          <t>5221</t>
        </is>
      </c>
      <c r="B260" s="16" t="inlineStr">
        <is>
          <t>Shopkeepers</t>
        </is>
      </c>
      <c r="C260" s="16" t="inlineStr">
        <is>
          <t>B2B영업 / 마케팅 / GTM</t>
        </is>
      </c>
      <c r="D260" s="22" t="n">
        <v>39900000</v>
      </c>
      <c r="E260" s="22" t="n">
        <v>60900000</v>
      </c>
      <c r="F260" s="23" t="n">
        <v>57750</v>
      </c>
      <c r="G260" s="22" t="n">
        <v>50400</v>
      </c>
      <c r="H260" s="15" t="inlineStr">
        <is>
          <t>increasing</t>
        </is>
      </c>
      <c r="I260" s="20" t="inlineStr">
        <is>
          <t>5.9%</t>
        </is>
      </c>
      <c r="J260" s="15" t="n">
        <v>0.89</v>
      </c>
      <c r="K260" s="15" t="inlineStr">
        <is>
          <t>standard</t>
        </is>
      </c>
    </row>
    <row r="261">
      <c r="A261" s="17" t="inlineStr">
        <is>
          <t>5222</t>
        </is>
      </c>
      <c r="B261" s="18" t="inlineStr">
        <is>
          <t>Shop Supervisors</t>
        </is>
      </c>
      <c r="C261" s="18" t="inlineStr">
        <is>
          <t>B2B영업 / 마케팅 / GTM</t>
        </is>
      </c>
      <c r="D261" s="24" t="n">
        <v>39900000</v>
      </c>
      <c r="E261" s="24" t="n">
        <v>60900000</v>
      </c>
      <c r="F261" s="25" t="n">
        <v>57750</v>
      </c>
      <c r="G261" s="24" t="n">
        <v>50400</v>
      </c>
      <c r="H261" s="17" t="inlineStr">
        <is>
          <t>increasing</t>
        </is>
      </c>
      <c r="I261" s="21" t="inlineStr">
        <is>
          <t>5.9%</t>
        </is>
      </c>
      <c r="J261" s="17" t="n">
        <v>0.9</v>
      </c>
      <c r="K261" s="17" t="inlineStr">
        <is>
          <t>standard</t>
        </is>
      </c>
    </row>
    <row r="262">
      <c r="A262" s="15" t="inlineStr">
        <is>
          <t>5223</t>
        </is>
      </c>
      <c r="B262" s="16" t="inlineStr">
        <is>
          <t>Shop Sales Assistants</t>
        </is>
      </c>
      <c r="C262" s="16" t="inlineStr">
        <is>
          <t>B2B영업 / 마케팅 / GTM</t>
        </is>
      </c>
      <c r="D262" s="22" t="n">
        <v>39900000</v>
      </c>
      <c r="E262" s="22" t="n">
        <v>60900000</v>
      </c>
      <c r="F262" s="23" t="n">
        <v>57750</v>
      </c>
      <c r="G262" s="22" t="n">
        <v>50400</v>
      </c>
      <c r="H262" s="15" t="inlineStr">
        <is>
          <t>increasing</t>
        </is>
      </c>
      <c r="I262" s="20" t="inlineStr">
        <is>
          <t>5.9%</t>
        </is>
      </c>
      <c r="J262" s="15" t="n">
        <v>0.88</v>
      </c>
      <c r="K262" s="15" t="inlineStr">
        <is>
          <t>standard</t>
        </is>
      </c>
    </row>
    <row r="263">
      <c r="A263" s="17" t="inlineStr">
        <is>
          <t>5230</t>
        </is>
      </c>
      <c r="B263" s="18" t="inlineStr">
        <is>
          <t>Cashiers and Ticket Clerks</t>
        </is>
      </c>
      <c r="C263" s="18" t="inlineStr">
        <is>
          <t>B2B영업 / 마케팅 / GTM</t>
        </is>
      </c>
      <c r="D263" s="24" t="n">
        <v>39900000</v>
      </c>
      <c r="E263" s="24" t="n">
        <v>60900000</v>
      </c>
      <c r="F263" s="25" t="n">
        <v>57750</v>
      </c>
      <c r="G263" s="24" t="n">
        <v>50400</v>
      </c>
      <c r="H263" s="17" t="inlineStr">
        <is>
          <t>increasing</t>
        </is>
      </c>
      <c r="I263" s="21" t="inlineStr">
        <is>
          <t>5.9%</t>
        </is>
      </c>
      <c r="J263" s="17" t="n">
        <v>0.62</v>
      </c>
      <c r="K263" s="17" t="inlineStr">
        <is>
          <t>standard</t>
        </is>
      </c>
    </row>
    <row r="264">
      <c r="A264" s="15" t="inlineStr">
        <is>
          <t>5241</t>
        </is>
      </c>
      <c r="B264" s="16" t="inlineStr">
        <is>
          <t>Fashion and Other Models</t>
        </is>
      </c>
      <c r="C264" s="16" t="inlineStr">
        <is>
          <t>B2B영업 / 마케팅 / GTM</t>
        </is>
      </c>
      <c r="D264" s="22" t="n">
        <v>39900000</v>
      </c>
      <c r="E264" s="22" t="n">
        <v>60900000</v>
      </c>
      <c r="F264" s="23" t="n">
        <v>57750</v>
      </c>
      <c r="G264" s="22" t="n">
        <v>50400</v>
      </c>
      <c r="H264" s="15" t="inlineStr">
        <is>
          <t>increasing</t>
        </is>
      </c>
      <c r="I264" s="20" t="inlineStr">
        <is>
          <t>5.9%</t>
        </is>
      </c>
      <c r="J264" s="15" t="n">
        <v>1</v>
      </c>
      <c r="K264" s="15" t="inlineStr">
        <is>
          <t>standard</t>
        </is>
      </c>
    </row>
    <row r="265">
      <c r="A265" s="17" t="inlineStr">
        <is>
          <t>5242</t>
        </is>
      </c>
      <c r="B265" s="18" t="inlineStr">
        <is>
          <t>Sales Demonstrators</t>
        </is>
      </c>
      <c r="C265" s="18" t="inlineStr">
        <is>
          <t>B2B영업 / 마케팅 / GTM</t>
        </is>
      </c>
      <c r="D265" s="24" t="n">
        <v>39900000</v>
      </c>
      <c r="E265" s="24" t="n">
        <v>60900000</v>
      </c>
      <c r="F265" s="25" t="n">
        <v>57750</v>
      </c>
      <c r="G265" s="24" t="n">
        <v>50400</v>
      </c>
      <c r="H265" s="17" t="inlineStr">
        <is>
          <t>increasing</t>
        </is>
      </c>
      <c r="I265" s="21" t="inlineStr">
        <is>
          <t>5.9%</t>
        </is>
      </c>
      <c r="J265" s="17" t="n">
        <v>1</v>
      </c>
      <c r="K265" s="17" t="inlineStr">
        <is>
          <t>standard</t>
        </is>
      </c>
    </row>
    <row r="266">
      <c r="A266" s="15" t="inlineStr">
        <is>
          <t>5243</t>
        </is>
      </c>
      <c r="B266" s="16" t="inlineStr">
        <is>
          <t>Door-to-door Salespersons</t>
        </is>
      </c>
      <c r="C266" s="16" t="inlineStr">
        <is>
          <t>B2B영업 / 마케팅 / GTM</t>
        </is>
      </c>
      <c r="D266" s="22" t="n">
        <v>39900000</v>
      </c>
      <c r="E266" s="22" t="n">
        <v>60900000</v>
      </c>
      <c r="F266" s="23" t="n">
        <v>57750</v>
      </c>
      <c r="G266" s="22" t="n">
        <v>50400</v>
      </c>
      <c r="H266" s="15" t="inlineStr">
        <is>
          <t>increasing</t>
        </is>
      </c>
      <c r="I266" s="20" t="inlineStr">
        <is>
          <t>5.9%</t>
        </is>
      </c>
      <c r="J266" s="15" t="n">
        <v>0.62</v>
      </c>
      <c r="K266" s="15" t="inlineStr">
        <is>
          <t>standard</t>
        </is>
      </c>
    </row>
    <row r="267">
      <c r="A267" s="17" t="inlineStr">
        <is>
          <t>5244</t>
        </is>
      </c>
      <c r="B267" s="18" t="inlineStr">
        <is>
          <t>Contact Centre Salespersons</t>
        </is>
      </c>
      <c r="C267" s="18" t="inlineStr">
        <is>
          <t>B2B영업 / 마케팅 / GTM</t>
        </is>
      </c>
      <c r="D267" s="24" t="n">
        <v>39900000</v>
      </c>
      <c r="E267" s="24" t="n">
        <v>60900000</v>
      </c>
      <c r="F267" s="25" t="n">
        <v>57750</v>
      </c>
      <c r="G267" s="24" t="n">
        <v>50400</v>
      </c>
      <c r="H267" s="17" t="inlineStr">
        <is>
          <t>increasing</t>
        </is>
      </c>
      <c r="I267" s="21" t="inlineStr">
        <is>
          <t>5.9%</t>
        </is>
      </c>
      <c r="J267" s="17" t="n">
        <v>0.78</v>
      </c>
      <c r="K267" s="17" t="inlineStr">
        <is>
          <t>standard</t>
        </is>
      </c>
    </row>
    <row r="268">
      <c r="A268" s="15" t="inlineStr">
        <is>
          <t>5245</t>
        </is>
      </c>
      <c r="B268" s="16" t="inlineStr">
        <is>
          <t>Service Station Attendants</t>
        </is>
      </c>
      <c r="C268" s="16" t="inlineStr">
        <is>
          <t>B2B영업 / 마케팅 / GTM</t>
        </is>
      </c>
      <c r="D268" s="22" t="n">
        <v>39900000</v>
      </c>
      <c r="E268" s="22" t="n">
        <v>60900000</v>
      </c>
      <c r="F268" s="23" t="n">
        <v>57750</v>
      </c>
      <c r="G268" s="22" t="n">
        <v>50400</v>
      </c>
      <c r="H268" s="15" t="inlineStr">
        <is>
          <t>increasing</t>
        </is>
      </c>
      <c r="I268" s="20" t="inlineStr">
        <is>
          <t>5.9%</t>
        </is>
      </c>
      <c r="J268" s="15" t="n">
        <v>0.7</v>
      </c>
      <c r="K268" s="15" t="inlineStr">
        <is>
          <t>standard</t>
        </is>
      </c>
    </row>
    <row r="269">
      <c r="A269" s="17" t="inlineStr">
        <is>
          <t>5246</t>
        </is>
      </c>
      <c r="B269" s="18" t="inlineStr">
        <is>
          <t>Food Service Counter Attendants</t>
        </is>
      </c>
      <c r="C269" s="18" t="inlineStr">
        <is>
          <t>B2B영업 / 마케팅 / GTM</t>
        </is>
      </c>
      <c r="D269" s="24" t="n">
        <v>39900000</v>
      </c>
      <c r="E269" s="24" t="n">
        <v>60900000</v>
      </c>
      <c r="F269" s="25" t="n">
        <v>57750</v>
      </c>
      <c r="G269" s="24" t="n">
        <v>50400</v>
      </c>
      <c r="H269" s="17" t="inlineStr">
        <is>
          <t>increasing</t>
        </is>
      </c>
      <c r="I269" s="21" t="inlineStr">
        <is>
          <t>5.9%</t>
        </is>
      </c>
      <c r="J269" s="17" t="n">
        <v>0.78</v>
      </c>
      <c r="K269" s="17" t="inlineStr">
        <is>
          <t>standard</t>
        </is>
      </c>
    </row>
    <row r="270">
      <c r="A270" s="15" t="inlineStr">
        <is>
          <t>5249</t>
        </is>
      </c>
      <c r="B270" s="16" t="inlineStr">
        <is>
          <t>Sales Workers Not Elsewhere Classified</t>
        </is>
      </c>
      <c r="C270" s="16" t="inlineStr">
        <is>
          <t>B2B영업 / 마케팅 / GTM</t>
        </is>
      </c>
      <c r="D270" s="22" t="n">
        <v>39900000</v>
      </c>
      <c r="E270" s="22" t="n">
        <v>60900000</v>
      </c>
      <c r="F270" s="23" t="n">
        <v>57750</v>
      </c>
      <c r="G270" s="22" t="n">
        <v>50400</v>
      </c>
      <c r="H270" s="15" t="inlineStr">
        <is>
          <t>increasing</t>
        </is>
      </c>
      <c r="I270" s="20" t="inlineStr">
        <is>
          <t>5.9%</t>
        </is>
      </c>
      <c r="J270" s="15" t="n">
        <v>0.65</v>
      </c>
      <c r="K270" s="15" t="inlineStr">
        <is>
          <t>standard</t>
        </is>
      </c>
    </row>
    <row r="271">
      <c r="A271" s="17" t="inlineStr">
        <is>
          <t>5311</t>
        </is>
      </c>
      <c r="B271" s="18" t="inlineStr">
        <is>
          <t>Child Care Workers</t>
        </is>
      </c>
      <c r="C271" s="18" t="inlineStr">
        <is>
          <t>바이오 / 제약 / 임상헬스케어</t>
        </is>
      </c>
      <c r="D271" s="24" t="n">
        <v>45600000</v>
      </c>
      <c r="E271" s="24" t="n">
        <v>69600000</v>
      </c>
      <c r="F271" s="25" t="n">
        <v>66000</v>
      </c>
      <c r="G271" s="24" t="n">
        <v>57600</v>
      </c>
      <c r="H271" s="17" t="inlineStr">
        <is>
          <t>very-high</t>
        </is>
      </c>
      <c r="I271" s="21" t="inlineStr">
        <is>
          <t>5.9%</t>
        </is>
      </c>
      <c r="J271" s="17" t="n">
        <v>1</v>
      </c>
      <c r="K271" s="17" t="inlineStr">
        <is>
          <t>standard</t>
        </is>
      </c>
    </row>
    <row r="272">
      <c r="A272" s="15" t="inlineStr">
        <is>
          <t>5312</t>
        </is>
      </c>
      <c r="B272" s="16" t="inlineStr">
        <is>
          <t>Teachers' Aides</t>
        </is>
      </c>
      <c r="C272" s="16" t="inlineStr">
        <is>
          <t>바이오 / 제약 / 임상헬스케어</t>
        </is>
      </c>
      <c r="D272" s="22" t="n">
        <v>45600000</v>
      </c>
      <c r="E272" s="22" t="n">
        <v>69600000</v>
      </c>
      <c r="F272" s="23" t="n">
        <v>66000</v>
      </c>
      <c r="G272" s="22" t="n">
        <v>57600</v>
      </c>
      <c r="H272" s="15" t="inlineStr">
        <is>
          <t>very-high</t>
        </is>
      </c>
      <c r="I272" s="20" t="inlineStr">
        <is>
          <t>5.9%</t>
        </is>
      </c>
      <c r="J272" s="15" t="n">
        <v>0.75</v>
      </c>
      <c r="K272" s="15" t="inlineStr">
        <is>
          <t>standard</t>
        </is>
      </c>
    </row>
    <row r="273">
      <c r="A273" s="17" t="inlineStr">
        <is>
          <t>5321</t>
        </is>
      </c>
      <c r="B273" s="18" t="inlineStr">
        <is>
          <t>Health Care Assistants</t>
        </is>
      </c>
      <c r="C273" s="18" t="inlineStr">
        <is>
          <t>바이오 / 제약 / 임상헬스케어</t>
        </is>
      </c>
      <c r="D273" s="24" t="n">
        <v>45600000</v>
      </c>
      <c r="E273" s="24" t="n">
        <v>69600000</v>
      </c>
      <c r="F273" s="25" t="n">
        <v>66000</v>
      </c>
      <c r="G273" s="24" t="n">
        <v>57600</v>
      </c>
      <c r="H273" s="17" t="inlineStr">
        <is>
          <t>very-high</t>
        </is>
      </c>
      <c r="I273" s="21" t="inlineStr">
        <is>
          <t>5.9%</t>
        </is>
      </c>
      <c r="J273" s="17" t="n">
        <v>0.88</v>
      </c>
      <c r="K273" s="17" t="inlineStr">
        <is>
          <t>standard</t>
        </is>
      </c>
    </row>
    <row r="274">
      <c r="A274" s="15" t="inlineStr">
        <is>
          <t>5322</t>
        </is>
      </c>
      <c r="B274" s="16" t="inlineStr">
        <is>
          <t>Home-based Personal Care Workers</t>
        </is>
      </c>
      <c r="C274" s="16" t="inlineStr">
        <is>
          <t>바이오 / 제약 / 임상헬스케어</t>
        </is>
      </c>
      <c r="D274" s="22" t="n">
        <v>45600000</v>
      </c>
      <c r="E274" s="22" t="n">
        <v>69600000</v>
      </c>
      <c r="F274" s="23" t="n">
        <v>66000</v>
      </c>
      <c r="G274" s="22" t="n">
        <v>57600</v>
      </c>
      <c r="H274" s="15" t="inlineStr">
        <is>
          <t>very-high</t>
        </is>
      </c>
      <c r="I274" s="20" t="inlineStr">
        <is>
          <t>5.9%</t>
        </is>
      </c>
      <c r="J274" s="15" t="n">
        <v>0.82</v>
      </c>
      <c r="K274" s="15" t="inlineStr">
        <is>
          <t>standard</t>
        </is>
      </c>
    </row>
    <row r="275">
      <c r="A275" s="17" t="inlineStr">
        <is>
          <t>5329</t>
        </is>
      </c>
      <c r="B275" s="18" t="inlineStr">
        <is>
          <t>Personal Care Workers in Health Services Not Elsewhere Classified</t>
        </is>
      </c>
      <c r="C275" s="18" t="inlineStr">
        <is>
          <t>바이오 / 제약 / 임상헬스케어</t>
        </is>
      </c>
      <c r="D275" s="24" t="n">
        <v>45600000</v>
      </c>
      <c r="E275" s="24" t="n">
        <v>69600000</v>
      </c>
      <c r="F275" s="25" t="n">
        <v>66000</v>
      </c>
      <c r="G275" s="24" t="n">
        <v>57600</v>
      </c>
      <c r="H275" s="17" t="inlineStr">
        <is>
          <t>very-high</t>
        </is>
      </c>
      <c r="I275" s="21" t="inlineStr">
        <is>
          <t>5.9%</t>
        </is>
      </c>
      <c r="J275" s="17" t="n">
        <v>0.71</v>
      </c>
      <c r="K275" s="17" t="inlineStr">
        <is>
          <t>standard</t>
        </is>
      </c>
    </row>
    <row r="276">
      <c r="A276" s="15" t="inlineStr">
        <is>
          <t>5411</t>
        </is>
      </c>
      <c r="B276" s="16" t="inlineStr">
        <is>
          <t>Fire Fighters</t>
        </is>
      </c>
      <c r="C276" s="16" t="inlineStr">
        <is>
          <t>탄소중립 / 산업안전 / ESG</t>
        </is>
      </c>
      <c r="D276" s="22" t="n">
        <v>38000000</v>
      </c>
      <c r="E276" s="22" t="n">
        <v>58000000</v>
      </c>
      <c r="F276" s="23" t="n">
        <v>55000</v>
      </c>
      <c r="G276" s="22" t="n">
        <v>48000</v>
      </c>
      <c r="H276" s="15" t="inlineStr">
        <is>
          <t>increasing</t>
        </is>
      </c>
      <c r="I276" s="20" t="inlineStr">
        <is>
          <t>5.9%</t>
        </is>
      </c>
      <c r="J276" s="15" t="n">
        <v>1</v>
      </c>
      <c r="K276" s="15" t="inlineStr">
        <is>
          <t>standard</t>
        </is>
      </c>
    </row>
    <row r="277">
      <c r="A277" s="17" t="inlineStr">
        <is>
          <t>5412</t>
        </is>
      </c>
      <c r="B277" s="18" t="inlineStr">
        <is>
          <t>Police Officers</t>
        </is>
      </c>
      <c r="C277" s="18" t="inlineStr">
        <is>
          <t>탄소중립 / 산업안전 / ESG</t>
        </is>
      </c>
      <c r="D277" s="24" t="n">
        <v>38000000</v>
      </c>
      <c r="E277" s="24" t="n">
        <v>58000000</v>
      </c>
      <c r="F277" s="25" t="n">
        <v>55000</v>
      </c>
      <c r="G277" s="24" t="n">
        <v>48000</v>
      </c>
      <c r="H277" s="17" t="inlineStr">
        <is>
          <t>increasing</t>
        </is>
      </c>
      <c r="I277" s="21" t="inlineStr">
        <is>
          <t>5.9%</t>
        </is>
      </c>
      <c r="J277" s="17" t="n">
        <v>1</v>
      </c>
      <c r="K277" s="17" t="inlineStr">
        <is>
          <t>standard</t>
        </is>
      </c>
    </row>
    <row r="278">
      <c r="A278" s="15" t="inlineStr">
        <is>
          <t>5413</t>
        </is>
      </c>
      <c r="B278" s="16" t="inlineStr">
        <is>
          <t>Prison Guards</t>
        </is>
      </c>
      <c r="C278" s="16" t="inlineStr">
        <is>
          <t>탄소중립 / 산업안전 / ESG</t>
        </is>
      </c>
      <c r="D278" s="22" t="n">
        <v>38000000</v>
      </c>
      <c r="E278" s="22" t="n">
        <v>58000000</v>
      </c>
      <c r="F278" s="23" t="n">
        <v>55000</v>
      </c>
      <c r="G278" s="22" t="n">
        <v>48000</v>
      </c>
      <c r="H278" s="15" t="inlineStr">
        <is>
          <t>increasing</t>
        </is>
      </c>
      <c r="I278" s="20" t="inlineStr">
        <is>
          <t>5.9%</t>
        </is>
      </c>
      <c r="J278" s="15" t="n">
        <v>0.89</v>
      </c>
      <c r="K278" s="15" t="inlineStr">
        <is>
          <t>standard</t>
        </is>
      </c>
    </row>
    <row r="279">
      <c r="A279" s="17" t="inlineStr">
        <is>
          <t>5414</t>
        </is>
      </c>
      <c r="B279" s="18" t="inlineStr">
        <is>
          <t>Security Guards</t>
        </is>
      </c>
      <c r="C279" s="18" t="inlineStr">
        <is>
          <t>탄소중립 / 산업안전 / ESG</t>
        </is>
      </c>
      <c r="D279" s="24" t="n">
        <v>38000000</v>
      </c>
      <c r="E279" s="24" t="n">
        <v>58000000</v>
      </c>
      <c r="F279" s="25" t="n">
        <v>55000</v>
      </c>
      <c r="G279" s="24" t="n">
        <v>48000</v>
      </c>
      <c r="H279" s="17" t="inlineStr">
        <is>
          <t>increasing</t>
        </is>
      </c>
      <c r="I279" s="21" t="inlineStr">
        <is>
          <t>5.9%</t>
        </is>
      </c>
      <c r="J279" s="17" t="n">
        <v>1</v>
      </c>
      <c r="K279" s="17" t="inlineStr">
        <is>
          <t>standard</t>
        </is>
      </c>
    </row>
    <row r="280">
      <c r="A280" s="15" t="inlineStr">
        <is>
          <t>5419</t>
        </is>
      </c>
      <c r="B280" s="16" t="inlineStr">
        <is>
          <t>Protective Services Workers Not Elsewhere Classified</t>
        </is>
      </c>
      <c r="C280" s="16" t="inlineStr">
        <is>
          <t>탄소중립 / 산업안전 / ESG</t>
        </is>
      </c>
      <c r="D280" s="22" t="n">
        <v>38000000</v>
      </c>
      <c r="E280" s="22" t="n">
        <v>58000000</v>
      </c>
      <c r="F280" s="23" t="n">
        <v>55000</v>
      </c>
      <c r="G280" s="22" t="n">
        <v>48000</v>
      </c>
      <c r="H280" s="15" t="inlineStr">
        <is>
          <t>increasing</t>
        </is>
      </c>
      <c r="I280" s="20" t="inlineStr">
        <is>
          <t>5.9%</t>
        </is>
      </c>
      <c r="J280" s="15" t="n">
        <v>1</v>
      </c>
      <c r="K280" s="15" t="inlineStr">
        <is>
          <t>standard</t>
        </is>
      </c>
    </row>
    <row r="281">
      <c r="A281" s="17" t="inlineStr">
        <is>
          <t>6111</t>
        </is>
      </c>
      <c r="B281" s="18" t="inlineStr">
        <is>
          <t>Field Crop and Vegetable Growers</t>
        </is>
      </c>
      <c r="C281" s="18" t="inlineStr">
        <is>
          <t>탄소중립 / 산업안전 / ESG</t>
        </is>
      </c>
      <c r="D281" s="24" t="n">
        <v>38000000</v>
      </c>
      <c r="E281" s="24" t="n">
        <v>58000000</v>
      </c>
      <c r="F281" s="25" t="n">
        <v>55000</v>
      </c>
      <c r="G281" s="24" t="n">
        <v>48000</v>
      </c>
      <c r="H281" s="17" t="inlineStr">
        <is>
          <t>increasing</t>
        </is>
      </c>
      <c r="I281" s="21" t="inlineStr">
        <is>
          <t>5.9%</t>
        </is>
      </c>
      <c r="J281" s="17" t="n">
        <v>0.9</v>
      </c>
      <c r="K281" s="17" t="inlineStr">
        <is>
          <t>standard</t>
        </is>
      </c>
    </row>
    <row r="282">
      <c r="A282" s="15" t="inlineStr">
        <is>
          <t>6112</t>
        </is>
      </c>
      <c r="B282" s="16" t="inlineStr">
        <is>
          <t>Tree and Shrub Crop Growers</t>
        </is>
      </c>
      <c r="C282" s="16" t="inlineStr">
        <is>
          <t>탄소중립 / 산업안전 / ESG</t>
        </is>
      </c>
      <c r="D282" s="22" t="n">
        <v>38000000</v>
      </c>
      <c r="E282" s="22" t="n">
        <v>58000000</v>
      </c>
      <c r="F282" s="23" t="n">
        <v>55000</v>
      </c>
      <c r="G282" s="22" t="n">
        <v>48000</v>
      </c>
      <c r="H282" s="15" t="inlineStr">
        <is>
          <t>increasing</t>
        </is>
      </c>
      <c r="I282" s="20" t="inlineStr">
        <is>
          <t>5.9%</t>
        </is>
      </c>
      <c r="J282" s="15" t="n">
        <v>0.9</v>
      </c>
      <c r="K282" s="15" t="inlineStr">
        <is>
          <t>standard</t>
        </is>
      </c>
    </row>
    <row r="283">
      <c r="A283" s="17" t="inlineStr">
        <is>
          <t>6113</t>
        </is>
      </c>
      <c r="B283" s="18" t="inlineStr">
        <is>
          <t>Gardeners, Horticultural and Nursery Growers</t>
        </is>
      </c>
      <c r="C283" s="18" t="inlineStr">
        <is>
          <t>탄소중립 / 산업안전 / ESG</t>
        </is>
      </c>
      <c r="D283" s="24" t="n">
        <v>38000000</v>
      </c>
      <c r="E283" s="24" t="n">
        <v>58000000</v>
      </c>
      <c r="F283" s="25" t="n">
        <v>55000</v>
      </c>
      <c r="G283" s="24" t="n">
        <v>48000</v>
      </c>
      <c r="H283" s="17" t="inlineStr">
        <is>
          <t>increasing</t>
        </is>
      </c>
      <c r="I283" s="21" t="inlineStr">
        <is>
          <t>5.9%</t>
        </is>
      </c>
      <c r="J283" s="17" t="n">
        <v>0.8</v>
      </c>
      <c r="K283" s="17" t="inlineStr">
        <is>
          <t>standard</t>
        </is>
      </c>
    </row>
    <row r="284">
      <c r="A284" s="15" t="inlineStr">
        <is>
          <t>6114</t>
        </is>
      </c>
      <c r="B284" s="16" t="inlineStr">
        <is>
          <t>Mixed Crop Growers</t>
        </is>
      </c>
      <c r="C284" s="16" t="inlineStr">
        <is>
          <t>탄소중립 / 산업안전 / ESG</t>
        </is>
      </c>
      <c r="D284" s="22" t="n">
        <v>38000000</v>
      </c>
      <c r="E284" s="22" t="n">
        <v>58000000</v>
      </c>
      <c r="F284" s="23" t="n">
        <v>55000</v>
      </c>
      <c r="G284" s="22" t="n">
        <v>48000</v>
      </c>
      <c r="H284" s="15" t="inlineStr">
        <is>
          <t>increasing</t>
        </is>
      </c>
      <c r="I284" s="20" t="inlineStr">
        <is>
          <t>5.9%</t>
        </is>
      </c>
      <c r="J284" s="15" t="n">
        <v>0.91</v>
      </c>
      <c r="K284" s="15" t="inlineStr">
        <is>
          <t>standard</t>
        </is>
      </c>
    </row>
    <row r="285">
      <c r="A285" s="17" t="inlineStr">
        <is>
          <t>6121</t>
        </is>
      </c>
      <c r="B285" s="18" t="inlineStr">
        <is>
          <t>Livestock and Dairy Producers</t>
        </is>
      </c>
      <c r="C285" s="18" t="inlineStr">
        <is>
          <t>탄소중립 / 산업안전 / ESG</t>
        </is>
      </c>
      <c r="D285" s="24" t="n">
        <v>38000000</v>
      </c>
      <c r="E285" s="24" t="n">
        <v>58000000</v>
      </c>
      <c r="F285" s="25" t="n">
        <v>55000</v>
      </c>
      <c r="G285" s="24" t="n">
        <v>48000</v>
      </c>
      <c r="H285" s="17" t="inlineStr">
        <is>
          <t>increasing</t>
        </is>
      </c>
      <c r="I285" s="21" t="inlineStr">
        <is>
          <t>5.9%</t>
        </is>
      </c>
      <c r="J285" s="17" t="n">
        <v>0.92</v>
      </c>
      <c r="K285" s="17" t="inlineStr">
        <is>
          <t>standard</t>
        </is>
      </c>
    </row>
    <row r="286">
      <c r="A286" s="15" t="inlineStr">
        <is>
          <t>6122</t>
        </is>
      </c>
      <c r="B286" s="16" t="inlineStr">
        <is>
          <t>Poultry Producers</t>
        </is>
      </c>
      <c r="C286" s="16" t="inlineStr">
        <is>
          <t>탄소중립 / 산업안전 / ESG</t>
        </is>
      </c>
      <c r="D286" s="22" t="n">
        <v>38000000</v>
      </c>
      <c r="E286" s="22" t="n">
        <v>58000000</v>
      </c>
      <c r="F286" s="23" t="n">
        <v>55000</v>
      </c>
      <c r="G286" s="22" t="n">
        <v>48000</v>
      </c>
      <c r="H286" s="15" t="inlineStr">
        <is>
          <t>increasing</t>
        </is>
      </c>
      <c r="I286" s="20" t="inlineStr">
        <is>
          <t>5.9%</t>
        </is>
      </c>
      <c r="J286" s="15" t="n">
        <v>0.86</v>
      </c>
      <c r="K286" s="15" t="inlineStr">
        <is>
          <t>standard</t>
        </is>
      </c>
    </row>
    <row r="287">
      <c r="A287" s="17" t="inlineStr">
        <is>
          <t>6123</t>
        </is>
      </c>
      <c r="B287" s="18" t="inlineStr">
        <is>
          <t>Apiarists and Sericulturists</t>
        </is>
      </c>
      <c r="C287" s="18" t="inlineStr">
        <is>
          <t>탄소중립 / 산업안전 / ESG</t>
        </is>
      </c>
      <c r="D287" s="24" t="n">
        <v>38000000</v>
      </c>
      <c r="E287" s="24" t="n">
        <v>58000000</v>
      </c>
      <c r="F287" s="25" t="n">
        <v>55000</v>
      </c>
      <c r="G287" s="24" t="n">
        <v>48000</v>
      </c>
      <c r="H287" s="17" t="inlineStr">
        <is>
          <t>increasing</t>
        </is>
      </c>
      <c r="I287" s="21" t="inlineStr">
        <is>
          <t>5.9%</t>
        </is>
      </c>
      <c r="J287" s="17" t="n">
        <v>0.88</v>
      </c>
      <c r="K287" s="17" t="inlineStr">
        <is>
          <t>standard</t>
        </is>
      </c>
    </row>
    <row r="288">
      <c r="A288" s="15" t="inlineStr">
        <is>
          <t>6129</t>
        </is>
      </c>
      <c r="B288" s="16" t="inlineStr">
        <is>
          <t>Animal Producers Not Elsewhere Classified</t>
        </is>
      </c>
      <c r="C288" s="16" t="inlineStr">
        <is>
          <t>탄소중립 / 산업안전 / ESG</t>
        </is>
      </c>
      <c r="D288" s="22" t="n">
        <v>38000000</v>
      </c>
      <c r="E288" s="22" t="n">
        <v>58000000</v>
      </c>
      <c r="F288" s="23" t="n">
        <v>55000</v>
      </c>
      <c r="G288" s="22" t="n">
        <v>48000</v>
      </c>
      <c r="H288" s="15" t="inlineStr">
        <is>
          <t>increasing</t>
        </is>
      </c>
      <c r="I288" s="20" t="inlineStr">
        <is>
          <t>5.9%</t>
        </is>
      </c>
      <c r="J288" s="15" t="n">
        <v>0.89</v>
      </c>
      <c r="K288" s="15" t="inlineStr">
        <is>
          <t>standard</t>
        </is>
      </c>
    </row>
    <row r="289">
      <c r="A289" s="17" t="inlineStr">
        <is>
          <t>6130</t>
        </is>
      </c>
      <c r="B289" s="18" t="inlineStr">
        <is>
          <t>Mixed Crop and Animal Producers</t>
        </is>
      </c>
      <c r="C289" s="18" t="inlineStr">
        <is>
          <t>탄소중립 / 산업안전 / ESG</t>
        </is>
      </c>
      <c r="D289" s="24" t="n">
        <v>38000000</v>
      </c>
      <c r="E289" s="24" t="n">
        <v>58000000</v>
      </c>
      <c r="F289" s="25" t="n">
        <v>55000</v>
      </c>
      <c r="G289" s="24" t="n">
        <v>48000</v>
      </c>
      <c r="H289" s="17" t="inlineStr">
        <is>
          <t>increasing</t>
        </is>
      </c>
      <c r="I289" s="21" t="inlineStr">
        <is>
          <t>5.9%</t>
        </is>
      </c>
      <c r="J289" s="17" t="n">
        <v>0.95</v>
      </c>
      <c r="K289" s="17" t="inlineStr">
        <is>
          <t>standard</t>
        </is>
      </c>
    </row>
    <row r="290">
      <c r="A290" s="15" t="inlineStr">
        <is>
          <t>6210</t>
        </is>
      </c>
      <c r="B290" s="16" t="inlineStr">
        <is>
          <t>Forestry and Related Workers</t>
        </is>
      </c>
      <c r="C290" s="16" t="inlineStr">
        <is>
          <t>탄소중립 / 산업안전 / ESG</t>
        </is>
      </c>
      <c r="D290" s="22" t="n">
        <v>38000000</v>
      </c>
      <c r="E290" s="22" t="n">
        <v>58000000</v>
      </c>
      <c r="F290" s="23" t="n">
        <v>55000</v>
      </c>
      <c r="G290" s="22" t="n">
        <v>48000</v>
      </c>
      <c r="H290" s="15" t="inlineStr">
        <is>
          <t>increasing</t>
        </is>
      </c>
      <c r="I290" s="20" t="inlineStr">
        <is>
          <t>5.9%</t>
        </is>
      </c>
      <c r="J290" s="15" t="n">
        <v>0.76</v>
      </c>
      <c r="K290" s="15" t="inlineStr">
        <is>
          <t>standard</t>
        </is>
      </c>
    </row>
    <row r="291">
      <c r="A291" s="17" t="inlineStr">
        <is>
          <t>6221</t>
        </is>
      </c>
      <c r="B291" s="18" t="inlineStr">
        <is>
          <t>Aquaculture Workers</t>
        </is>
      </c>
      <c r="C291" s="18" t="inlineStr">
        <is>
          <t>탄소중립 / 산업안전 / ESG</t>
        </is>
      </c>
      <c r="D291" s="24" t="n">
        <v>38000000</v>
      </c>
      <c r="E291" s="24" t="n">
        <v>58000000</v>
      </c>
      <c r="F291" s="25" t="n">
        <v>55000</v>
      </c>
      <c r="G291" s="24" t="n">
        <v>48000</v>
      </c>
      <c r="H291" s="17" t="inlineStr">
        <is>
          <t>increasing</t>
        </is>
      </c>
      <c r="I291" s="21" t="inlineStr">
        <is>
          <t>5.9%</t>
        </is>
      </c>
      <c r="J291" s="17" t="n">
        <v>0.75</v>
      </c>
      <c r="K291" s="17" t="inlineStr">
        <is>
          <t>standard</t>
        </is>
      </c>
    </row>
    <row r="292">
      <c r="A292" s="15" t="inlineStr">
        <is>
          <t>6222</t>
        </is>
      </c>
      <c r="B292" s="16" t="inlineStr">
        <is>
          <t>Inland and Coastal Waters Fishery Workers</t>
        </is>
      </c>
      <c r="C292" s="16" t="inlineStr">
        <is>
          <t>탄소중립 / 산업안전 / ESG</t>
        </is>
      </c>
      <c r="D292" s="22" t="n">
        <v>38000000</v>
      </c>
      <c r="E292" s="22" t="n">
        <v>58000000</v>
      </c>
      <c r="F292" s="23" t="n">
        <v>55000</v>
      </c>
      <c r="G292" s="22" t="n">
        <v>48000</v>
      </c>
      <c r="H292" s="15" t="inlineStr">
        <is>
          <t>increasing</t>
        </is>
      </c>
      <c r="I292" s="20" t="inlineStr">
        <is>
          <t>5.9%</t>
        </is>
      </c>
      <c r="J292" s="15" t="n">
        <v>0.77</v>
      </c>
      <c r="K292" s="15" t="inlineStr">
        <is>
          <t>standard</t>
        </is>
      </c>
    </row>
    <row r="293">
      <c r="A293" s="17" t="inlineStr">
        <is>
          <t>6223</t>
        </is>
      </c>
      <c r="B293" s="18" t="inlineStr">
        <is>
          <t>Deep-sea Fishery Workers</t>
        </is>
      </c>
      <c r="C293" s="18" t="inlineStr">
        <is>
          <t>탄소중립 / 산업안전 / ESG</t>
        </is>
      </c>
      <c r="D293" s="24" t="n">
        <v>38000000</v>
      </c>
      <c r="E293" s="24" t="n">
        <v>58000000</v>
      </c>
      <c r="F293" s="25" t="n">
        <v>55000</v>
      </c>
      <c r="G293" s="24" t="n">
        <v>48000</v>
      </c>
      <c r="H293" s="17" t="inlineStr">
        <is>
          <t>increasing</t>
        </is>
      </c>
      <c r="I293" s="21" t="inlineStr">
        <is>
          <t>5.9%</t>
        </is>
      </c>
      <c r="J293" s="17" t="n">
        <v>0.64</v>
      </c>
      <c r="K293" s="17" t="inlineStr">
        <is>
          <t>standard</t>
        </is>
      </c>
    </row>
    <row r="294">
      <c r="A294" s="15" t="inlineStr">
        <is>
          <t>6224</t>
        </is>
      </c>
      <c r="B294" s="16" t="inlineStr">
        <is>
          <t>Hunters and Trappers</t>
        </is>
      </c>
      <c r="C294" s="16" t="inlineStr">
        <is>
          <t>탄소중립 / 산업안전 / ESG</t>
        </is>
      </c>
      <c r="D294" s="22" t="n">
        <v>38000000</v>
      </c>
      <c r="E294" s="22" t="n">
        <v>58000000</v>
      </c>
      <c r="F294" s="23" t="n">
        <v>55000</v>
      </c>
      <c r="G294" s="22" t="n">
        <v>48000</v>
      </c>
      <c r="H294" s="15" t="inlineStr">
        <is>
          <t>increasing</t>
        </is>
      </c>
      <c r="I294" s="20" t="inlineStr">
        <is>
          <t>5.9%</t>
        </is>
      </c>
      <c r="J294" s="15" t="n">
        <v>0.67</v>
      </c>
      <c r="K294" s="15" t="inlineStr">
        <is>
          <t>standard</t>
        </is>
      </c>
    </row>
    <row r="295">
      <c r="A295" s="17" t="inlineStr">
        <is>
          <t>6310</t>
        </is>
      </c>
      <c r="B295" s="18" t="inlineStr">
        <is>
          <t>Subsistence Crop Farmers</t>
        </is>
      </c>
      <c r="C295" s="18" t="inlineStr">
        <is>
          <t>탄소중립 / 산업안전 / ESG</t>
        </is>
      </c>
      <c r="D295" s="24" t="n">
        <v>30000000</v>
      </c>
      <c r="E295" s="24" t="n">
        <v>42000000</v>
      </c>
      <c r="F295" s="25" t="n">
        <v>38000</v>
      </c>
      <c r="G295" s="24" t="n">
        <v>34000</v>
      </c>
      <c r="H295" s="17" t="inlineStr">
        <is>
          <t>stable</t>
        </is>
      </c>
      <c r="I295" s="21" t="inlineStr">
        <is>
          <t>4.7%</t>
        </is>
      </c>
      <c r="J295" s="17" t="n">
        <v>1</v>
      </c>
      <c r="K295" s="17" t="inlineStr">
        <is>
          <t>standard</t>
        </is>
      </c>
    </row>
    <row r="296">
      <c r="A296" s="15" t="inlineStr">
        <is>
          <t>6320</t>
        </is>
      </c>
      <c r="B296" s="16" t="inlineStr">
        <is>
          <t>Subsistence Livestock Farmers</t>
        </is>
      </c>
      <c r="C296" s="16" t="inlineStr">
        <is>
          <t>탄소중립 / 산업안전 / ESG</t>
        </is>
      </c>
      <c r="D296" s="22" t="n">
        <v>30000000</v>
      </c>
      <c r="E296" s="22" t="n">
        <v>42000000</v>
      </c>
      <c r="F296" s="23" t="n">
        <v>38000</v>
      </c>
      <c r="G296" s="22" t="n">
        <v>34000</v>
      </c>
      <c r="H296" s="15" t="inlineStr">
        <is>
          <t>stable</t>
        </is>
      </c>
      <c r="I296" s="20" t="inlineStr">
        <is>
          <t>4.7%</t>
        </is>
      </c>
      <c r="J296" s="15" t="n">
        <v>0.9399999999999999</v>
      </c>
      <c r="K296" s="15" t="inlineStr">
        <is>
          <t>standard</t>
        </is>
      </c>
    </row>
    <row r="297">
      <c r="A297" s="17" t="inlineStr">
        <is>
          <t>6330</t>
        </is>
      </c>
      <c r="B297" s="18" t="inlineStr">
        <is>
          <t>Subsistence Mixed Crop and Livestock Farmers</t>
        </is>
      </c>
      <c r="C297" s="18" t="inlineStr">
        <is>
          <t>탄소중립 / 산업안전 / ESG</t>
        </is>
      </c>
      <c r="D297" s="24" t="n">
        <v>30000000</v>
      </c>
      <c r="E297" s="24" t="n">
        <v>42000000</v>
      </c>
      <c r="F297" s="25" t="n">
        <v>38000</v>
      </c>
      <c r="G297" s="24" t="n">
        <v>34000</v>
      </c>
      <c r="H297" s="17" t="inlineStr">
        <is>
          <t>stable</t>
        </is>
      </c>
      <c r="I297" s="21" t="inlineStr">
        <is>
          <t>4.7%</t>
        </is>
      </c>
      <c r="J297" s="17" t="n">
        <v>1</v>
      </c>
      <c r="K297" s="17" t="inlineStr">
        <is>
          <t>standard</t>
        </is>
      </c>
    </row>
    <row r="298">
      <c r="A298" s="15" t="inlineStr">
        <is>
          <t>6340</t>
        </is>
      </c>
      <c r="B298" s="16" t="inlineStr">
        <is>
          <t>Subsistence Fishers, Hunters, Trappers and Gatherers</t>
        </is>
      </c>
      <c r="C298" s="16" t="inlineStr">
        <is>
          <t>탄소중립 / 산업안전 / ESG</t>
        </is>
      </c>
      <c r="D298" s="22" t="n">
        <v>30000000</v>
      </c>
      <c r="E298" s="22" t="n">
        <v>42000000</v>
      </c>
      <c r="F298" s="23" t="n">
        <v>38000</v>
      </c>
      <c r="G298" s="22" t="n">
        <v>34000</v>
      </c>
      <c r="H298" s="15" t="inlineStr">
        <is>
          <t>stable</t>
        </is>
      </c>
      <c r="I298" s="20" t="inlineStr">
        <is>
          <t>4.7%</t>
        </is>
      </c>
      <c r="J298" s="15" t="n">
        <v>1</v>
      </c>
      <c r="K298" s="15" t="inlineStr">
        <is>
          <t>standard</t>
        </is>
      </c>
    </row>
    <row r="299">
      <c r="A299" s="17" t="inlineStr">
        <is>
          <t>7111</t>
        </is>
      </c>
      <c r="B299" s="18" t="inlineStr">
        <is>
          <t>House Builders</t>
        </is>
      </c>
      <c r="C299" s="18" t="inlineStr">
        <is>
          <t>스마트건축 / 토목 / 인프라</t>
        </is>
      </c>
      <c r="D299" s="24" t="n">
        <v>38000000</v>
      </c>
      <c r="E299" s="24" t="n">
        <v>58000000</v>
      </c>
      <c r="F299" s="25" t="n">
        <v>55000</v>
      </c>
      <c r="G299" s="24" t="n">
        <v>48000</v>
      </c>
      <c r="H299" s="17" t="inlineStr">
        <is>
          <t>increasing</t>
        </is>
      </c>
      <c r="I299" s="21" t="inlineStr">
        <is>
          <t>5.9%</t>
        </is>
      </c>
      <c r="J299" s="17" t="n">
        <v>0.89</v>
      </c>
      <c r="K299" s="17" t="inlineStr">
        <is>
          <t>standard</t>
        </is>
      </c>
    </row>
    <row r="300">
      <c r="A300" s="15" t="inlineStr">
        <is>
          <t>7112</t>
        </is>
      </c>
      <c r="B300" s="16" t="inlineStr">
        <is>
          <t>Bricklayers and Related Workers</t>
        </is>
      </c>
      <c r="C300" s="16" t="inlineStr">
        <is>
          <t>스마트건축 / 토목 / 인프라</t>
        </is>
      </c>
      <c r="D300" s="22" t="n">
        <v>38000000</v>
      </c>
      <c r="E300" s="22" t="n">
        <v>58000000</v>
      </c>
      <c r="F300" s="23" t="n">
        <v>55000</v>
      </c>
      <c r="G300" s="22" t="n">
        <v>48000</v>
      </c>
      <c r="H300" s="15" t="inlineStr">
        <is>
          <t>increasing</t>
        </is>
      </c>
      <c r="I300" s="20" t="inlineStr">
        <is>
          <t>5.9%</t>
        </is>
      </c>
      <c r="J300" s="15" t="n">
        <v>1</v>
      </c>
      <c r="K300" s="15" t="inlineStr">
        <is>
          <t>standard</t>
        </is>
      </c>
    </row>
    <row r="301">
      <c r="A301" s="17" t="inlineStr">
        <is>
          <t>7113</t>
        </is>
      </c>
      <c r="B301" s="18" t="inlineStr">
        <is>
          <t>Stonemasons, Stone Cutters, Splitters and Carvers</t>
        </is>
      </c>
      <c r="C301" s="18" t="inlineStr">
        <is>
          <t>스마트건축 / 토목 / 인프라</t>
        </is>
      </c>
      <c r="D301" s="24" t="n">
        <v>38000000</v>
      </c>
      <c r="E301" s="24" t="n">
        <v>58000000</v>
      </c>
      <c r="F301" s="25" t="n">
        <v>55000</v>
      </c>
      <c r="G301" s="24" t="n">
        <v>48000</v>
      </c>
      <c r="H301" s="17" t="inlineStr">
        <is>
          <t>increasing</t>
        </is>
      </c>
      <c r="I301" s="21" t="inlineStr">
        <is>
          <t>5.9%</t>
        </is>
      </c>
      <c r="J301" s="17" t="n">
        <v>0.75</v>
      </c>
      <c r="K301" s="17" t="inlineStr">
        <is>
          <t>standard</t>
        </is>
      </c>
    </row>
    <row r="302">
      <c r="A302" s="15" t="inlineStr">
        <is>
          <t>7114</t>
        </is>
      </c>
      <c r="B302" s="16" t="inlineStr">
        <is>
          <t>Concrete Placers, Concrete Finishers and Related Workers</t>
        </is>
      </c>
      <c r="C302" s="16" t="inlineStr">
        <is>
          <t>스마트건축 / 토목 / 인프라</t>
        </is>
      </c>
      <c r="D302" s="22" t="n">
        <v>38000000</v>
      </c>
      <c r="E302" s="22" t="n">
        <v>58000000</v>
      </c>
      <c r="F302" s="23" t="n">
        <v>55000</v>
      </c>
      <c r="G302" s="22" t="n">
        <v>48000</v>
      </c>
      <c r="H302" s="15" t="inlineStr">
        <is>
          <t>increasing</t>
        </is>
      </c>
      <c r="I302" s="20" t="inlineStr">
        <is>
          <t>5.9%</t>
        </is>
      </c>
      <c r="J302" s="15" t="n">
        <v>0.67</v>
      </c>
      <c r="K302" s="15" t="inlineStr">
        <is>
          <t>standard</t>
        </is>
      </c>
    </row>
    <row r="303">
      <c r="A303" s="17" t="inlineStr">
        <is>
          <t>7115</t>
        </is>
      </c>
      <c r="B303" s="18" t="inlineStr">
        <is>
          <t>Carpenters and Joiners</t>
        </is>
      </c>
      <c r="C303" s="18" t="inlineStr">
        <is>
          <t>스마트건축 / 토목 / 인프라</t>
        </is>
      </c>
      <c r="D303" s="24" t="n">
        <v>38000000</v>
      </c>
      <c r="E303" s="24" t="n">
        <v>58000000</v>
      </c>
      <c r="F303" s="25" t="n">
        <v>55000</v>
      </c>
      <c r="G303" s="24" t="n">
        <v>48000</v>
      </c>
      <c r="H303" s="17" t="inlineStr">
        <is>
          <t>increasing</t>
        </is>
      </c>
      <c r="I303" s="21" t="inlineStr">
        <is>
          <t>5.9%</t>
        </is>
      </c>
      <c r="J303" s="17" t="n">
        <v>0.44</v>
      </c>
      <c r="K303" s="17" t="inlineStr">
        <is>
          <t>standard</t>
        </is>
      </c>
    </row>
    <row r="304">
      <c r="A304" s="15" t="inlineStr">
        <is>
          <t>7119</t>
        </is>
      </c>
      <c r="B304" s="16" t="inlineStr">
        <is>
          <t>Building Frame and Related Trades Workers Not Elsewhere Classified</t>
        </is>
      </c>
      <c r="C304" s="16" t="inlineStr">
        <is>
          <t>스마트건축 / 토목 / 인프라</t>
        </is>
      </c>
      <c r="D304" s="22" t="n">
        <v>38000000</v>
      </c>
      <c r="E304" s="22" t="n">
        <v>58000000</v>
      </c>
      <c r="F304" s="23" t="n">
        <v>55000</v>
      </c>
      <c r="G304" s="22" t="n">
        <v>48000</v>
      </c>
      <c r="H304" s="15" t="inlineStr">
        <is>
          <t>increasing</t>
        </is>
      </c>
      <c r="I304" s="20" t="inlineStr">
        <is>
          <t>5.9%</t>
        </is>
      </c>
      <c r="J304" s="15" t="n">
        <v>1</v>
      </c>
      <c r="K304" s="15" t="inlineStr">
        <is>
          <t>standard</t>
        </is>
      </c>
    </row>
    <row r="305">
      <c r="A305" s="17" t="inlineStr">
        <is>
          <t>7121</t>
        </is>
      </c>
      <c r="B305" s="18" t="inlineStr">
        <is>
          <t>Roofers</t>
        </is>
      </c>
      <c r="C305" s="18" t="inlineStr">
        <is>
          <t>스마트건축 / 토목 / 인프라</t>
        </is>
      </c>
      <c r="D305" s="24" t="n">
        <v>38000000</v>
      </c>
      <c r="E305" s="24" t="n">
        <v>58000000</v>
      </c>
      <c r="F305" s="25" t="n">
        <v>55000</v>
      </c>
      <c r="G305" s="24" t="n">
        <v>48000</v>
      </c>
      <c r="H305" s="17" t="inlineStr">
        <is>
          <t>increasing</t>
        </is>
      </c>
      <c r="I305" s="21" t="inlineStr">
        <is>
          <t>5.9%</t>
        </is>
      </c>
      <c r="J305" s="17" t="n">
        <v>1</v>
      </c>
      <c r="K305" s="17" t="inlineStr">
        <is>
          <t>standard</t>
        </is>
      </c>
    </row>
    <row r="306">
      <c r="A306" s="15" t="inlineStr">
        <is>
          <t>7122</t>
        </is>
      </c>
      <c r="B306" s="16" t="inlineStr">
        <is>
          <t>Floor Layers and Tile Setters</t>
        </is>
      </c>
      <c r="C306" s="16" t="inlineStr">
        <is>
          <t>스마트건축 / 토목 / 인프라</t>
        </is>
      </c>
      <c r="D306" s="22" t="n">
        <v>38000000</v>
      </c>
      <c r="E306" s="22" t="n">
        <v>58000000</v>
      </c>
      <c r="F306" s="23" t="n">
        <v>55000</v>
      </c>
      <c r="G306" s="22" t="n">
        <v>48000</v>
      </c>
      <c r="H306" s="15" t="inlineStr">
        <is>
          <t>increasing</t>
        </is>
      </c>
      <c r="I306" s="20" t="inlineStr">
        <is>
          <t>5.9%</t>
        </is>
      </c>
      <c r="J306" s="15" t="n">
        <v>0.6</v>
      </c>
      <c r="K306" s="15" t="inlineStr">
        <is>
          <t>standard</t>
        </is>
      </c>
    </row>
    <row r="307">
      <c r="A307" s="17" t="inlineStr">
        <is>
          <t>7123</t>
        </is>
      </c>
      <c r="B307" s="18" t="inlineStr">
        <is>
          <t>Plasterers</t>
        </is>
      </c>
      <c r="C307" s="18" t="inlineStr">
        <is>
          <t>스마트건축 / 토목 / 인프라</t>
        </is>
      </c>
      <c r="D307" s="24" t="n">
        <v>38000000</v>
      </c>
      <c r="E307" s="24" t="n">
        <v>58000000</v>
      </c>
      <c r="F307" s="25" t="n">
        <v>55000</v>
      </c>
      <c r="G307" s="24" t="n">
        <v>48000</v>
      </c>
      <c r="H307" s="17" t="inlineStr">
        <is>
          <t>increasing</t>
        </is>
      </c>
      <c r="I307" s="21" t="inlineStr">
        <is>
          <t>5.9%</t>
        </is>
      </c>
      <c r="J307" s="17" t="n">
        <v>0.6</v>
      </c>
      <c r="K307" s="17" t="inlineStr">
        <is>
          <t>standard</t>
        </is>
      </c>
    </row>
    <row r="308">
      <c r="A308" s="15" t="inlineStr">
        <is>
          <t>7124</t>
        </is>
      </c>
      <c r="B308" s="16" t="inlineStr">
        <is>
          <t>Insulation Workers</t>
        </is>
      </c>
      <c r="C308" s="16" t="inlineStr">
        <is>
          <t>스마트건축 / 토목 / 인프라</t>
        </is>
      </c>
      <c r="D308" s="22" t="n">
        <v>38000000</v>
      </c>
      <c r="E308" s="22" t="n">
        <v>58000000</v>
      </c>
      <c r="F308" s="23" t="n">
        <v>55000</v>
      </c>
      <c r="G308" s="22" t="n">
        <v>48000</v>
      </c>
      <c r="H308" s="15" t="inlineStr">
        <is>
          <t>increasing</t>
        </is>
      </c>
      <c r="I308" s="20" t="inlineStr">
        <is>
          <t>5.9%</t>
        </is>
      </c>
      <c r="J308" s="15" t="n">
        <v>0.83</v>
      </c>
      <c r="K308" s="15" t="inlineStr">
        <is>
          <t>standard</t>
        </is>
      </c>
    </row>
    <row r="309">
      <c r="A309" s="17" t="inlineStr">
        <is>
          <t>7125</t>
        </is>
      </c>
      <c r="B309" s="18" t="inlineStr">
        <is>
          <t>Glaziers</t>
        </is>
      </c>
      <c r="C309" s="18" t="inlineStr">
        <is>
          <t>스마트건축 / 토목 / 인프라</t>
        </is>
      </c>
      <c r="D309" s="24" t="n">
        <v>38000000</v>
      </c>
      <c r="E309" s="24" t="n">
        <v>58000000</v>
      </c>
      <c r="F309" s="25" t="n">
        <v>55000</v>
      </c>
      <c r="G309" s="24" t="n">
        <v>48000</v>
      </c>
      <c r="H309" s="17" t="inlineStr">
        <is>
          <t>increasing</t>
        </is>
      </c>
      <c r="I309" s="21" t="inlineStr">
        <is>
          <t>5.9%</t>
        </is>
      </c>
      <c r="J309" s="17" t="n">
        <v>0.4</v>
      </c>
      <c r="K309" s="17" t="inlineStr">
        <is>
          <t>standard</t>
        </is>
      </c>
    </row>
    <row r="310">
      <c r="A310" s="15" t="inlineStr">
        <is>
          <t>7126</t>
        </is>
      </c>
      <c r="B310" s="16" t="inlineStr">
        <is>
          <t>Plumbers and Pipe Fitters</t>
        </is>
      </c>
      <c r="C310" s="16" t="inlineStr">
        <is>
          <t>스마트건축 / 토목 / 인프라</t>
        </is>
      </c>
      <c r="D310" s="22" t="n">
        <v>38000000</v>
      </c>
      <c r="E310" s="22" t="n">
        <v>58000000</v>
      </c>
      <c r="F310" s="23" t="n">
        <v>55000</v>
      </c>
      <c r="G310" s="22" t="n">
        <v>48000</v>
      </c>
      <c r="H310" s="15" t="inlineStr">
        <is>
          <t>increasing</t>
        </is>
      </c>
      <c r="I310" s="20" t="inlineStr">
        <is>
          <t>5.9%</t>
        </is>
      </c>
      <c r="J310" s="15" t="n">
        <v>0.29</v>
      </c>
      <c r="K310" s="15" t="inlineStr">
        <is>
          <t>standard</t>
        </is>
      </c>
    </row>
    <row r="311">
      <c r="A311" s="17" t="inlineStr">
        <is>
          <t>7127</t>
        </is>
      </c>
      <c r="B311" s="18" t="inlineStr">
        <is>
          <t>Air Conditioning and Refrigeration Mechanics</t>
        </is>
      </c>
      <c r="C311" s="18" t="inlineStr">
        <is>
          <t>스마트건축 / 토목 / 인프라</t>
        </is>
      </c>
      <c r="D311" s="24" t="n">
        <v>38000000</v>
      </c>
      <c r="E311" s="24" t="n">
        <v>58000000</v>
      </c>
      <c r="F311" s="25" t="n">
        <v>55000</v>
      </c>
      <c r="G311" s="24" t="n">
        <v>48000</v>
      </c>
      <c r="H311" s="17" t="inlineStr">
        <is>
          <t>increasing</t>
        </is>
      </c>
      <c r="I311" s="21" t="inlineStr">
        <is>
          <t>5.9%</t>
        </is>
      </c>
      <c r="J311" s="17" t="n">
        <v>0.67</v>
      </c>
      <c r="K311" s="17" t="inlineStr">
        <is>
          <t>standard</t>
        </is>
      </c>
    </row>
    <row r="312">
      <c r="A312" s="15" t="inlineStr">
        <is>
          <t>7131</t>
        </is>
      </c>
      <c r="B312" s="16" t="inlineStr">
        <is>
          <t>Painters and Related Workers</t>
        </is>
      </c>
      <c r="C312" s="16" t="inlineStr">
        <is>
          <t>스마트건축 / 토목 / 인프라</t>
        </is>
      </c>
      <c r="D312" s="22" t="n">
        <v>38000000</v>
      </c>
      <c r="E312" s="22" t="n">
        <v>58000000</v>
      </c>
      <c r="F312" s="23" t="n">
        <v>55000</v>
      </c>
      <c r="G312" s="22" t="n">
        <v>48000</v>
      </c>
      <c r="H312" s="15" t="inlineStr">
        <is>
          <t>increasing</t>
        </is>
      </c>
      <c r="I312" s="20" t="inlineStr">
        <is>
          <t>5.9%</t>
        </is>
      </c>
      <c r="J312" s="15" t="n">
        <v>0.71</v>
      </c>
      <c r="K312" s="15" t="inlineStr">
        <is>
          <t>standard</t>
        </is>
      </c>
    </row>
    <row r="313">
      <c r="A313" s="17" t="inlineStr">
        <is>
          <t>7132</t>
        </is>
      </c>
      <c r="B313" s="18" t="inlineStr">
        <is>
          <t>Spray Painters and Varnishers</t>
        </is>
      </c>
      <c r="C313" s="18" t="inlineStr">
        <is>
          <t>스마트건축 / 토목 / 인프라</t>
        </is>
      </c>
      <c r="D313" s="24" t="n">
        <v>38000000</v>
      </c>
      <c r="E313" s="24" t="n">
        <v>58000000</v>
      </c>
      <c r="F313" s="25" t="n">
        <v>55000</v>
      </c>
      <c r="G313" s="24" t="n">
        <v>48000</v>
      </c>
      <c r="H313" s="17" t="inlineStr">
        <is>
          <t>increasing</t>
        </is>
      </c>
      <c r="I313" s="21" t="inlineStr">
        <is>
          <t>5.9%</t>
        </is>
      </c>
      <c r="J313" s="17" t="n">
        <v>1</v>
      </c>
      <c r="K313" s="17" t="inlineStr">
        <is>
          <t>standard</t>
        </is>
      </c>
    </row>
    <row r="314">
      <c r="A314" s="15" t="inlineStr">
        <is>
          <t>7133</t>
        </is>
      </c>
      <c r="B314" s="16" t="inlineStr">
        <is>
          <t>Building Structure Cleaners</t>
        </is>
      </c>
      <c r="C314" s="16" t="inlineStr">
        <is>
          <t>스마트건축 / 토목 / 인프라</t>
        </is>
      </c>
      <c r="D314" s="22" t="n">
        <v>38000000</v>
      </c>
      <c r="E314" s="22" t="n">
        <v>58000000</v>
      </c>
      <c r="F314" s="23" t="n">
        <v>55000</v>
      </c>
      <c r="G314" s="22" t="n">
        <v>48000</v>
      </c>
      <c r="H314" s="15" t="inlineStr">
        <is>
          <t>increasing</t>
        </is>
      </c>
      <c r="I314" s="20" t="inlineStr">
        <is>
          <t>5.9%</t>
        </is>
      </c>
      <c r="J314" s="15" t="n">
        <v>0.67</v>
      </c>
      <c r="K314" s="15" t="inlineStr">
        <is>
          <t>standard</t>
        </is>
      </c>
    </row>
    <row r="315">
      <c r="A315" s="17" t="inlineStr">
        <is>
          <t>7211</t>
        </is>
      </c>
      <c r="B315" s="18" t="inlineStr">
        <is>
          <t>Metal Moulders and Coremakers</t>
        </is>
      </c>
      <c r="C315" s="18" t="inlineStr">
        <is>
          <t>모빌리티 / 자율주행 / 로보틱스</t>
        </is>
      </c>
      <c r="D315" s="24" t="n">
        <v>41800000</v>
      </c>
      <c r="E315" s="24" t="n">
        <v>63800000</v>
      </c>
      <c r="F315" s="25" t="n">
        <v>60500</v>
      </c>
      <c r="G315" s="24" t="n">
        <v>52800</v>
      </c>
      <c r="H315" s="17" t="inlineStr">
        <is>
          <t>increasing</t>
        </is>
      </c>
      <c r="I315" s="21" t="inlineStr">
        <is>
          <t>5.9%</t>
        </is>
      </c>
      <c r="J315" s="17" t="n">
        <v>0.75</v>
      </c>
      <c r="K315" s="17" t="inlineStr">
        <is>
          <t>standard</t>
        </is>
      </c>
    </row>
    <row r="316">
      <c r="A316" s="15" t="inlineStr">
        <is>
          <t>7212</t>
        </is>
      </c>
      <c r="B316" s="16" t="inlineStr">
        <is>
          <t>Welders and Flame Cutters</t>
        </is>
      </c>
      <c r="C316" s="16" t="inlineStr">
        <is>
          <t>모빌리티 / 자율주행 / 로보틱스</t>
        </is>
      </c>
      <c r="D316" s="22" t="n">
        <v>41800000</v>
      </c>
      <c r="E316" s="22" t="n">
        <v>63800000</v>
      </c>
      <c r="F316" s="23" t="n">
        <v>60500</v>
      </c>
      <c r="G316" s="22" t="n">
        <v>52800</v>
      </c>
      <c r="H316" s="15" t="inlineStr">
        <is>
          <t>increasing</t>
        </is>
      </c>
      <c r="I316" s="20" t="inlineStr">
        <is>
          <t>5.9%</t>
        </is>
      </c>
      <c r="J316" s="15" t="n">
        <v>0.67</v>
      </c>
      <c r="K316" s="15" t="inlineStr">
        <is>
          <t>standard</t>
        </is>
      </c>
    </row>
    <row r="317">
      <c r="A317" s="17" t="inlineStr">
        <is>
          <t>7213</t>
        </is>
      </c>
      <c r="B317" s="18" t="inlineStr">
        <is>
          <t>Sheet Metal Workers</t>
        </is>
      </c>
      <c r="C317" s="18" t="inlineStr">
        <is>
          <t>모빌리티 / 자율주행 / 로보틱스</t>
        </is>
      </c>
      <c r="D317" s="24" t="n">
        <v>41800000</v>
      </c>
      <c r="E317" s="24" t="n">
        <v>63800000</v>
      </c>
      <c r="F317" s="25" t="n">
        <v>60500</v>
      </c>
      <c r="G317" s="24" t="n">
        <v>52800</v>
      </c>
      <c r="H317" s="17" t="inlineStr">
        <is>
          <t>increasing</t>
        </is>
      </c>
      <c r="I317" s="21" t="inlineStr">
        <is>
          <t>5.9%</t>
        </is>
      </c>
      <c r="J317" s="17" t="n">
        <v>0.5</v>
      </c>
      <c r="K317" s="17" t="inlineStr">
        <is>
          <t>standard</t>
        </is>
      </c>
    </row>
    <row r="318">
      <c r="A318" s="15" t="inlineStr">
        <is>
          <t>7214</t>
        </is>
      </c>
      <c r="B318" s="16" t="inlineStr">
        <is>
          <t>Structural Metal Preparers and Erectors</t>
        </is>
      </c>
      <c r="C318" s="16" t="inlineStr">
        <is>
          <t>모빌리티 / 자율주행 / 로보틱스</t>
        </is>
      </c>
      <c r="D318" s="22" t="n">
        <v>41800000</v>
      </c>
      <c r="E318" s="22" t="n">
        <v>63800000</v>
      </c>
      <c r="F318" s="23" t="n">
        <v>60500</v>
      </c>
      <c r="G318" s="22" t="n">
        <v>52800</v>
      </c>
      <c r="H318" s="15" t="inlineStr">
        <is>
          <t>increasing</t>
        </is>
      </c>
      <c r="I318" s="20" t="inlineStr">
        <is>
          <t>5.9%</t>
        </is>
      </c>
      <c r="J318" s="15" t="n">
        <v>0.86</v>
      </c>
      <c r="K318" s="15" t="inlineStr">
        <is>
          <t>standard</t>
        </is>
      </c>
    </row>
    <row r="319">
      <c r="A319" s="17" t="inlineStr">
        <is>
          <t>7215</t>
        </is>
      </c>
      <c r="B319" s="18" t="inlineStr">
        <is>
          <t>Riggers and Cable Splicers</t>
        </is>
      </c>
      <c r="C319" s="18" t="inlineStr">
        <is>
          <t>모빌리티 / 자율주행 / 로보틱스</t>
        </is>
      </c>
      <c r="D319" s="24" t="n">
        <v>41800000</v>
      </c>
      <c r="E319" s="24" t="n">
        <v>63800000</v>
      </c>
      <c r="F319" s="25" t="n">
        <v>60500</v>
      </c>
      <c r="G319" s="24" t="n">
        <v>52800</v>
      </c>
      <c r="H319" s="17" t="inlineStr">
        <is>
          <t>increasing</t>
        </is>
      </c>
      <c r="I319" s="21" t="inlineStr">
        <is>
          <t>5.9%</t>
        </is>
      </c>
      <c r="J319" s="17" t="n">
        <v>0.6</v>
      </c>
      <c r="K319" s="17" t="inlineStr">
        <is>
          <t>standard</t>
        </is>
      </c>
    </row>
    <row r="320">
      <c r="A320" s="15" t="inlineStr">
        <is>
          <t>7221</t>
        </is>
      </c>
      <c r="B320" s="16" t="inlineStr">
        <is>
          <t>Blacksmiths, Hammersmiths and Forging Press Workers</t>
        </is>
      </c>
      <c r="C320" s="16" t="inlineStr">
        <is>
          <t>모빌리티 / 자율주행 / 로보틱스</t>
        </is>
      </c>
      <c r="D320" s="22" t="n">
        <v>41800000</v>
      </c>
      <c r="E320" s="22" t="n">
        <v>63800000</v>
      </c>
      <c r="F320" s="23" t="n">
        <v>60500</v>
      </c>
      <c r="G320" s="22" t="n">
        <v>52800</v>
      </c>
      <c r="H320" s="15" t="inlineStr">
        <is>
          <t>increasing</t>
        </is>
      </c>
      <c r="I320" s="20" t="inlineStr">
        <is>
          <t>5.9%</t>
        </is>
      </c>
      <c r="J320" s="15" t="n">
        <v>0.4</v>
      </c>
      <c r="K320" s="15" t="inlineStr">
        <is>
          <t>standard</t>
        </is>
      </c>
    </row>
    <row r="321">
      <c r="A321" s="17" t="inlineStr">
        <is>
          <t>7222</t>
        </is>
      </c>
      <c r="B321" s="18" t="inlineStr">
        <is>
          <t>Toolmakers and Related Workers</t>
        </is>
      </c>
      <c r="C321" s="18" t="inlineStr">
        <is>
          <t>모빌리티 / 자율주행 / 로보틱스</t>
        </is>
      </c>
      <c r="D321" s="24" t="n">
        <v>41800000</v>
      </c>
      <c r="E321" s="24" t="n">
        <v>63800000</v>
      </c>
      <c r="F321" s="25" t="n">
        <v>60500</v>
      </c>
      <c r="G321" s="24" t="n">
        <v>52800</v>
      </c>
      <c r="H321" s="17" t="inlineStr">
        <is>
          <t>increasing</t>
        </is>
      </c>
      <c r="I321" s="21" t="inlineStr">
        <is>
          <t>5.9%</t>
        </is>
      </c>
      <c r="J321" s="17" t="n">
        <v>0.74</v>
      </c>
      <c r="K321" s="17" t="inlineStr">
        <is>
          <t>standard</t>
        </is>
      </c>
    </row>
    <row r="322">
      <c r="A322" s="15" t="inlineStr">
        <is>
          <t>7223</t>
        </is>
      </c>
      <c r="B322" s="16" t="inlineStr">
        <is>
          <t>Metal Working Machine Tool Setters and  Operators</t>
        </is>
      </c>
      <c r="C322" s="16" t="inlineStr">
        <is>
          <t>모빌리티 / 자율주행 / 로보틱스</t>
        </is>
      </c>
      <c r="D322" s="22" t="n">
        <v>41800000</v>
      </c>
      <c r="E322" s="22" t="n">
        <v>63800000</v>
      </c>
      <c r="F322" s="23" t="n">
        <v>60500</v>
      </c>
      <c r="G322" s="22" t="n">
        <v>52800</v>
      </c>
      <c r="H322" s="15" t="inlineStr">
        <is>
          <t>increasing</t>
        </is>
      </c>
      <c r="I322" s="20" t="inlineStr">
        <is>
          <t>5.9%</t>
        </is>
      </c>
      <c r="J322" s="15" t="n">
        <v>0.62</v>
      </c>
      <c r="K322" s="15" t="inlineStr">
        <is>
          <t>standard</t>
        </is>
      </c>
    </row>
    <row r="323">
      <c r="A323" s="17" t="inlineStr">
        <is>
          <t>7224</t>
        </is>
      </c>
      <c r="B323" s="18" t="inlineStr">
        <is>
          <t>Metal Polishers, Wheel Grinders and Tool Sharpeners</t>
        </is>
      </c>
      <c r="C323" s="18" t="inlineStr">
        <is>
          <t>모빌리티 / 자율주행 / 로보틱스</t>
        </is>
      </c>
      <c r="D323" s="24" t="n">
        <v>41800000</v>
      </c>
      <c r="E323" s="24" t="n">
        <v>63800000</v>
      </c>
      <c r="F323" s="25" t="n">
        <v>60500</v>
      </c>
      <c r="G323" s="24" t="n">
        <v>52800</v>
      </c>
      <c r="H323" s="17" t="inlineStr">
        <is>
          <t>increasing</t>
        </is>
      </c>
      <c r="I323" s="21" t="inlineStr">
        <is>
          <t>5.9%</t>
        </is>
      </c>
      <c r="J323" s="17" t="n">
        <v>0.5600000000000001</v>
      </c>
      <c r="K323" s="17" t="inlineStr">
        <is>
          <t>standard</t>
        </is>
      </c>
    </row>
    <row r="324">
      <c r="A324" s="15" t="inlineStr">
        <is>
          <t>7231</t>
        </is>
      </c>
      <c r="B324" s="16" t="inlineStr">
        <is>
          <t>Motor Vehicle Mechanics and Repairers</t>
        </is>
      </c>
      <c r="C324" s="16" t="inlineStr">
        <is>
          <t>모빌리티 / 자율주행 / 로보틱스</t>
        </is>
      </c>
      <c r="D324" s="22" t="n">
        <v>41800000</v>
      </c>
      <c r="E324" s="22" t="n">
        <v>63800000</v>
      </c>
      <c r="F324" s="23" t="n">
        <v>60500</v>
      </c>
      <c r="G324" s="22" t="n">
        <v>52800</v>
      </c>
      <c r="H324" s="15" t="inlineStr">
        <is>
          <t>increasing</t>
        </is>
      </c>
      <c r="I324" s="20" t="inlineStr">
        <is>
          <t>5.9%</t>
        </is>
      </c>
      <c r="J324" s="15" t="n">
        <v>0.7</v>
      </c>
      <c r="K324" s="15" t="inlineStr">
        <is>
          <t>standard</t>
        </is>
      </c>
    </row>
    <row r="325">
      <c r="A325" s="17" t="inlineStr">
        <is>
          <t>7232</t>
        </is>
      </c>
      <c r="B325" s="18" t="inlineStr">
        <is>
          <t>Aircraft Engine Mechanics and Repairers</t>
        </is>
      </c>
      <c r="C325" s="18" t="inlineStr">
        <is>
          <t>모빌리티 / 자율주행 / 로보틱스</t>
        </is>
      </c>
      <c r="D325" s="24" t="n">
        <v>41800000</v>
      </c>
      <c r="E325" s="24" t="n">
        <v>63800000</v>
      </c>
      <c r="F325" s="25" t="n">
        <v>60500</v>
      </c>
      <c r="G325" s="24" t="n">
        <v>52800</v>
      </c>
      <c r="H325" s="17" t="inlineStr">
        <is>
          <t>increasing</t>
        </is>
      </c>
      <c r="I325" s="21" t="inlineStr">
        <is>
          <t>5.9%</t>
        </is>
      </c>
      <c r="J325" s="17" t="n">
        <v>0.67</v>
      </c>
      <c r="K325" s="17" t="inlineStr">
        <is>
          <t>standard</t>
        </is>
      </c>
    </row>
    <row r="326">
      <c r="A326" s="15" t="inlineStr">
        <is>
          <t>7233</t>
        </is>
      </c>
      <c r="B326" s="16" t="inlineStr">
        <is>
          <t>Agricultural and Industrial Machinery Mechanics and Repairers</t>
        </is>
      </c>
      <c r="C326" s="16" t="inlineStr">
        <is>
          <t>모빌리티 / 자율주행 / 로보틱스</t>
        </is>
      </c>
      <c r="D326" s="22" t="n">
        <v>41800000</v>
      </c>
      <c r="E326" s="22" t="n">
        <v>63800000</v>
      </c>
      <c r="F326" s="23" t="n">
        <v>60500</v>
      </c>
      <c r="G326" s="22" t="n">
        <v>52800</v>
      </c>
      <c r="H326" s="15" t="inlineStr">
        <is>
          <t>increasing</t>
        </is>
      </c>
      <c r="I326" s="20" t="inlineStr">
        <is>
          <t>5.9%</t>
        </is>
      </c>
      <c r="J326" s="15" t="n">
        <v>0.44</v>
      </c>
      <c r="K326" s="15" t="inlineStr">
        <is>
          <t>standard</t>
        </is>
      </c>
    </row>
    <row r="327">
      <c r="A327" s="17" t="inlineStr">
        <is>
          <t>7234</t>
        </is>
      </c>
      <c r="B327" s="18" t="inlineStr">
        <is>
          <t>Bicycle and Related Repairers</t>
        </is>
      </c>
      <c r="C327" s="18" t="inlineStr">
        <is>
          <t>모빌리티 / 자율주행 / 로보틱스</t>
        </is>
      </c>
      <c r="D327" s="24" t="n">
        <v>41800000</v>
      </c>
      <c r="E327" s="24" t="n">
        <v>63800000</v>
      </c>
      <c r="F327" s="25" t="n">
        <v>60500</v>
      </c>
      <c r="G327" s="24" t="n">
        <v>52800</v>
      </c>
      <c r="H327" s="17" t="inlineStr">
        <is>
          <t>increasing</t>
        </is>
      </c>
      <c r="I327" s="21" t="inlineStr">
        <is>
          <t>5.9%</t>
        </is>
      </c>
      <c r="J327" s="17" t="n">
        <v>0.44</v>
      </c>
      <c r="K327" s="17" t="inlineStr">
        <is>
          <t>standard</t>
        </is>
      </c>
    </row>
    <row r="328">
      <c r="A328" s="15" t="inlineStr">
        <is>
          <t>7311</t>
        </is>
      </c>
      <c r="B328" s="16" t="inlineStr">
        <is>
          <t>Precision-instrument Makers and Repairers</t>
        </is>
      </c>
      <c r="C328" s="16" t="inlineStr">
        <is>
          <t>디자인 / 디지털미디어 / 콘텐츠</t>
        </is>
      </c>
      <c r="D328" s="22" t="n">
        <v>38000000</v>
      </c>
      <c r="E328" s="22" t="n">
        <v>58000000</v>
      </c>
      <c r="F328" s="23" t="n">
        <v>55000</v>
      </c>
      <c r="G328" s="22" t="n">
        <v>48000</v>
      </c>
      <c r="H328" s="15" t="inlineStr">
        <is>
          <t>increasing</t>
        </is>
      </c>
      <c r="I328" s="20" t="inlineStr">
        <is>
          <t>5.9%</t>
        </is>
      </c>
      <c r="J328" s="15" t="n">
        <v>0.6</v>
      </c>
      <c r="K328" s="15" t="inlineStr">
        <is>
          <t>standard</t>
        </is>
      </c>
    </row>
    <row r="329">
      <c r="A329" s="17" t="inlineStr">
        <is>
          <t>7312</t>
        </is>
      </c>
      <c r="B329" s="18" t="inlineStr">
        <is>
          <t>Musical Instrument Makers and Tuners</t>
        </is>
      </c>
      <c r="C329" s="18" t="inlineStr">
        <is>
          <t>디자인 / 디지털미디어 / 콘텐츠</t>
        </is>
      </c>
      <c r="D329" s="24" t="n">
        <v>38000000</v>
      </c>
      <c r="E329" s="24" t="n">
        <v>58000000</v>
      </c>
      <c r="F329" s="25" t="n">
        <v>55000</v>
      </c>
      <c r="G329" s="24" t="n">
        <v>48000</v>
      </c>
      <c r="H329" s="17" t="inlineStr">
        <is>
          <t>increasing</t>
        </is>
      </c>
      <c r="I329" s="21" t="inlineStr">
        <is>
          <t>5.9%</t>
        </is>
      </c>
      <c r="J329" s="17" t="n">
        <v>0.53</v>
      </c>
      <c r="K329" s="17" t="inlineStr">
        <is>
          <t>standard</t>
        </is>
      </c>
    </row>
    <row r="330">
      <c r="A330" s="15" t="inlineStr">
        <is>
          <t>7313</t>
        </is>
      </c>
      <c r="B330" s="16" t="inlineStr">
        <is>
          <t>Jewellery and Precious Metal Workers</t>
        </is>
      </c>
      <c r="C330" s="16" t="inlineStr">
        <is>
          <t>디자인 / 디지털미디어 / 콘텐츠</t>
        </is>
      </c>
      <c r="D330" s="22" t="n">
        <v>38000000</v>
      </c>
      <c r="E330" s="22" t="n">
        <v>58000000</v>
      </c>
      <c r="F330" s="23" t="n">
        <v>55000</v>
      </c>
      <c r="G330" s="22" t="n">
        <v>48000</v>
      </c>
      <c r="H330" s="15" t="inlineStr">
        <is>
          <t>increasing</t>
        </is>
      </c>
      <c r="I330" s="20" t="inlineStr">
        <is>
          <t>5.9%</t>
        </is>
      </c>
      <c r="J330" s="15" t="n">
        <v>0.75</v>
      </c>
      <c r="K330" s="15" t="inlineStr">
        <is>
          <t>standard</t>
        </is>
      </c>
    </row>
    <row r="331">
      <c r="A331" s="17" t="inlineStr">
        <is>
          <t>7314</t>
        </is>
      </c>
      <c r="B331" s="18" t="inlineStr">
        <is>
          <t>Potters and Related Workers</t>
        </is>
      </c>
      <c r="C331" s="18" t="inlineStr">
        <is>
          <t>디자인 / 디지털미디어 / 콘텐츠</t>
        </is>
      </c>
      <c r="D331" s="24" t="n">
        <v>38000000</v>
      </c>
      <c r="E331" s="24" t="n">
        <v>58000000</v>
      </c>
      <c r="F331" s="25" t="n">
        <v>55000</v>
      </c>
      <c r="G331" s="24" t="n">
        <v>48000</v>
      </c>
      <c r="H331" s="17" t="inlineStr">
        <is>
          <t>increasing</t>
        </is>
      </c>
      <c r="I331" s="21" t="inlineStr">
        <is>
          <t>5.9%</t>
        </is>
      </c>
      <c r="J331" s="17" t="n">
        <v>0.85</v>
      </c>
      <c r="K331" s="17" t="inlineStr">
        <is>
          <t>standard</t>
        </is>
      </c>
    </row>
    <row r="332">
      <c r="A332" s="15" t="inlineStr">
        <is>
          <t>7315</t>
        </is>
      </c>
      <c r="B332" s="16" t="inlineStr">
        <is>
          <t>Glass Makers, Cutters, Grinders and Finishers</t>
        </is>
      </c>
      <c r="C332" s="16" t="inlineStr">
        <is>
          <t>디자인 / 디지털미디어 / 콘텐츠</t>
        </is>
      </c>
      <c r="D332" s="22" t="n">
        <v>38000000</v>
      </c>
      <c r="E332" s="22" t="n">
        <v>58000000</v>
      </c>
      <c r="F332" s="23" t="n">
        <v>55000</v>
      </c>
      <c r="G332" s="22" t="n">
        <v>48000</v>
      </c>
      <c r="H332" s="15" t="inlineStr">
        <is>
          <t>increasing</t>
        </is>
      </c>
      <c r="I332" s="20" t="inlineStr">
        <is>
          <t>5.9%</t>
        </is>
      </c>
      <c r="J332" s="15" t="n">
        <v>0.8</v>
      </c>
      <c r="K332" s="15" t="inlineStr">
        <is>
          <t>standard</t>
        </is>
      </c>
    </row>
    <row r="333">
      <c r="A333" s="17" t="inlineStr">
        <is>
          <t>7316</t>
        </is>
      </c>
      <c r="B333" s="18" t="inlineStr">
        <is>
          <t>Sign Writers, Decorative Painters, Engravers and Etchers</t>
        </is>
      </c>
      <c r="C333" s="18" t="inlineStr">
        <is>
          <t>디자인 / 디지털미디어 / 콘텐츠</t>
        </is>
      </c>
      <c r="D333" s="24" t="n">
        <v>38000000</v>
      </c>
      <c r="E333" s="24" t="n">
        <v>58000000</v>
      </c>
      <c r="F333" s="25" t="n">
        <v>55000</v>
      </c>
      <c r="G333" s="24" t="n">
        <v>48000</v>
      </c>
      <c r="H333" s="17" t="inlineStr">
        <is>
          <t>increasing</t>
        </is>
      </c>
      <c r="I333" s="21" t="inlineStr">
        <is>
          <t>5.9%</t>
        </is>
      </c>
      <c r="J333" s="17" t="n">
        <v>0.88</v>
      </c>
      <c r="K333" s="17" t="inlineStr">
        <is>
          <t>standard</t>
        </is>
      </c>
    </row>
    <row r="334">
      <c r="A334" s="15" t="inlineStr">
        <is>
          <t>7317</t>
        </is>
      </c>
      <c r="B334" s="16" t="inlineStr">
        <is>
          <t>Handicraft Workers in Wood, Basketry and Related Materials</t>
        </is>
      </c>
      <c r="C334" s="16" t="inlineStr">
        <is>
          <t>디자인 / 디지털미디어 / 콘텐츠</t>
        </is>
      </c>
      <c r="D334" s="22" t="n">
        <v>38000000</v>
      </c>
      <c r="E334" s="22" t="n">
        <v>58000000</v>
      </c>
      <c r="F334" s="23" t="n">
        <v>55000</v>
      </c>
      <c r="G334" s="22" t="n">
        <v>48000</v>
      </c>
      <c r="H334" s="15" t="inlineStr">
        <is>
          <t>increasing</t>
        </is>
      </c>
      <c r="I334" s="20" t="inlineStr">
        <is>
          <t>5.9%</t>
        </is>
      </c>
      <c r="J334" s="15" t="n">
        <v>1</v>
      </c>
      <c r="K334" s="15" t="inlineStr">
        <is>
          <t>standard</t>
        </is>
      </c>
    </row>
    <row r="335">
      <c r="A335" s="17" t="inlineStr">
        <is>
          <t>7318</t>
        </is>
      </c>
      <c r="B335" s="18" t="inlineStr">
        <is>
          <t>Handicraft Workers in Textile, Leather and Related Materials</t>
        </is>
      </c>
      <c r="C335" s="18" t="inlineStr">
        <is>
          <t>디자인 / 디지털미디어 / 콘텐츠</t>
        </is>
      </c>
      <c r="D335" s="24" t="n">
        <v>38000000</v>
      </c>
      <c r="E335" s="24" t="n">
        <v>58000000</v>
      </c>
      <c r="F335" s="25" t="n">
        <v>55000</v>
      </c>
      <c r="G335" s="24" t="n">
        <v>48000</v>
      </c>
      <c r="H335" s="17" t="inlineStr">
        <is>
          <t>increasing</t>
        </is>
      </c>
      <c r="I335" s="21" t="inlineStr">
        <is>
          <t>5.9%</t>
        </is>
      </c>
      <c r="J335" s="17" t="n">
        <v>0.9399999999999999</v>
      </c>
      <c r="K335" s="17" t="inlineStr">
        <is>
          <t>standard</t>
        </is>
      </c>
    </row>
    <row r="336">
      <c r="A336" s="15" t="inlineStr">
        <is>
          <t>7319</t>
        </is>
      </c>
      <c r="B336" s="16" t="inlineStr">
        <is>
          <t>Handicraft Workers Not Elsewhere Classified</t>
        </is>
      </c>
      <c r="C336" s="16" t="inlineStr">
        <is>
          <t>디자인 / 디지털미디어 / 콘텐츠</t>
        </is>
      </c>
      <c r="D336" s="22" t="n">
        <v>38000000</v>
      </c>
      <c r="E336" s="22" t="n">
        <v>58000000</v>
      </c>
      <c r="F336" s="23" t="n">
        <v>55000</v>
      </c>
      <c r="G336" s="22" t="n">
        <v>48000</v>
      </c>
      <c r="H336" s="15" t="inlineStr">
        <is>
          <t>increasing</t>
        </is>
      </c>
      <c r="I336" s="20" t="inlineStr">
        <is>
          <t>5.9%</t>
        </is>
      </c>
      <c r="J336" s="15" t="n">
        <v>0.65</v>
      </c>
      <c r="K336" s="15" t="inlineStr">
        <is>
          <t>standard</t>
        </is>
      </c>
    </row>
    <row r="337">
      <c r="A337" s="17" t="inlineStr">
        <is>
          <t>7321</t>
        </is>
      </c>
      <c r="B337" s="18" t="inlineStr">
        <is>
          <t>Pre-press Technicians</t>
        </is>
      </c>
      <c r="C337" s="18" t="inlineStr">
        <is>
          <t>디자인 / 디지털미디어 / 콘텐츠</t>
        </is>
      </c>
      <c r="D337" s="24" t="n">
        <v>38000000</v>
      </c>
      <c r="E337" s="24" t="n">
        <v>58000000</v>
      </c>
      <c r="F337" s="25" t="n">
        <v>55000</v>
      </c>
      <c r="G337" s="24" t="n">
        <v>48000</v>
      </c>
      <c r="H337" s="17" t="inlineStr">
        <is>
          <t>increasing</t>
        </is>
      </c>
      <c r="I337" s="21" t="inlineStr">
        <is>
          <t>5.9%</t>
        </is>
      </c>
      <c r="J337" s="17" t="n">
        <v>0.62</v>
      </c>
      <c r="K337" s="17" t="inlineStr">
        <is>
          <t>standard</t>
        </is>
      </c>
    </row>
    <row r="338">
      <c r="A338" s="15" t="inlineStr">
        <is>
          <t>7322</t>
        </is>
      </c>
      <c r="B338" s="16" t="inlineStr">
        <is>
          <t>Printers</t>
        </is>
      </c>
      <c r="C338" s="16" t="inlineStr">
        <is>
          <t>디자인 / 디지털미디어 / 콘텐츠</t>
        </is>
      </c>
      <c r="D338" s="22" t="n">
        <v>38000000</v>
      </c>
      <c r="E338" s="22" t="n">
        <v>58000000</v>
      </c>
      <c r="F338" s="23" t="n">
        <v>55000</v>
      </c>
      <c r="G338" s="22" t="n">
        <v>48000</v>
      </c>
      <c r="H338" s="15" t="inlineStr">
        <is>
          <t>increasing</t>
        </is>
      </c>
      <c r="I338" s="20" t="inlineStr">
        <is>
          <t>5.9%</t>
        </is>
      </c>
      <c r="J338" s="15" t="n">
        <v>0.92</v>
      </c>
      <c r="K338" s="15" t="inlineStr">
        <is>
          <t>standard</t>
        </is>
      </c>
    </row>
    <row r="339">
      <c r="A339" s="17" t="inlineStr">
        <is>
          <t>7323</t>
        </is>
      </c>
      <c r="B339" s="18" t="inlineStr">
        <is>
          <t>Print Finishing and Binding Workers</t>
        </is>
      </c>
      <c r="C339" s="18" t="inlineStr">
        <is>
          <t>디자인 / 디지털미디어 / 콘텐츠</t>
        </is>
      </c>
      <c r="D339" s="24" t="n">
        <v>38000000</v>
      </c>
      <c r="E339" s="24" t="n">
        <v>58000000</v>
      </c>
      <c r="F339" s="25" t="n">
        <v>55000</v>
      </c>
      <c r="G339" s="24" t="n">
        <v>48000</v>
      </c>
      <c r="H339" s="17" t="inlineStr">
        <is>
          <t>increasing</t>
        </is>
      </c>
      <c r="I339" s="21" t="inlineStr">
        <is>
          <t>5.9%</t>
        </is>
      </c>
      <c r="J339" s="17" t="n">
        <v>0.5600000000000001</v>
      </c>
      <c r="K339" s="17" t="inlineStr">
        <is>
          <t>standard</t>
        </is>
      </c>
    </row>
    <row r="340">
      <c r="A340" s="15" t="inlineStr">
        <is>
          <t>7411</t>
        </is>
      </c>
      <c r="B340" s="16" t="inlineStr">
        <is>
          <t>Building and Related Electricians</t>
        </is>
      </c>
      <c r="C340" s="16" t="inlineStr">
        <is>
          <t>반도체 / 전자회로 / 하드웨어</t>
        </is>
      </c>
      <c r="D340" s="22" t="n">
        <v>47500000</v>
      </c>
      <c r="E340" s="22" t="n">
        <v>72500000</v>
      </c>
      <c r="F340" s="23" t="n">
        <v>68750</v>
      </c>
      <c r="G340" s="22" t="n">
        <v>60000</v>
      </c>
      <c r="H340" s="15" t="inlineStr">
        <is>
          <t>very-high</t>
        </is>
      </c>
      <c r="I340" s="20" t="inlineStr">
        <is>
          <t>5.9%</t>
        </is>
      </c>
      <c r="J340" s="15" t="n">
        <v>0.4</v>
      </c>
      <c r="K340" s="15" t="inlineStr">
        <is>
          <t>standard</t>
        </is>
      </c>
    </row>
    <row r="341">
      <c r="A341" s="17" t="inlineStr">
        <is>
          <t>7412</t>
        </is>
      </c>
      <c r="B341" s="18" t="inlineStr">
        <is>
          <t>Electrical Mechanics and Fitters</t>
        </is>
      </c>
      <c r="C341" s="18" t="inlineStr">
        <is>
          <t>반도체 / 전자회로 / 하드웨어</t>
        </is>
      </c>
      <c r="D341" s="24" t="n">
        <v>47500000</v>
      </c>
      <c r="E341" s="24" t="n">
        <v>72500000</v>
      </c>
      <c r="F341" s="25" t="n">
        <v>68750</v>
      </c>
      <c r="G341" s="24" t="n">
        <v>60000</v>
      </c>
      <c r="H341" s="17" t="inlineStr">
        <is>
          <t>very-high</t>
        </is>
      </c>
      <c r="I341" s="21" t="inlineStr">
        <is>
          <t>5.9%</t>
        </is>
      </c>
      <c r="J341" s="17" t="n">
        <v>0.5</v>
      </c>
      <c r="K341" s="17" t="inlineStr">
        <is>
          <t>standard</t>
        </is>
      </c>
    </row>
    <row r="342">
      <c r="A342" s="15" t="inlineStr">
        <is>
          <t>7413</t>
        </is>
      </c>
      <c r="B342" s="16" t="inlineStr">
        <is>
          <t>Electrical Line Installers and Repairers</t>
        </is>
      </c>
      <c r="C342" s="16" t="inlineStr">
        <is>
          <t>반도체 / 전자회로 / 하드웨어</t>
        </is>
      </c>
      <c r="D342" s="22" t="n">
        <v>47500000</v>
      </c>
      <c r="E342" s="22" t="n">
        <v>72500000</v>
      </c>
      <c r="F342" s="23" t="n">
        <v>68750</v>
      </c>
      <c r="G342" s="22" t="n">
        <v>60000</v>
      </c>
      <c r="H342" s="15" t="inlineStr">
        <is>
          <t>very-high</t>
        </is>
      </c>
      <c r="I342" s="20" t="inlineStr">
        <is>
          <t>5.9%</t>
        </is>
      </c>
      <c r="J342" s="15" t="n">
        <v>0.71</v>
      </c>
      <c r="K342" s="15" t="inlineStr">
        <is>
          <t>standard</t>
        </is>
      </c>
    </row>
    <row r="343">
      <c r="A343" s="17" t="inlineStr">
        <is>
          <t>7421</t>
        </is>
      </c>
      <c r="B343" s="18" t="inlineStr">
        <is>
          <t>Electronics Mechanics and Servicers</t>
        </is>
      </c>
      <c r="C343" s="18" t="inlineStr">
        <is>
          <t>반도체 / 전자회로 / 하드웨어</t>
        </is>
      </c>
      <c r="D343" s="24" t="n">
        <v>47500000</v>
      </c>
      <c r="E343" s="24" t="n">
        <v>72500000</v>
      </c>
      <c r="F343" s="25" t="n">
        <v>68750</v>
      </c>
      <c r="G343" s="24" t="n">
        <v>60000</v>
      </c>
      <c r="H343" s="17" t="inlineStr">
        <is>
          <t>very-high</t>
        </is>
      </c>
      <c r="I343" s="21" t="inlineStr">
        <is>
          <t>5.9%</t>
        </is>
      </c>
      <c r="J343" s="17" t="n">
        <v>0.73</v>
      </c>
      <c r="K343" s="17" t="inlineStr">
        <is>
          <t>standard</t>
        </is>
      </c>
    </row>
    <row r="344">
      <c r="A344" s="15" t="inlineStr">
        <is>
          <t>7422</t>
        </is>
      </c>
      <c r="B344" s="16" t="inlineStr">
        <is>
          <t>Information and Communications Technology Installers and Servicers</t>
        </is>
      </c>
      <c r="C344" s="16" t="inlineStr">
        <is>
          <t>반도체 / 전자회로 / 하드웨어</t>
        </is>
      </c>
      <c r="D344" s="22" t="n">
        <v>47500000</v>
      </c>
      <c r="E344" s="22" t="n">
        <v>72500000</v>
      </c>
      <c r="F344" s="23" t="n">
        <v>68750</v>
      </c>
      <c r="G344" s="22" t="n">
        <v>60000</v>
      </c>
      <c r="H344" s="15" t="inlineStr">
        <is>
          <t>very-high</t>
        </is>
      </c>
      <c r="I344" s="20" t="inlineStr">
        <is>
          <t>5.9%</t>
        </is>
      </c>
      <c r="J344" s="15" t="n">
        <v>0.5</v>
      </c>
      <c r="K344" s="15" t="inlineStr">
        <is>
          <t>standard</t>
        </is>
      </c>
    </row>
    <row r="345">
      <c r="A345" s="17" t="inlineStr">
        <is>
          <t>7511</t>
        </is>
      </c>
      <c r="B345" s="18" t="inlineStr">
        <is>
          <t>Butchers, Fishmongers and Related Food Preparers</t>
        </is>
      </c>
      <c r="C345" s="18" t="inlineStr">
        <is>
          <t>모빌리티 / 자율주행 / 로보틱스</t>
        </is>
      </c>
      <c r="D345" s="24" t="n">
        <v>41800000</v>
      </c>
      <c r="E345" s="24" t="n">
        <v>63800000</v>
      </c>
      <c r="F345" s="25" t="n">
        <v>60500</v>
      </c>
      <c r="G345" s="24" t="n">
        <v>52800</v>
      </c>
      <c r="H345" s="17" t="inlineStr">
        <is>
          <t>increasing</t>
        </is>
      </c>
      <c r="I345" s="21" t="inlineStr">
        <is>
          <t>5.9%</t>
        </is>
      </c>
      <c r="J345" s="17" t="n">
        <v>0.8</v>
      </c>
      <c r="K345" s="17" t="inlineStr">
        <is>
          <t>standard</t>
        </is>
      </c>
    </row>
    <row r="346">
      <c r="A346" s="15" t="inlineStr">
        <is>
          <t>7512</t>
        </is>
      </c>
      <c r="B346" s="16" t="inlineStr">
        <is>
          <t>Bakers, Pastry-cooks and Confectionery Makers</t>
        </is>
      </c>
      <c r="C346" s="16" t="inlineStr">
        <is>
          <t>모빌리티 / 자율주행 / 로보틱스</t>
        </is>
      </c>
      <c r="D346" s="22" t="n">
        <v>41800000</v>
      </c>
      <c r="E346" s="22" t="n">
        <v>63800000</v>
      </c>
      <c r="F346" s="23" t="n">
        <v>60500</v>
      </c>
      <c r="G346" s="22" t="n">
        <v>52800</v>
      </c>
      <c r="H346" s="15" t="inlineStr">
        <is>
          <t>increasing</t>
        </is>
      </c>
      <c r="I346" s="20" t="inlineStr">
        <is>
          <t>5.9%</t>
        </is>
      </c>
      <c r="J346" s="15" t="n">
        <v>1</v>
      </c>
      <c r="K346" s="15" t="inlineStr">
        <is>
          <t>standard</t>
        </is>
      </c>
    </row>
    <row r="347">
      <c r="A347" s="17" t="inlineStr">
        <is>
          <t>7513</t>
        </is>
      </c>
      <c r="B347" s="18" t="inlineStr">
        <is>
          <t>Dairy Products Makers</t>
        </is>
      </c>
      <c r="C347" s="18" t="inlineStr">
        <is>
          <t>모빌리티 / 자율주행 / 로보틱스</t>
        </is>
      </c>
      <c r="D347" s="24" t="n">
        <v>41800000</v>
      </c>
      <c r="E347" s="24" t="n">
        <v>63800000</v>
      </c>
      <c r="F347" s="25" t="n">
        <v>60500</v>
      </c>
      <c r="G347" s="24" t="n">
        <v>52800</v>
      </c>
      <c r="H347" s="17" t="inlineStr">
        <is>
          <t>increasing</t>
        </is>
      </c>
      <c r="I347" s="21" t="inlineStr">
        <is>
          <t>5.9%</t>
        </is>
      </c>
      <c r="J347" s="17" t="n">
        <v>0.88</v>
      </c>
      <c r="K347" s="17" t="inlineStr">
        <is>
          <t>standard</t>
        </is>
      </c>
    </row>
    <row r="348">
      <c r="A348" s="15" t="inlineStr">
        <is>
          <t>7514</t>
        </is>
      </c>
      <c r="B348" s="16" t="inlineStr">
        <is>
          <t>Fruit, Vegetable and Related Preservers</t>
        </is>
      </c>
      <c r="C348" s="16" t="inlineStr">
        <is>
          <t>모빌리티 / 자율주행 / 로보틱스</t>
        </is>
      </c>
      <c r="D348" s="22" t="n">
        <v>41800000</v>
      </c>
      <c r="E348" s="22" t="n">
        <v>63800000</v>
      </c>
      <c r="F348" s="23" t="n">
        <v>60500</v>
      </c>
      <c r="G348" s="22" t="n">
        <v>52800</v>
      </c>
      <c r="H348" s="15" t="inlineStr">
        <is>
          <t>increasing</t>
        </is>
      </c>
      <c r="I348" s="20" t="inlineStr">
        <is>
          <t>5.9%</t>
        </is>
      </c>
      <c r="J348" s="15" t="n">
        <v>1</v>
      </c>
      <c r="K348" s="15" t="inlineStr">
        <is>
          <t>standard</t>
        </is>
      </c>
    </row>
    <row r="349">
      <c r="A349" s="17" t="inlineStr">
        <is>
          <t>7515</t>
        </is>
      </c>
      <c r="B349" s="18" t="inlineStr">
        <is>
          <t>Food and Beverage Tasters and Graders</t>
        </is>
      </c>
      <c r="C349" s="18" t="inlineStr">
        <is>
          <t>모빌리티 / 자율주행 / 로보틱스</t>
        </is>
      </c>
      <c r="D349" s="24" t="n">
        <v>41800000</v>
      </c>
      <c r="E349" s="24" t="n">
        <v>63800000</v>
      </c>
      <c r="F349" s="25" t="n">
        <v>60500</v>
      </c>
      <c r="G349" s="24" t="n">
        <v>52800</v>
      </c>
      <c r="H349" s="17" t="inlineStr">
        <is>
          <t>increasing</t>
        </is>
      </c>
      <c r="I349" s="21" t="inlineStr">
        <is>
          <t>5.9%</t>
        </is>
      </c>
      <c r="J349" s="17" t="n">
        <v>0.5</v>
      </c>
      <c r="K349" s="17" t="inlineStr">
        <is>
          <t>standard</t>
        </is>
      </c>
    </row>
    <row r="350">
      <c r="A350" s="15" t="inlineStr">
        <is>
          <t>7516</t>
        </is>
      </c>
      <c r="B350" s="16" t="inlineStr">
        <is>
          <t>Tobacco Preparers and Tobacco Products Makers</t>
        </is>
      </c>
      <c r="C350" s="16" t="inlineStr">
        <is>
          <t>모빌리티 / 자율주행 / 로보틱스</t>
        </is>
      </c>
      <c r="D350" s="22" t="n">
        <v>41800000</v>
      </c>
      <c r="E350" s="22" t="n">
        <v>63800000</v>
      </c>
      <c r="F350" s="23" t="n">
        <v>60500</v>
      </c>
      <c r="G350" s="22" t="n">
        <v>52800</v>
      </c>
      <c r="H350" s="15" t="inlineStr">
        <is>
          <t>increasing</t>
        </is>
      </c>
      <c r="I350" s="20" t="inlineStr">
        <is>
          <t>5.9%</t>
        </is>
      </c>
      <c r="J350" s="15" t="n">
        <v>1</v>
      </c>
      <c r="K350" s="15" t="inlineStr">
        <is>
          <t>standard</t>
        </is>
      </c>
    </row>
    <row r="351">
      <c r="A351" s="17" t="inlineStr">
        <is>
          <t>7521</t>
        </is>
      </c>
      <c r="B351" s="18" t="inlineStr">
        <is>
          <t>Wood Treaters</t>
        </is>
      </c>
      <c r="C351" s="18" t="inlineStr">
        <is>
          <t>모빌리티 / 자율주행 / 로보틱스</t>
        </is>
      </c>
      <c r="D351" s="24" t="n">
        <v>41800000</v>
      </c>
      <c r="E351" s="24" t="n">
        <v>63800000</v>
      </c>
      <c r="F351" s="25" t="n">
        <v>60500</v>
      </c>
      <c r="G351" s="24" t="n">
        <v>52800</v>
      </c>
      <c r="H351" s="17" t="inlineStr">
        <is>
          <t>increasing</t>
        </is>
      </c>
      <c r="I351" s="21" t="inlineStr">
        <is>
          <t>5.9%</t>
        </is>
      </c>
      <c r="J351" s="17" t="n">
        <v>0.5600000000000001</v>
      </c>
      <c r="K351" s="17" t="inlineStr">
        <is>
          <t>standard</t>
        </is>
      </c>
    </row>
    <row r="352">
      <c r="A352" s="15" t="inlineStr">
        <is>
          <t>7522</t>
        </is>
      </c>
      <c r="B352" s="16" t="inlineStr">
        <is>
          <t>Cabinet-makers and Related Workers</t>
        </is>
      </c>
      <c r="C352" s="16" t="inlineStr">
        <is>
          <t>모빌리티 / 자율주행 / 로보틱스</t>
        </is>
      </c>
      <c r="D352" s="22" t="n">
        <v>41800000</v>
      </c>
      <c r="E352" s="22" t="n">
        <v>63800000</v>
      </c>
      <c r="F352" s="23" t="n">
        <v>60500</v>
      </c>
      <c r="G352" s="22" t="n">
        <v>52800</v>
      </c>
      <c r="H352" s="15" t="inlineStr">
        <is>
          <t>increasing</t>
        </is>
      </c>
      <c r="I352" s="20" t="inlineStr">
        <is>
          <t>5.9%</t>
        </is>
      </c>
      <c r="J352" s="15" t="n">
        <v>0.8</v>
      </c>
      <c r="K352" s="15" t="inlineStr">
        <is>
          <t>standard</t>
        </is>
      </c>
    </row>
    <row r="353">
      <c r="A353" s="17" t="inlineStr">
        <is>
          <t>7523</t>
        </is>
      </c>
      <c r="B353" s="18" t="inlineStr">
        <is>
          <t>Woodworking Machine Tool Setters and Operators</t>
        </is>
      </c>
      <c r="C353" s="18" t="inlineStr">
        <is>
          <t>모빌리티 / 자율주행 / 로보틱스</t>
        </is>
      </c>
      <c r="D353" s="24" t="n">
        <v>41800000</v>
      </c>
      <c r="E353" s="24" t="n">
        <v>63800000</v>
      </c>
      <c r="F353" s="25" t="n">
        <v>60500</v>
      </c>
      <c r="G353" s="24" t="n">
        <v>52800</v>
      </c>
      <c r="H353" s="17" t="inlineStr">
        <is>
          <t>increasing</t>
        </is>
      </c>
      <c r="I353" s="21" t="inlineStr">
        <is>
          <t>5.9%</t>
        </is>
      </c>
      <c r="J353" s="17" t="n">
        <v>0.78</v>
      </c>
      <c r="K353" s="17" t="inlineStr">
        <is>
          <t>standard</t>
        </is>
      </c>
    </row>
    <row r="354">
      <c r="A354" s="15" t="inlineStr">
        <is>
          <t>7531</t>
        </is>
      </c>
      <c r="B354" s="16" t="inlineStr">
        <is>
          <t>Tailors, Dressmakers, Furriers and Hatters</t>
        </is>
      </c>
      <c r="C354" s="16" t="inlineStr">
        <is>
          <t>모빌리티 / 자율주행 / 로보틱스</t>
        </is>
      </c>
      <c r="D354" s="22" t="n">
        <v>41800000</v>
      </c>
      <c r="E354" s="22" t="n">
        <v>63800000</v>
      </c>
      <c r="F354" s="23" t="n">
        <v>60500</v>
      </c>
      <c r="G354" s="22" t="n">
        <v>52800</v>
      </c>
      <c r="H354" s="15" t="inlineStr">
        <is>
          <t>increasing</t>
        </is>
      </c>
      <c r="I354" s="20" t="inlineStr">
        <is>
          <t>5.9%</t>
        </is>
      </c>
      <c r="J354" s="15" t="n">
        <v>0.82</v>
      </c>
      <c r="K354" s="15" t="inlineStr">
        <is>
          <t>standard</t>
        </is>
      </c>
    </row>
    <row r="355">
      <c r="A355" s="17" t="inlineStr">
        <is>
          <t>7532</t>
        </is>
      </c>
      <c r="B355" s="18" t="inlineStr">
        <is>
          <t>Garment and Related Patternmakers and Cutters</t>
        </is>
      </c>
      <c r="C355" s="18" t="inlineStr">
        <is>
          <t>모빌리티 / 자율주행 / 로보틱스</t>
        </is>
      </c>
      <c r="D355" s="24" t="n">
        <v>41800000</v>
      </c>
      <c r="E355" s="24" t="n">
        <v>63800000</v>
      </c>
      <c r="F355" s="25" t="n">
        <v>60500</v>
      </c>
      <c r="G355" s="24" t="n">
        <v>52800</v>
      </c>
      <c r="H355" s="17" t="inlineStr">
        <is>
          <t>increasing</t>
        </is>
      </c>
      <c r="I355" s="21" t="inlineStr">
        <is>
          <t>5.9%</t>
        </is>
      </c>
      <c r="J355" s="17" t="n">
        <v>0.9399999999999999</v>
      </c>
      <c r="K355" s="17" t="inlineStr">
        <is>
          <t>standard</t>
        </is>
      </c>
    </row>
    <row r="356">
      <c r="A356" s="15" t="inlineStr">
        <is>
          <t>7533</t>
        </is>
      </c>
      <c r="B356" s="16" t="inlineStr">
        <is>
          <t>Sewing, Embroidery and Related Workers</t>
        </is>
      </c>
      <c r="C356" s="16" t="inlineStr">
        <is>
          <t>모빌리티 / 자율주행 / 로보틱스</t>
        </is>
      </c>
      <c r="D356" s="22" t="n">
        <v>41800000</v>
      </c>
      <c r="E356" s="22" t="n">
        <v>63800000</v>
      </c>
      <c r="F356" s="23" t="n">
        <v>60500</v>
      </c>
      <c r="G356" s="22" t="n">
        <v>52800</v>
      </c>
      <c r="H356" s="15" t="inlineStr">
        <is>
          <t>increasing</t>
        </is>
      </c>
      <c r="I356" s="20" t="inlineStr">
        <is>
          <t>5.9%</t>
        </is>
      </c>
      <c r="J356" s="15" t="n">
        <v>0.85</v>
      </c>
      <c r="K356" s="15" t="inlineStr">
        <is>
          <t>standard</t>
        </is>
      </c>
    </row>
    <row r="357">
      <c r="A357" s="17" t="inlineStr">
        <is>
          <t>7534</t>
        </is>
      </c>
      <c r="B357" s="18" t="inlineStr">
        <is>
          <t>Upholsterers and Related Workers</t>
        </is>
      </c>
      <c r="C357" s="18" t="inlineStr">
        <is>
          <t>모빌리티 / 자율주행 / 로보틱스</t>
        </is>
      </c>
      <c r="D357" s="24" t="n">
        <v>41800000</v>
      </c>
      <c r="E357" s="24" t="n">
        <v>63800000</v>
      </c>
      <c r="F357" s="25" t="n">
        <v>60500</v>
      </c>
      <c r="G357" s="24" t="n">
        <v>52800</v>
      </c>
      <c r="H357" s="17" t="inlineStr">
        <is>
          <t>increasing</t>
        </is>
      </c>
      <c r="I357" s="21" t="inlineStr">
        <is>
          <t>5.9%</t>
        </is>
      </c>
      <c r="J357" s="17" t="n">
        <v>0.8</v>
      </c>
      <c r="K357" s="17" t="inlineStr">
        <is>
          <t>standard</t>
        </is>
      </c>
    </row>
    <row r="358">
      <c r="A358" s="15" t="inlineStr">
        <is>
          <t>7535</t>
        </is>
      </c>
      <c r="B358" s="16" t="inlineStr">
        <is>
          <t>Pelt Dressers, Tanners and Fellmongers</t>
        </is>
      </c>
      <c r="C358" s="16" t="inlineStr">
        <is>
          <t>모빌리티 / 자율주행 / 로보틱스</t>
        </is>
      </c>
      <c r="D358" s="22" t="n">
        <v>41800000</v>
      </c>
      <c r="E358" s="22" t="n">
        <v>63800000</v>
      </c>
      <c r="F358" s="23" t="n">
        <v>60500</v>
      </c>
      <c r="G358" s="22" t="n">
        <v>52800</v>
      </c>
      <c r="H358" s="15" t="inlineStr">
        <is>
          <t>increasing</t>
        </is>
      </c>
      <c r="I358" s="20" t="inlineStr">
        <is>
          <t>5.9%</t>
        </is>
      </c>
      <c r="J358" s="15" t="n">
        <v>0.87</v>
      </c>
      <c r="K358" s="15" t="inlineStr">
        <is>
          <t>standard</t>
        </is>
      </c>
    </row>
    <row r="359">
      <c r="A359" s="17" t="inlineStr">
        <is>
          <t>7536</t>
        </is>
      </c>
      <c r="B359" s="18" t="inlineStr">
        <is>
          <t>Shoemakers and Related Workers</t>
        </is>
      </c>
      <c r="C359" s="18" t="inlineStr">
        <is>
          <t>모빌리티 / 자율주행 / 로보틱스</t>
        </is>
      </c>
      <c r="D359" s="24" t="n">
        <v>41800000</v>
      </c>
      <c r="E359" s="24" t="n">
        <v>63800000</v>
      </c>
      <c r="F359" s="25" t="n">
        <v>60500</v>
      </c>
      <c r="G359" s="24" t="n">
        <v>52800</v>
      </c>
      <c r="H359" s="17" t="inlineStr">
        <is>
          <t>increasing</t>
        </is>
      </c>
      <c r="I359" s="21" t="inlineStr">
        <is>
          <t>5.9%</t>
        </is>
      </c>
      <c r="J359" s="17" t="n">
        <v>0.71</v>
      </c>
      <c r="K359" s="17" t="inlineStr">
        <is>
          <t>standard</t>
        </is>
      </c>
    </row>
    <row r="360">
      <c r="A360" s="15" t="inlineStr">
        <is>
          <t>7541</t>
        </is>
      </c>
      <c r="B360" s="16" t="inlineStr">
        <is>
          <t>Underwater Divers</t>
        </is>
      </c>
      <c r="C360" s="16" t="inlineStr">
        <is>
          <t>모빌리티 / 자율주행 / 로보틱스</t>
        </is>
      </c>
      <c r="D360" s="22" t="n">
        <v>41800000</v>
      </c>
      <c r="E360" s="22" t="n">
        <v>63800000</v>
      </c>
      <c r="F360" s="23" t="n">
        <v>60500</v>
      </c>
      <c r="G360" s="22" t="n">
        <v>52800</v>
      </c>
      <c r="H360" s="15" t="inlineStr">
        <is>
          <t>increasing</t>
        </is>
      </c>
      <c r="I360" s="20" t="inlineStr">
        <is>
          <t>5.9%</t>
        </is>
      </c>
      <c r="J360" s="15" t="n">
        <v>0.93</v>
      </c>
      <c r="K360" s="15" t="inlineStr">
        <is>
          <t>standard</t>
        </is>
      </c>
    </row>
    <row r="361">
      <c r="A361" s="17" t="inlineStr">
        <is>
          <t>7542</t>
        </is>
      </c>
      <c r="B361" s="18" t="inlineStr">
        <is>
          <t>Shotfirers and Blasters</t>
        </is>
      </c>
      <c r="C361" s="18" t="inlineStr">
        <is>
          <t>모빌리티 / 자율주행 / 로보틱스</t>
        </is>
      </c>
      <c r="D361" s="24" t="n">
        <v>41800000</v>
      </c>
      <c r="E361" s="24" t="n">
        <v>63800000</v>
      </c>
      <c r="F361" s="25" t="n">
        <v>60500</v>
      </c>
      <c r="G361" s="24" t="n">
        <v>52800</v>
      </c>
      <c r="H361" s="17" t="inlineStr">
        <is>
          <t>increasing</t>
        </is>
      </c>
      <c r="I361" s="21" t="inlineStr">
        <is>
          <t>5.9%</t>
        </is>
      </c>
      <c r="J361" s="17" t="n">
        <v>0.79</v>
      </c>
      <c r="K361" s="17" t="inlineStr">
        <is>
          <t>standard</t>
        </is>
      </c>
    </row>
    <row r="362">
      <c r="A362" s="15" t="inlineStr">
        <is>
          <t>7543</t>
        </is>
      </c>
      <c r="B362" s="16" t="inlineStr">
        <is>
          <t>Product Graders and Testers (except Foods and Beverages)</t>
        </is>
      </c>
      <c r="C362" s="16" t="inlineStr">
        <is>
          <t>모빌리티 / 자율주행 / 로보틱스</t>
        </is>
      </c>
      <c r="D362" s="22" t="n">
        <v>41800000</v>
      </c>
      <c r="E362" s="22" t="n">
        <v>63800000</v>
      </c>
      <c r="F362" s="23" t="n">
        <v>60500</v>
      </c>
      <c r="G362" s="22" t="n">
        <v>52800</v>
      </c>
      <c r="H362" s="15" t="inlineStr">
        <is>
          <t>increasing</t>
        </is>
      </c>
      <c r="I362" s="20" t="inlineStr">
        <is>
          <t>5.9%</t>
        </is>
      </c>
      <c r="J362" s="15" t="n">
        <v>0.79</v>
      </c>
      <c r="K362" s="15" t="inlineStr">
        <is>
          <t>standard</t>
        </is>
      </c>
    </row>
    <row r="363">
      <c r="A363" s="17" t="inlineStr">
        <is>
          <t>7544</t>
        </is>
      </c>
      <c r="B363" s="18" t="inlineStr">
        <is>
          <t>Fumigators and Other Pest and Weed Controllers</t>
        </is>
      </c>
      <c r="C363" s="18" t="inlineStr">
        <is>
          <t>모빌리티 / 자율주행 / 로보틱스</t>
        </is>
      </c>
      <c r="D363" s="24" t="n">
        <v>41800000</v>
      </c>
      <c r="E363" s="24" t="n">
        <v>63800000</v>
      </c>
      <c r="F363" s="25" t="n">
        <v>60500</v>
      </c>
      <c r="G363" s="24" t="n">
        <v>52800</v>
      </c>
      <c r="H363" s="17" t="inlineStr">
        <is>
          <t>increasing</t>
        </is>
      </c>
      <c r="I363" s="21" t="inlineStr">
        <is>
          <t>5.9%</t>
        </is>
      </c>
      <c r="J363" s="17" t="n">
        <v>0.7</v>
      </c>
      <c r="K363" s="17" t="inlineStr">
        <is>
          <t>standard</t>
        </is>
      </c>
    </row>
    <row r="364">
      <c r="A364" s="15" t="inlineStr">
        <is>
          <t>7549</t>
        </is>
      </c>
      <c r="B364" s="16" t="inlineStr">
        <is>
          <t>Craft and Related Workers not Elsewhere Classified</t>
        </is>
      </c>
      <c r="C364" s="16" t="inlineStr">
        <is>
          <t>모빌리티 / 자율주행 / 로보틱스</t>
        </is>
      </c>
      <c r="D364" s="22" t="n">
        <v>41800000</v>
      </c>
      <c r="E364" s="22" t="n">
        <v>63800000</v>
      </c>
      <c r="F364" s="23" t="n">
        <v>60500</v>
      </c>
      <c r="G364" s="22" t="n">
        <v>52800</v>
      </c>
      <c r="H364" s="15" t="inlineStr">
        <is>
          <t>increasing</t>
        </is>
      </c>
      <c r="I364" s="20" t="inlineStr">
        <is>
          <t>5.9%</t>
        </is>
      </c>
      <c r="J364" s="15" t="n">
        <v>1</v>
      </c>
      <c r="K364" s="15" t="inlineStr">
        <is>
          <t>standard</t>
        </is>
      </c>
    </row>
    <row r="365">
      <c r="A365" s="17" t="inlineStr">
        <is>
          <t>8111</t>
        </is>
      </c>
      <c r="B365" s="18" t="inlineStr">
        <is>
          <t>Miners and Quarriers</t>
        </is>
      </c>
      <c r="C365" s="18" t="inlineStr">
        <is>
          <t>배터리 / 신소재 / 에너지</t>
        </is>
      </c>
      <c r="D365" s="24" t="n">
        <v>41800000</v>
      </c>
      <c r="E365" s="24" t="n">
        <v>63800000</v>
      </c>
      <c r="F365" s="25" t="n">
        <v>60500</v>
      </c>
      <c r="G365" s="24" t="n">
        <v>52800</v>
      </c>
      <c r="H365" s="17" t="inlineStr">
        <is>
          <t>increasing</t>
        </is>
      </c>
      <c r="I365" s="21" t="inlineStr">
        <is>
          <t>5.9%</t>
        </is>
      </c>
      <c r="J365" s="17" t="n">
        <v>0.5</v>
      </c>
      <c r="K365" s="17" t="inlineStr">
        <is>
          <t>standard</t>
        </is>
      </c>
    </row>
    <row r="366">
      <c r="A366" s="15" t="inlineStr">
        <is>
          <t>8112</t>
        </is>
      </c>
      <c r="B366" s="16" t="inlineStr">
        <is>
          <t>Mineral and Stone Processing Plant Operators</t>
        </is>
      </c>
      <c r="C366" s="16" t="inlineStr">
        <is>
          <t>배터리 / 신소재 / 에너지</t>
        </is>
      </c>
      <c r="D366" s="22" t="n">
        <v>41800000</v>
      </c>
      <c r="E366" s="22" t="n">
        <v>63800000</v>
      </c>
      <c r="F366" s="23" t="n">
        <v>60500</v>
      </c>
      <c r="G366" s="22" t="n">
        <v>52800</v>
      </c>
      <c r="H366" s="15" t="inlineStr">
        <is>
          <t>increasing</t>
        </is>
      </c>
      <c r="I366" s="20" t="inlineStr">
        <is>
          <t>5.9%</t>
        </is>
      </c>
      <c r="J366" s="15" t="n">
        <v>0.57</v>
      </c>
      <c r="K366" s="15" t="inlineStr">
        <is>
          <t>standard</t>
        </is>
      </c>
    </row>
    <row r="367">
      <c r="A367" s="17" t="inlineStr">
        <is>
          <t>8113</t>
        </is>
      </c>
      <c r="B367" s="18" t="inlineStr">
        <is>
          <t>Well Drillers and Borers and Related Workers</t>
        </is>
      </c>
      <c r="C367" s="18" t="inlineStr">
        <is>
          <t>배터리 / 신소재 / 에너지</t>
        </is>
      </c>
      <c r="D367" s="24" t="n">
        <v>41800000</v>
      </c>
      <c r="E367" s="24" t="n">
        <v>63800000</v>
      </c>
      <c r="F367" s="25" t="n">
        <v>60500</v>
      </c>
      <c r="G367" s="24" t="n">
        <v>52800</v>
      </c>
      <c r="H367" s="17" t="inlineStr">
        <is>
          <t>increasing</t>
        </is>
      </c>
      <c r="I367" s="21" t="inlineStr">
        <is>
          <t>5.9%</t>
        </is>
      </c>
      <c r="J367" s="17" t="n">
        <v>0.62</v>
      </c>
      <c r="K367" s="17" t="inlineStr">
        <is>
          <t>standard</t>
        </is>
      </c>
    </row>
    <row r="368">
      <c r="A368" s="15" t="inlineStr">
        <is>
          <t>8114</t>
        </is>
      </c>
      <c r="B368" s="16" t="inlineStr">
        <is>
          <t>Cement, Stone and Other Mineral Products Machine Operators</t>
        </is>
      </c>
      <c r="C368" s="16" t="inlineStr">
        <is>
          <t>배터리 / 신소재 / 에너지</t>
        </is>
      </c>
      <c r="D368" s="22" t="n">
        <v>41800000</v>
      </c>
      <c r="E368" s="22" t="n">
        <v>63800000</v>
      </c>
      <c r="F368" s="23" t="n">
        <v>60500</v>
      </c>
      <c r="G368" s="22" t="n">
        <v>52800</v>
      </c>
      <c r="H368" s="15" t="inlineStr">
        <is>
          <t>increasing</t>
        </is>
      </c>
      <c r="I368" s="20" t="inlineStr">
        <is>
          <t>5.9%</t>
        </is>
      </c>
      <c r="J368" s="15" t="n">
        <v>0.5600000000000001</v>
      </c>
      <c r="K368" s="15" t="inlineStr">
        <is>
          <t>standard</t>
        </is>
      </c>
    </row>
    <row r="369">
      <c r="A369" s="17" t="inlineStr">
        <is>
          <t>8121</t>
        </is>
      </c>
      <c r="B369" s="18" t="inlineStr">
        <is>
          <t>Metal Processing Plant Operators</t>
        </is>
      </c>
      <c r="C369" s="18" t="inlineStr">
        <is>
          <t>배터리 / 신소재 / 에너지</t>
        </is>
      </c>
      <c r="D369" s="24" t="n">
        <v>41800000</v>
      </c>
      <c r="E369" s="24" t="n">
        <v>63800000</v>
      </c>
      <c r="F369" s="25" t="n">
        <v>60500</v>
      </c>
      <c r="G369" s="24" t="n">
        <v>52800</v>
      </c>
      <c r="H369" s="17" t="inlineStr">
        <is>
          <t>increasing</t>
        </is>
      </c>
      <c r="I369" s="21" t="inlineStr">
        <is>
          <t>5.9%</t>
        </is>
      </c>
      <c r="J369" s="17" t="n">
        <v>0.92</v>
      </c>
      <c r="K369" s="17" t="inlineStr">
        <is>
          <t>standard</t>
        </is>
      </c>
    </row>
    <row r="370">
      <c r="A370" s="15" t="inlineStr">
        <is>
          <t>8122</t>
        </is>
      </c>
      <c r="B370" s="16" t="inlineStr">
        <is>
          <t>Metal Finishing, Plating and Coating Machine Operators</t>
        </is>
      </c>
      <c r="C370" s="16" t="inlineStr">
        <is>
          <t>배터리 / 신소재 / 에너지</t>
        </is>
      </c>
      <c r="D370" s="22" t="n">
        <v>41800000</v>
      </c>
      <c r="E370" s="22" t="n">
        <v>63800000</v>
      </c>
      <c r="F370" s="23" t="n">
        <v>60500</v>
      </c>
      <c r="G370" s="22" t="n">
        <v>52800</v>
      </c>
      <c r="H370" s="15" t="inlineStr">
        <is>
          <t>increasing</t>
        </is>
      </c>
      <c r="I370" s="20" t="inlineStr">
        <is>
          <t>5.9%</t>
        </is>
      </c>
      <c r="J370" s="15" t="n">
        <v>0.62</v>
      </c>
      <c r="K370" s="15" t="inlineStr">
        <is>
          <t>standard</t>
        </is>
      </c>
    </row>
    <row r="371">
      <c r="A371" s="17" t="inlineStr">
        <is>
          <t>8131</t>
        </is>
      </c>
      <c r="B371" s="18" t="inlineStr">
        <is>
          <t>Chemical Products Plant and Machine Operators</t>
        </is>
      </c>
      <c r="C371" s="18" t="inlineStr">
        <is>
          <t>배터리 / 신소재 / 에너지</t>
        </is>
      </c>
      <c r="D371" s="24" t="n">
        <v>41800000</v>
      </c>
      <c r="E371" s="24" t="n">
        <v>63800000</v>
      </c>
      <c r="F371" s="25" t="n">
        <v>60500</v>
      </c>
      <c r="G371" s="24" t="n">
        <v>52800</v>
      </c>
      <c r="H371" s="17" t="inlineStr">
        <is>
          <t>increasing</t>
        </is>
      </c>
      <c r="I371" s="21" t="inlineStr">
        <is>
          <t>5.9%</t>
        </is>
      </c>
      <c r="J371" s="17" t="n">
        <v>0.7</v>
      </c>
      <c r="K371" s="17" t="inlineStr">
        <is>
          <t>standard</t>
        </is>
      </c>
    </row>
    <row r="372">
      <c r="A372" s="15" t="inlineStr">
        <is>
          <t>8132</t>
        </is>
      </c>
      <c r="B372" s="16" t="inlineStr">
        <is>
          <t>Photographic Products Machine Operators</t>
        </is>
      </c>
      <c r="C372" s="16" t="inlineStr">
        <is>
          <t>배터리 / 신소재 / 에너지</t>
        </is>
      </c>
      <c r="D372" s="22" t="n">
        <v>41800000</v>
      </c>
      <c r="E372" s="22" t="n">
        <v>63800000</v>
      </c>
      <c r="F372" s="23" t="n">
        <v>60500</v>
      </c>
      <c r="G372" s="22" t="n">
        <v>52800</v>
      </c>
      <c r="H372" s="15" t="inlineStr">
        <is>
          <t>increasing</t>
        </is>
      </c>
      <c r="I372" s="20" t="inlineStr">
        <is>
          <t>5.9%</t>
        </is>
      </c>
      <c r="J372" s="15" t="n">
        <v>0.55</v>
      </c>
      <c r="K372" s="15" t="inlineStr">
        <is>
          <t>standard</t>
        </is>
      </c>
    </row>
    <row r="373">
      <c r="A373" s="17" t="inlineStr">
        <is>
          <t>8141</t>
        </is>
      </c>
      <c r="B373" s="18" t="inlineStr">
        <is>
          <t>Rubber Products Machine Operators</t>
        </is>
      </c>
      <c r="C373" s="18" t="inlineStr">
        <is>
          <t>배터리 / 신소재 / 에너지</t>
        </is>
      </c>
      <c r="D373" s="24" t="n">
        <v>41800000</v>
      </c>
      <c r="E373" s="24" t="n">
        <v>63800000</v>
      </c>
      <c r="F373" s="25" t="n">
        <v>60500</v>
      </c>
      <c r="G373" s="24" t="n">
        <v>52800</v>
      </c>
      <c r="H373" s="17" t="inlineStr">
        <is>
          <t>increasing</t>
        </is>
      </c>
      <c r="I373" s="21" t="inlineStr">
        <is>
          <t>5.9%</t>
        </is>
      </c>
      <c r="J373" s="17" t="n">
        <v>0.45</v>
      </c>
      <c r="K373" s="17" t="inlineStr">
        <is>
          <t>standard</t>
        </is>
      </c>
    </row>
    <row r="374">
      <c r="A374" s="15" t="inlineStr">
        <is>
          <t>8142</t>
        </is>
      </c>
      <c r="B374" s="16" t="inlineStr">
        <is>
          <t>Plastic Products Machine Operators</t>
        </is>
      </c>
      <c r="C374" s="16" t="inlineStr">
        <is>
          <t>배터리 / 신소재 / 에너지</t>
        </is>
      </c>
      <c r="D374" s="22" t="n">
        <v>41800000</v>
      </c>
      <c r="E374" s="22" t="n">
        <v>63800000</v>
      </c>
      <c r="F374" s="23" t="n">
        <v>60500</v>
      </c>
      <c r="G374" s="22" t="n">
        <v>52800</v>
      </c>
      <c r="H374" s="15" t="inlineStr">
        <is>
          <t>increasing</t>
        </is>
      </c>
      <c r="I374" s="20" t="inlineStr">
        <is>
          <t>5.9%</t>
        </is>
      </c>
      <c r="J374" s="15" t="n">
        <v>0.55</v>
      </c>
      <c r="K374" s="15" t="inlineStr">
        <is>
          <t>standard</t>
        </is>
      </c>
    </row>
    <row r="375">
      <c r="A375" s="17" t="inlineStr">
        <is>
          <t>8143</t>
        </is>
      </c>
      <c r="B375" s="18" t="inlineStr">
        <is>
          <t>Paper Products Machine Operators</t>
        </is>
      </c>
      <c r="C375" s="18" t="inlineStr">
        <is>
          <t>배터리 / 신소재 / 에너지</t>
        </is>
      </c>
      <c r="D375" s="24" t="n">
        <v>41800000</v>
      </c>
      <c r="E375" s="24" t="n">
        <v>63800000</v>
      </c>
      <c r="F375" s="25" t="n">
        <v>60500</v>
      </c>
      <c r="G375" s="24" t="n">
        <v>52800</v>
      </c>
      <c r="H375" s="17" t="inlineStr">
        <is>
          <t>increasing</t>
        </is>
      </c>
      <c r="I375" s="21" t="inlineStr">
        <is>
          <t>5.9%</t>
        </is>
      </c>
      <c r="J375" s="17" t="n">
        <v>0.5</v>
      </c>
      <c r="K375" s="17" t="inlineStr">
        <is>
          <t>standard</t>
        </is>
      </c>
    </row>
    <row r="376">
      <c r="A376" s="15" t="inlineStr">
        <is>
          <t>8151</t>
        </is>
      </c>
      <c r="B376" s="16" t="inlineStr">
        <is>
          <t>Fibre Preparing, Spinning and Winding Machine Operators</t>
        </is>
      </c>
      <c r="C376" s="16" t="inlineStr">
        <is>
          <t>배터리 / 신소재 / 에너지</t>
        </is>
      </c>
      <c r="D376" s="22" t="n">
        <v>41800000</v>
      </c>
      <c r="E376" s="22" t="n">
        <v>63800000</v>
      </c>
      <c r="F376" s="23" t="n">
        <v>60500</v>
      </c>
      <c r="G376" s="22" t="n">
        <v>52800</v>
      </c>
      <c r="H376" s="15" t="inlineStr">
        <is>
          <t>increasing</t>
        </is>
      </c>
      <c r="I376" s="20" t="inlineStr">
        <is>
          <t>5.9%</t>
        </is>
      </c>
      <c r="J376" s="15" t="n">
        <v>0.42</v>
      </c>
      <c r="K376" s="15" t="inlineStr">
        <is>
          <t>standard</t>
        </is>
      </c>
    </row>
    <row r="377">
      <c r="A377" s="17" t="inlineStr">
        <is>
          <t>8152</t>
        </is>
      </c>
      <c r="B377" s="18" t="inlineStr">
        <is>
          <t>Weaving and Knitting Machine Operators</t>
        </is>
      </c>
      <c r="C377" s="18" t="inlineStr">
        <is>
          <t>배터리 / 신소재 / 에너지</t>
        </is>
      </c>
      <c r="D377" s="24" t="n">
        <v>41800000</v>
      </c>
      <c r="E377" s="24" t="n">
        <v>63800000</v>
      </c>
      <c r="F377" s="25" t="n">
        <v>60500</v>
      </c>
      <c r="G377" s="24" t="n">
        <v>52800</v>
      </c>
      <c r="H377" s="17" t="inlineStr">
        <is>
          <t>increasing</t>
        </is>
      </c>
      <c r="I377" s="21" t="inlineStr">
        <is>
          <t>5.9%</t>
        </is>
      </c>
      <c r="J377" s="17" t="n">
        <v>0.5</v>
      </c>
      <c r="K377" s="17" t="inlineStr">
        <is>
          <t>standard</t>
        </is>
      </c>
    </row>
    <row r="378">
      <c r="A378" s="15" t="inlineStr">
        <is>
          <t>8153</t>
        </is>
      </c>
      <c r="B378" s="16" t="inlineStr">
        <is>
          <t>Sewing Machine Operators</t>
        </is>
      </c>
      <c r="C378" s="16" t="inlineStr">
        <is>
          <t>배터리 / 신소재 / 에너지</t>
        </is>
      </c>
      <c r="D378" s="22" t="n">
        <v>41800000</v>
      </c>
      <c r="E378" s="22" t="n">
        <v>63800000</v>
      </c>
      <c r="F378" s="23" t="n">
        <v>60500</v>
      </c>
      <c r="G378" s="22" t="n">
        <v>52800</v>
      </c>
      <c r="H378" s="15" t="inlineStr">
        <is>
          <t>increasing</t>
        </is>
      </c>
      <c r="I378" s="20" t="inlineStr">
        <is>
          <t>5.9%</t>
        </is>
      </c>
      <c r="J378" s="15" t="n">
        <v>0.5</v>
      </c>
      <c r="K378" s="15" t="inlineStr">
        <is>
          <t>standard</t>
        </is>
      </c>
    </row>
    <row r="379">
      <c r="A379" s="17" t="inlineStr">
        <is>
          <t>8154</t>
        </is>
      </c>
      <c r="B379" s="18" t="inlineStr">
        <is>
          <t>Bleaching, Dyeing and Fabric Cleaning Machine Operators</t>
        </is>
      </c>
      <c r="C379" s="18" t="inlineStr">
        <is>
          <t>배터리 / 신소재 / 에너지</t>
        </is>
      </c>
      <c r="D379" s="24" t="n">
        <v>41800000</v>
      </c>
      <c r="E379" s="24" t="n">
        <v>63800000</v>
      </c>
      <c r="F379" s="25" t="n">
        <v>60500</v>
      </c>
      <c r="G379" s="24" t="n">
        <v>52800</v>
      </c>
      <c r="H379" s="17" t="inlineStr">
        <is>
          <t>increasing</t>
        </is>
      </c>
      <c r="I379" s="21" t="inlineStr">
        <is>
          <t>5.9%</t>
        </is>
      </c>
      <c r="J379" s="17" t="n">
        <v>0.6899999999999999</v>
      </c>
      <c r="K379" s="17" t="inlineStr">
        <is>
          <t>standard</t>
        </is>
      </c>
    </row>
    <row r="380">
      <c r="A380" s="15" t="inlineStr">
        <is>
          <t>8155</t>
        </is>
      </c>
      <c r="B380" s="16" t="inlineStr">
        <is>
          <t>Fur and Leather Preparing Machine Operators</t>
        </is>
      </c>
      <c r="C380" s="16" t="inlineStr">
        <is>
          <t>배터리 / 신소재 / 에너지</t>
        </is>
      </c>
      <c r="D380" s="22" t="n">
        <v>41800000</v>
      </c>
      <c r="E380" s="22" t="n">
        <v>63800000</v>
      </c>
      <c r="F380" s="23" t="n">
        <v>60500</v>
      </c>
      <c r="G380" s="22" t="n">
        <v>52800</v>
      </c>
      <c r="H380" s="15" t="inlineStr">
        <is>
          <t>increasing</t>
        </is>
      </c>
      <c r="I380" s="20" t="inlineStr">
        <is>
          <t>5.9%</t>
        </is>
      </c>
      <c r="J380" s="15" t="n">
        <v>0.45</v>
      </c>
      <c r="K380" s="15" t="inlineStr">
        <is>
          <t>standard</t>
        </is>
      </c>
    </row>
    <row r="381">
      <c r="A381" s="17" t="inlineStr">
        <is>
          <t>8156</t>
        </is>
      </c>
      <c r="B381" s="18" t="inlineStr">
        <is>
          <t>Shoemaking and Related Machine Operators</t>
        </is>
      </c>
      <c r="C381" s="18" t="inlineStr">
        <is>
          <t>배터리 / 신소재 / 에너지</t>
        </is>
      </c>
      <c r="D381" s="24" t="n">
        <v>41800000</v>
      </c>
      <c r="E381" s="24" t="n">
        <v>63800000</v>
      </c>
      <c r="F381" s="25" t="n">
        <v>60500</v>
      </c>
      <c r="G381" s="24" t="n">
        <v>52800</v>
      </c>
      <c r="H381" s="17" t="inlineStr">
        <is>
          <t>increasing</t>
        </is>
      </c>
      <c r="I381" s="21" t="inlineStr">
        <is>
          <t>5.9%</t>
        </is>
      </c>
      <c r="J381" s="17" t="n">
        <v>0.5</v>
      </c>
      <c r="K381" s="17" t="inlineStr">
        <is>
          <t>standard</t>
        </is>
      </c>
    </row>
    <row r="382">
      <c r="A382" s="15" t="inlineStr">
        <is>
          <t>8157</t>
        </is>
      </c>
      <c r="B382" s="16" t="inlineStr">
        <is>
          <t>Laundry Machine Operators</t>
        </is>
      </c>
      <c r="C382" s="16" t="inlineStr">
        <is>
          <t>배터리 / 신소재 / 에너지</t>
        </is>
      </c>
      <c r="D382" s="22" t="n">
        <v>41800000</v>
      </c>
      <c r="E382" s="22" t="n">
        <v>63800000</v>
      </c>
      <c r="F382" s="23" t="n">
        <v>60500</v>
      </c>
      <c r="G382" s="22" t="n">
        <v>52800</v>
      </c>
      <c r="H382" s="15" t="inlineStr">
        <is>
          <t>increasing</t>
        </is>
      </c>
      <c r="I382" s="20" t="inlineStr">
        <is>
          <t>5.9%</t>
        </is>
      </c>
      <c r="J382" s="15" t="n">
        <v>0.8</v>
      </c>
      <c r="K382" s="15" t="inlineStr">
        <is>
          <t>standard</t>
        </is>
      </c>
    </row>
    <row r="383">
      <c r="A383" s="17" t="inlineStr">
        <is>
          <t>8159</t>
        </is>
      </c>
      <c r="B383" s="18" t="inlineStr">
        <is>
          <t>Textile, Fur and Leather Products Machine Operators Not Elsewhere Classified</t>
        </is>
      </c>
      <c r="C383" s="18" t="inlineStr">
        <is>
          <t>배터리 / 신소재 / 에너지</t>
        </is>
      </c>
      <c r="D383" s="24" t="n">
        <v>41800000</v>
      </c>
      <c r="E383" s="24" t="n">
        <v>63800000</v>
      </c>
      <c r="F383" s="25" t="n">
        <v>60500</v>
      </c>
      <c r="G383" s="24" t="n">
        <v>52800</v>
      </c>
      <c r="H383" s="17" t="inlineStr">
        <is>
          <t>increasing</t>
        </is>
      </c>
      <c r="I383" s="21" t="inlineStr">
        <is>
          <t>5.9%</t>
        </is>
      </c>
      <c r="J383" s="17" t="n">
        <v>0.5</v>
      </c>
      <c r="K383" s="17" t="inlineStr">
        <is>
          <t>standard</t>
        </is>
      </c>
    </row>
    <row r="384">
      <c r="A384" s="15" t="inlineStr">
        <is>
          <t>8160</t>
        </is>
      </c>
      <c r="B384" s="16" t="inlineStr">
        <is>
          <t>Food and Related Products Machine Operators</t>
        </is>
      </c>
      <c r="C384" s="16" t="inlineStr">
        <is>
          <t>배터리 / 신소재 / 에너지</t>
        </is>
      </c>
      <c r="D384" s="22" t="n">
        <v>41800000</v>
      </c>
      <c r="E384" s="22" t="n">
        <v>63800000</v>
      </c>
      <c r="F384" s="23" t="n">
        <v>60500</v>
      </c>
      <c r="G384" s="22" t="n">
        <v>52800</v>
      </c>
      <c r="H384" s="15" t="inlineStr">
        <is>
          <t>increasing</t>
        </is>
      </c>
      <c r="I384" s="20" t="inlineStr">
        <is>
          <t>5.9%</t>
        </is>
      </c>
      <c r="J384" s="15" t="n">
        <v>0.62</v>
      </c>
      <c r="K384" s="15" t="inlineStr">
        <is>
          <t>standard</t>
        </is>
      </c>
    </row>
    <row r="385">
      <c r="A385" s="17" t="inlineStr">
        <is>
          <t>8171</t>
        </is>
      </c>
      <c r="B385" s="18" t="inlineStr">
        <is>
          <t>Pulp and Papermaking Plant Operators</t>
        </is>
      </c>
      <c r="C385" s="18" t="inlineStr">
        <is>
          <t>배터리 / 신소재 / 에너지</t>
        </is>
      </c>
      <c r="D385" s="24" t="n">
        <v>41800000</v>
      </c>
      <c r="E385" s="24" t="n">
        <v>63800000</v>
      </c>
      <c r="F385" s="25" t="n">
        <v>60500</v>
      </c>
      <c r="G385" s="24" t="n">
        <v>52800</v>
      </c>
      <c r="H385" s="17" t="inlineStr">
        <is>
          <t>increasing</t>
        </is>
      </c>
      <c r="I385" s="21" t="inlineStr">
        <is>
          <t>5.9%</t>
        </is>
      </c>
      <c r="J385" s="17" t="n">
        <v>0.79</v>
      </c>
      <c r="K385" s="17" t="inlineStr">
        <is>
          <t>standard</t>
        </is>
      </c>
    </row>
    <row r="386">
      <c r="A386" s="15" t="inlineStr">
        <is>
          <t>8172</t>
        </is>
      </c>
      <c r="B386" s="16" t="inlineStr">
        <is>
          <t>Wood Processing Plant Operators</t>
        </is>
      </c>
      <c r="C386" s="16" t="inlineStr">
        <is>
          <t>배터리 / 신소재 / 에너지</t>
        </is>
      </c>
      <c r="D386" s="22" t="n">
        <v>41800000</v>
      </c>
      <c r="E386" s="22" t="n">
        <v>63800000</v>
      </c>
      <c r="F386" s="23" t="n">
        <v>60500</v>
      </c>
      <c r="G386" s="22" t="n">
        <v>52800</v>
      </c>
      <c r="H386" s="15" t="inlineStr">
        <is>
          <t>increasing</t>
        </is>
      </c>
      <c r="I386" s="20" t="inlineStr">
        <is>
          <t>5.9%</t>
        </is>
      </c>
      <c r="J386" s="15" t="n">
        <v>0.38</v>
      </c>
      <c r="K386" s="15" t="inlineStr">
        <is>
          <t>standard</t>
        </is>
      </c>
    </row>
    <row r="387">
      <c r="A387" s="17" t="inlineStr">
        <is>
          <t>8181</t>
        </is>
      </c>
      <c r="B387" s="18" t="inlineStr">
        <is>
          <t>Glass and Ceramics Plant Operators</t>
        </is>
      </c>
      <c r="C387" s="18" t="inlineStr">
        <is>
          <t>배터리 / 신소재 / 에너지</t>
        </is>
      </c>
      <c r="D387" s="24" t="n">
        <v>41800000</v>
      </c>
      <c r="E387" s="24" t="n">
        <v>63800000</v>
      </c>
      <c r="F387" s="25" t="n">
        <v>60500</v>
      </c>
      <c r="G387" s="24" t="n">
        <v>52800</v>
      </c>
      <c r="H387" s="17" t="inlineStr">
        <is>
          <t>increasing</t>
        </is>
      </c>
      <c r="I387" s="21" t="inlineStr">
        <is>
          <t>5.9%</t>
        </is>
      </c>
      <c r="J387" s="17" t="n">
        <v>0.48</v>
      </c>
      <c r="K387" s="17" t="inlineStr">
        <is>
          <t>standard</t>
        </is>
      </c>
    </row>
    <row r="388">
      <c r="A388" s="15" t="inlineStr">
        <is>
          <t>8182</t>
        </is>
      </c>
      <c r="B388" s="16" t="inlineStr">
        <is>
          <t>Steam Engine and Boiler Operators</t>
        </is>
      </c>
      <c r="C388" s="16" t="inlineStr">
        <is>
          <t>배터리 / 신소재 / 에너지</t>
        </is>
      </c>
      <c r="D388" s="22" t="n">
        <v>41800000</v>
      </c>
      <c r="E388" s="22" t="n">
        <v>63800000</v>
      </c>
      <c r="F388" s="23" t="n">
        <v>60500</v>
      </c>
      <c r="G388" s="22" t="n">
        <v>52800</v>
      </c>
      <c r="H388" s="15" t="inlineStr">
        <is>
          <t>increasing</t>
        </is>
      </c>
      <c r="I388" s="20" t="inlineStr">
        <is>
          <t>5.9%</t>
        </is>
      </c>
      <c r="J388" s="15" t="n">
        <v>0.73</v>
      </c>
      <c r="K388" s="15" t="inlineStr">
        <is>
          <t>standard</t>
        </is>
      </c>
    </row>
    <row r="389">
      <c r="A389" s="17" t="inlineStr">
        <is>
          <t>8183</t>
        </is>
      </c>
      <c r="B389" s="18" t="inlineStr">
        <is>
          <t>Packing, Bottling and Labelling Machine Operators</t>
        </is>
      </c>
      <c r="C389" s="18" t="inlineStr">
        <is>
          <t>배터리 / 신소재 / 에너지</t>
        </is>
      </c>
      <c r="D389" s="24" t="n">
        <v>41800000</v>
      </c>
      <c r="E389" s="24" t="n">
        <v>63800000</v>
      </c>
      <c r="F389" s="25" t="n">
        <v>60500</v>
      </c>
      <c r="G389" s="24" t="n">
        <v>52800</v>
      </c>
      <c r="H389" s="17" t="inlineStr">
        <is>
          <t>increasing</t>
        </is>
      </c>
      <c r="I389" s="21" t="inlineStr">
        <is>
          <t>5.9%</t>
        </is>
      </c>
      <c r="J389" s="17" t="n">
        <v>0.5</v>
      </c>
      <c r="K389" s="17" t="inlineStr">
        <is>
          <t>standard</t>
        </is>
      </c>
    </row>
    <row r="390">
      <c r="A390" s="15" t="inlineStr">
        <is>
          <t>8189</t>
        </is>
      </c>
      <c r="B390" s="16" t="inlineStr">
        <is>
          <t>Stationary Plant and Machine Operators Not Elsewhere Classified</t>
        </is>
      </c>
      <c r="C390" s="16" t="inlineStr">
        <is>
          <t>배터리 / 신소재 / 에너지</t>
        </is>
      </c>
      <c r="D390" s="22" t="n">
        <v>41800000</v>
      </c>
      <c r="E390" s="22" t="n">
        <v>63800000</v>
      </c>
      <c r="F390" s="23" t="n">
        <v>60500</v>
      </c>
      <c r="G390" s="22" t="n">
        <v>52800</v>
      </c>
      <c r="H390" s="15" t="inlineStr">
        <is>
          <t>increasing</t>
        </is>
      </c>
      <c r="I390" s="20" t="inlineStr">
        <is>
          <t>5.9%</t>
        </is>
      </c>
      <c r="J390" s="15" t="n">
        <v>0.65</v>
      </c>
      <c r="K390" s="15" t="inlineStr">
        <is>
          <t>standard</t>
        </is>
      </c>
    </row>
    <row r="391">
      <c r="A391" s="17" t="inlineStr">
        <is>
          <t>8211</t>
        </is>
      </c>
      <c r="B391" s="18" t="inlineStr">
        <is>
          <t>Mechanical Machinery Assemblers</t>
        </is>
      </c>
      <c r="C391" s="18" t="inlineStr">
        <is>
          <t>배터리 / 신소재 / 에너지</t>
        </is>
      </c>
      <c r="D391" s="24" t="n">
        <v>41800000</v>
      </c>
      <c r="E391" s="24" t="n">
        <v>63800000</v>
      </c>
      <c r="F391" s="25" t="n">
        <v>60500</v>
      </c>
      <c r="G391" s="24" t="n">
        <v>52800</v>
      </c>
      <c r="H391" s="17" t="inlineStr">
        <is>
          <t>increasing</t>
        </is>
      </c>
      <c r="I391" s="21" t="inlineStr">
        <is>
          <t>5.9%</t>
        </is>
      </c>
      <c r="J391" s="17" t="n">
        <v>0.43</v>
      </c>
      <c r="K391" s="17" t="inlineStr">
        <is>
          <t>standard</t>
        </is>
      </c>
    </row>
    <row r="392">
      <c r="A392" s="15" t="inlineStr">
        <is>
          <t>8212</t>
        </is>
      </c>
      <c r="B392" s="16" t="inlineStr">
        <is>
          <t>Electrical and Electronic Equipment Assemblers</t>
        </is>
      </c>
      <c r="C392" s="16" t="inlineStr">
        <is>
          <t>배터리 / 신소재 / 에너지</t>
        </is>
      </c>
      <c r="D392" s="22" t="n">
        <v>41800000</v>
      </c>
      <c r="E392" s="22" t="n">
        <v>63800000</v>
      </c>
      <c r="F392" s="23" t="n">
        <v>60500</v>
      </c>
      <c r="G392" s="22" t="n">
        <v>52800</v>
      </c>
      <c r="H392" s="15" t="inlineStr">
        <is>
          <t>increasing</t>
        </is>
      </c>
      <c r="I392" s="20" t="inlineStr">
        <is>
          <t>5.9%</t>
        </is>
      </c>
      <c r="J392" s="15" t="n">
        <v>0.33</v>
      </c>
      <c r="K392" s="15" t="inlineStr">
        <is>
          <t>standard</t>
        </is>
      </c>
    </row>
    <row r="393">
      <c r="A393" s="17" t="inlineStr">
        <is>
          <t>8219</t>
        </is>
      </c>
      <c r="B393" s="18" t="inlineStr">
        <is>
          <t>Assemblers Not Elsewhere Classified</t>
        </is>
      </c>
      <c r="C393" s="18" t="inlineStr">
        <is>
          <t>배터리 / 신소재 / 에너지</t>
        </is>
      </c>
      <c r="D393" s="24" t="n">
        <v>41800000</v>
      </c>
      <c r="E393" s="24" t="n">
        <v>63800000</v>
      </c>
      <c r="F393" s="25" t="n">
        <v>60500</v>
      </c>
      <c r="G393" s="24" t="n">
        <v>52800</v>
      </c>
      <c r="H393" s="17" t="inlineStr">
        <is>
          <t>increasing</t>
        </is>
      </c>
      <c r="I393" s="21" t="inlineStr">
        <is>
          <t>5.9%</t>
        </is>
      </c>
      <c r="J393" s="17" t="n">
        <v>0.5</v>
      </c>
      <c r="K393" s="17" t="inlineStr">
        <is>
          <t>standard</t>
        </is>
      </c>
    </row>
    <row r="394">
      <c r="A394" s="15" t="inlineStr">
        <is>
          <t>8311</t>
        </is>
      </c>
      <c r="B394" s="16" t="inlineStr">
        <is>
          <t>Locomotive Engine Drivers</t>
        </is>
      </c>
      <c r="C394" s="16" t="inlineStr">
        <is>
          <t>모빌리티 / 자율주행 / 로보틱스</t>
        </is>
      </c>
      <c r="D394" s="22" t="n">
        <v>41800000</v>
      </c>
      <c r="E394" s="22" t="n">
        <v>63800000</v>
      </c>
      <c r="F394" s="23" t="n">
        <v>60500</v>
      </c>
      <c r="G394" s="22" t="n">
        <v>52800</v>
      </c>
      <c r="H394" s="15" t="inlineStr">
        <is>
          <t>increasing</t>
        </is>
      </c>
      <c r="I394" s="20" t="inlineStr">
        <is>
          <t>5.9%</t>
        </is>
      </c>
      <c r="J394" s="15" t="n">
        <v>0.17</v>
      </c>
      <c r="K394" s="15" t="inlineStr">
        <is>
          <t>standard</t>
        </is>
      </c>
    </row>
    <row r="395">
      <c r="A395" s="17" t="inlineStr">
        <is>
          <t>8312</t>
        </is>
      </c>
      <c r="B395" s="18" t="inlineStr">
        <is>
          <t>Railway Brake, Signal and Switch Operators</t>
        </is>
      </c>
      <c r="C395" s="18" t="inlineStr">
        <is>
          <t>모빌리티 / 자율주행 / 로보틱스</t>
        </is>
      </c>
      <c r="D395" s="24" t="n">
        <v>41800000</v>
      </c>
      <c r="E395" s="24" t="n">
        <v>63800000</v>
      </c>
      <c r="F395" s="25" t="n">
        <v>60500</v>
      </c>
      <c r="G395" s="24" t="n">
        <v>52800</v>
      </c>
      <c r="H395" s="17" t="inlineStr">
        <is>
          <t>increasing</t>
        </is>
      </c>
      <c r="I395" s="21" t="inlineStr">
        <is>
          <t>5.9%</t>
        </is>
      </c>
      <c r="J395" s="17" t="n">
        <v>1</v>
      </c>
      <c r="K395" s="17" t="inlineStr">
        <is>
          <t>standard</t>
        </is>
      </c>
    </row>
    <row r="396">
      <c r="A396" s="15" t="inlineStr">
        <is>
          <t>8321</t>
        </is>
      </c>
      <c r="B396" s="16" t="inlineStr">
        <is>
          <t>Motorcycle Drivers</t>
        </is>
      </c>
      <c r="C396" s="16" t="inlineStr">
        <is>
          <t>모빌리티 / 자율주행 / 로보틱스</t>
        </is>
      </c>
      <c r="D396" s="22" t="n">
        <v>41800000</v>
      </c>
      <c r="E396" s="22" t="n">
        <v>63800000</v>
      </c>
      <c r="F396" s="23" t="n">
        <v>60500</v>
      </c>
      <c r="G396" s="22" t="n">
        <v>52800</v>
      </c>
      <c r="H396" s="15" t="inlineStr">
        <is>
          <t>increasing</t>
        </is>
      </c>
      <c r="I396" s="20" t="inlineStr">
        <is>
          <t>5.9%</t>
        </is>
      </c>
      <c r="J396" s="15" t="n">
        <v>0.5</v>
      </c>
      <c r="K396" s="15" t="inlineStr">
        <is>
          <t>standard</t>
        </is>
      </c>
    </row>
    <row r="397">
      <c r="A397" s="17" t="inlineStr">
        <is>
          <t>8322</t>
        </is>
      </c>
      <c r="B397" s="18" t="inlineStr">
        <is>
          <t>Car, Taxi and Van Drivers</t>
        </is>
      </c>
      <c r="C397" s="18" t="inlineStr">
        <is>
          <t>모빌리티 / 자율주행 / 로보틱스</t>
        </is>
      </c>
      <c r="D397" s="24" t="n">
        <v>41800000</v>
      </c>
      <c r="E397" s="24" t="n">
        <v>63800000</v>
      </c>
      <c r="F397" s="25" t="n">
        <v>60500</v>
      </c>
      <c r="G397" s="24" t="n">
        <v>52800</v>
      </c>
      <c r="H397" s="17" t="inlineStr">
        <is>
          <t>increasing</t>
        </is>
      </c>
      <c r="I397" s="21" t="inlineStr">
        <is>
          <t>5.9%</t>
        </is>
      </c>
      <c r="J397" s="17" t="n">
        <v>0.44</v>
      </c>
      <c r="K397" s="17" t="inlineStr">
        <is>
          <t>standard</t>
        </is>
      </c>
    </row>
    <row r="398">
      <c r="A398" s="15" t="inlineStr">
        <is>
          <t>8331</t>
        </is>
      </c>
      <c r="B398" s="16" t="inlineStr">
        <is>
          <t>Bus and Tram Drivers</t>
        </is>
      </c>
      <c r="C398" s="16" t="inlineStr">
        <is>
          <t>모빌리티 / 자율주행 / 로보틱스</t>
        </is>
      </c>
      <c r="D398" s="22" t="n">
        <v>41800000</v>
      </c>
      <c r="E398" s="22" t="n">
        <v>63800000</v>
      </c>
      <c r="F398" s="23" t="n">
        <v>60500</v>
      </c>
      <c r="G398" s="22" t="n">
        <v>52800</v>
      </c>
      <c r="H398" s="15" t="inlineStr">
        <is>
          <t>increasing</t>
        </is>
      </c>
      <c r="I398" s="20" t="inlineStr">
        <is>
          <t>5.9%</t>
        </is>
      </c>
      <c r="J398" s="15" t="n">
        <v>0.57</v>
      </c>
      <c r="K398" s="15" t="inlineStr">
        <is>
          <t>standard</t>
        </is>
      </c>
    </row>
    <row r="399">
      <c r="A399" s="17" t="inlineStr">
        <is>
          <t>8332</t>
        </is>
      </c>
      <c r="B399" s="18" t="inlineStr">
        <is>
          <t>Heavy Truck and Lorry Drivers</t>
        </is>
      </c>
      <c r="C399" s="18" t="inlineStr">
        <is>
          <t>모빌리티 / 자율주행 / 로보틱스</t>
        </is>
      </c>
      <c r="D399" s="24" t="n">
        <v>41800000</v>
      </c>
      <c r="E399" s="24" t="n">
        <v>63800000</v>
      </c>
      <c r="F399" s="25" t="n">
        <v>60500</v>
      </c>
      <c r="G399" s="24" t="n">
        <v>52800</v>
      </c>
      <c r="H399" s="17" t="inlineStr">
        <is>
          <t>increasing</t>
        </is>
      </c>
      <c r="I399" s="21" t="inlineStr">
        <is>
          <t>5.9%</t>
        </is>
      </c>
      <c r="J399" s="17" t="n">
        <v>0.88</v>
      </c>
      <c r="K399" s="17" t="inlineStr">
        <is>
          <t>standard</t>
        </is>
      </c>
    </row>
    <row r="400">
      <c r="A400" s="15" t="inlineStr">
        <is>
          <t>8341</t>
        </is>
      </c>
      <c r="B400" s="16" t="inlineStr">
        <is>
          <t>Mobile Farm and Forestry Plant Operators</t>
        </is>
      </c>
      <c r="C400" s="16" t="inlineStr">
        <is>
          <t>모빌리티 / 자율주행 / 로보틱스</t>
        </is>
      </c>
      <c r="D400" s="22" t="n">
        <v>41800000</v>
      </c>
      <c r="E400" s="22" t="n">
        <v>63800000</v>
      </c>
      <c r="F400" s="23" t="n">
        <v>60500</v>
      </c>
      <c r="G400" s="22" t="n">
        <v>52800</v>
      </c>
      <c r="H400" s="15" t="inlineStr">
        <is>
          <t>increasing</t>
        </is>
      </c>
      <c r="I400" s="20" t="inlineStr">
        <is>
          <t>5.9%</t>
        </is>
      </c>
      <c r="J400" s="15" t="n">
        <v>0.45</v>
      </c>
      <c r="K400" s="15" t="inlineStr">
        <is>
          <t>standard</t>
        </is>
      </c>
    </row>
    <row r="401">
      <c r="A401" s="17" t="inlineStr">
        <is>
          <t>8342</t>
        </is>
      </c>
      <c r="B401" s="18" t="inlineStr">
        <is>
          <t>Earthmoving and Related Plant Operators</t>
        </is>
      </c>
      <c r="C401" s="18" t="inlineStr">
        <is>
          <t>모빌리티 / 자율주행 / 로보틱스</t>
        </is>
      </c>
      <c r="D401" s="24" t="n">
        <v>41800000</v>
      </c>
      <c r="E401" s="24" t="n">
        <v>63800000</v>
      </c>
      <c r="F401" s="25" t="n">
        <v>60500</v>
      </c>
      <c r="G401" s="24" t="n">
        <v>52800</v>
      </c>
      <c r="H401" s="17" t="inlineStr">
        <is>
          <t>increasing</t>
        </is>
      </c>
      <c r="I401" s="21" t="inlineStr">
        <is>
          <t>5.9%</t>
        </is>
      </c>
      <c r="J401" s="17" t="n">
        <v>0.5</v>
      </c>
      <c r="K401" s="17" t="inlineStr">
        <is>
          <t>standard</t>
        </is>
      </c>
    </row>
    <row r="402">
      <c r="A402" s="15" t="inlineStr">
        <is>
          <t>8343</t>
        </is>
      </c>
      <c r="B402" s="16" t="inlineStr">
        <is>
          <t>Crane, hoist and related plant operators</t>
        </is>
      </c>
      <c r="C402" s="16" t="inlineStr">
        <is>
          <t>모빌리티 / 자율주행 / 로보틱스</t>
        </is>
      </c>
      <c r="D402" s="22" t="n">
        <v>41800000</v>
      </c>
      <c r="E402" s="22" t="n">
        <v>63800000</v>
      </c>
      <c r="F402" s="23" t="n">
        <v>60500</v>
      </c>
      <c r="G402" s="22" t="n">
        <v>52800</v>
      </c>
      <c r="H402" s="15" t="inlineStr">
        <is>
          <t>increasing</t>
        </is>
      </c>
      <c r="I402" s="20" t="inlineStr">
        <is>
          <t>5.9%</t>
        </is>
      </c>
      <c r="J402" s="15" t="n">
        <v>0.46</v>
      </c>
      <c r="K402" s="15" t="inlineStr">
        <is>
          <t>standard</t>
        </is>
      </c>
    </row>
    <row r="403">
      <c r="A403" s="17" t="inlineStr">
        <is>
          <t>8344</t>
        </is>
      </c>
      <c r="B403" s="18" t="inlineStr">
        <is>
          <t>Lifting Truck Operators</t>
        </is>
      </c>
      <c r="C403" s="18" t="inlineStr">
        <is>
          <t>모빌리티 / 자율주행 / 로보틱스</t>
        </is>
      </c>
      <c r="D403" s="24" t="n">
        <v>41800000</v>
      </c>
      <c r="E403" s="24" t="n">
        <v>63800000</v>
      </c>
      <c r="F403" s="25" t="n">
        <v>60500</v>
      </c>
      <c r="G403" s="24" t="n">
        <v>52800</v>
      </c>
      <c r="H403" s="17" t="inlineStr">
        <is>
          <t>increasing</t>
        </is>
      </c>
      <c r="I403" s="21" t="inlineStr">
        <is>
          <t>5.9%</t>
        </is>
      </c>
      <c r="J403" s="17" t="n">
        <v>0.67</v>
      </c>
      <c r="K403" s="17" t="inlineStr">
        <is>
          <t>standard</t>
        </is>
      </c>
    </row>
    <row r="404">
      <c r="A404" s="15" t="inlineStr">
        <is>
          <t>8350</t>
        </is>
      </c>
      <c r="B404" s="16" t="inlineStr">
        <is>
          <t>Ships' Deck Crews and Related Workers</t>
        </is>
      </c>
      <c r="C404" s="16" t="inlineStr">
        <is>
          <t>모빌리티 / 자율주행 / 로보틱스</t>
        </is>
      </c>
      <c r="D404" s="22" t="n">
        <v>41800000</v>
      </c>
      <c r="E404" s="22" t="n">
        <v>63800000</v>
      </c>
      <c r="F404" s="23" t="n">
        <v>60500</v>
      </c>
      <c r="G404" s="22" t="n">
        <v>52800</v>
      </c>
      <c r="H404" s="15" t="inlineStr">
        <is>
          <t>increasing</t>
        </is>
      </c>
      <c r="I404" s="20" t="inlineStr">
        <is>
          <t>5.9%</t>
        </is>
      </c>
      <c r="J404" s="15" t="n">
        <v>1</v>
      </c>
      <c r="K404" s="15" t="inlineStr">
        <is>
          <t>standard</t>
        </is>
      </c>
    </row>
    <row r="405">
      <c r="A405" s="17" t="inlineStr">
        <is>
          <t>9111</t>
        </is>
      </c>
      <c r="B405" s="18" t="inlineStr">
        <is>
          <t>Domestic Cleaners and Helpers</t>
        </is>
      </c>
      <c r="C405" s="18" t="inlineStr">
        <is>
          <t>탄소중립 / 산업안전 / ESG</t>
        </is>
      </c>
      <c r="D405" s="24" t="n">
        <v>30000000</v>
      </c>
      <c r="E405" s="24" t="n">
        <v>42000000</v>
      </c>
      <c r="F405" s="25" t="n">
        <v>38000</v>
      </c>
      <c r="G405" s="24" t="n">
        <v>34000</v>
      </c>
      <c r="H405" s="17" t="inlineStr">
        <is>
          <t>stable</t>
        </is>
      </c>
      <c r="I405" s="21" t="inlineStr">
        <is>
          <t>4.7%</t>
        </is>
      </c>
      <c r="J405" s="17" t="n">
        <v>0.71</v>
      </c>
      <c r="K405" s="17" t="inlineStr">
        <is>
          <t>standard</t>
        </is>
      </c>
    </row>
    <row r="406">
      <c r="A406" s="15" t="inlineStr">
        <is>
          <t>9112</t>
        </is>
      </c>
      <c r="B406" s="16" t="inlineStr">
        <is>
          <t>Cleaners and Helpers in Offices, Hotels and Other Establishments</t>
        </is>
      </c>
      <c r="C406" s="16" t="inlineStr">
        <is>
          <t>탄소중립 / 산업안전 / ESG</t>
        </is>
      </c>
      <c r="D406" s="22" t="n">
        <v>30000000</v>
      </c>
      <c r="E406" s="22" t="n">
        <v>42000000</v>
      </c>
      <c r="F406" s="23" t="n">
        <v>38000</v>
      </c>
      <c r="G406" s="22" t="n">
        <v>34000</v>
      </c>
      <c r="H406" s="15" t="inlineStr">
        <is>
          <t>stable</t>
        </is>
      </c>
      <c r="I406" s="20" t="inlineStr">
        <is>
          <t>4.7%</t>
        </is>
      </c>
      <c r="J406" s="15" t="n">
        <v>0.8</v>
      </c>
      <c r="K406" s="15" t="inlineStr">
        <is>
          <t>standard</t>
        </is>
      </c>
    </row>
    <row r="407">
      <c r="A407" s="17" t="inlineStr">
        <is>
          <t>9121</t>
        </is>
      </c>
      <c r="B407" s="18" t="inlineStr">
        <is>
          <t>Hand Launderers and Pressers</t>
        </is>
      </c>
      <c r="C407" s="18" t="inlineStr">
        <is>
          <t>탄소중립 / 산업안전 / ESG</t>
        </is>
      </c>
      <c r="D407" s="24" t="n">
        <v>30000000</v>
      </c>
      <c r="E407" s="24" t="n">
        <v>42000000</v>
      </c>
      <c r="F407" s="25" t="n">
        <v>38000</v>
      </c>
      <c r="G407" s="24" t="n">
        <v>34000</v>
      </c>
      <c r="H407" s="17" t="inlineStr">
        <is>
          <t>stable</t>
        </is>
      </c>
      <c r="I407" s="21" t="inlineStr">
        <is>
          <t>4.7%</t>
        </is>
      </c>
      <c r="J407" s="17" t="n">
        <v>0.8</v>
      </c>
      <c r="K407" s="17" t="inlineStr">
        <is>
          <t>standard</t>
        </is>
      </c>
    </row>
    <row r="408">
      <c r="A408" s="15" t="inlineStr">
        <is>
          <t>9122</t>
        </is>
      </c>
      <c r="B408" s="16" t="inlineStr">
        <is>
          <t>Vehicle Cleaners</t>
        </is>
      </c>
      <c r="C408" s="16" t="inlineStr">
        <is>
          <t>탄소중립 / 산업안전 / ESG</t>
        </is>
      </c>
      <c r="D408" s="22" t="n">
        <v>30000000</v>
      </c>
      <c r="E408" s="22" t="n">
        <v>42000000</v>
      </c>
      <c r="F408" s="23" t="n">
        <v>38000</v>
      </c>
      <c r="G408" s="22" t="n">
        <v>34000</v>
      </c>
      <c r="H408" s="15" t="inlineStr">
        <is>
          <t>stable</t>
        </is>
      </c>
      <c r="I408" s="20" t="inlineStr">
        <is>
          <t>4.7%</t>
        </is>
      </c>
      <c r="J408" s="15" t="n">
        <v>0.71</v>
      </c>
      <c r="K408" s="15" t="inlineStr">
        <is>
          <t>standard</t>
        </is>
      </c>
    </row>
    <row r="409">
      <c r="A409" s="17" t="inlineStr">
        <is>
          <t>9123</t>
        </is>
      </c>
      <c r="B409" s="18" t="inlineStr">
        <is>
          <t>Window Cleaners</t>
        </is>
      </c>
      <c r="C409" s="18" t="inlineStr">
        <is>
          <t>탄소중립 / 산업안전 / ESG</t>
        </is>
      </c>
      <c r="D409" s="24" t="n">
        <v>30000000</v>
      </c>
      <c r="E409" s="24" t="n">
        <v>42000000</v>
      </c>
      <c r="F409" s="25" t="n">
        <v>38000</v>
      </c>
      <c r="G409" s="24" t="n">
        <v>34000</v>
      </c>
      <c r="H409" s="17" t="inlineStr">
        <is>
          <t>stable</t>
        </is>
      </c>
      <c r="I409" s="21" t="inlineStr">
        <is>
          <t>4.7%</t>
        </is>
      </c>
      <c r="J409" s="17" t="n">
        <v>1</v>
      </c>
      <c r="K409" s="17" t="inlineStr">
        <is>
          <t>standard</t>
        </is>
      </c>
    </row>
    <row r="410">
      <c r="A410" s="15" t="inlineStr">
        <is>
          <t>9129</t>
        </is>
      </c>
      <c r="B410" s="16" t="inlineStr">
        <is>
          <t>Other Cleaning Workers</t>
        </is>
      </c>
      <c r="C410" s="16" t="inlineStr">
        <is>
          <t>탄소중립 / 산업안전 / ESG</t>
        </is>
      </c>
      <c r="D410" s="22" t="n">
        <v>30000000</v>
      </c>
      <c r="E410" s="22" t="n">
        <v>42000000</v>
      </c>
      <c r="F410" s="23" t="n">
        <v>38000</v>
      </c>
      <c r="G410" s="22" t="n">
        <v>34000</v>
      </c>
      <c r="H410" s="15" t="inlineStr">
        <is>
          <t>stable</t>
        </is>
      </c>
      <c r="I410" s="20" t="inlineStr">
        <is>
          <t>4.7%</t>
        </is>
      </c>
      <c r="J410" s="15" t="n">
        <v>0.5</v>
      </c>
      <c r="K410" s="15" t="inlineStr">
        <is>
          <t>standard</t>
        </is>
      </c>
    </row>
    <row r="411">
      <c r="A411" s="17" t="inlineStr">
        <is>
          <t>9211</t>
        </is>
      </c>
      <c r="B411" s="18" t="inlineStr">
        <is>
          <t>Crop Farm Labourers</t>
        </is>
      </c>
      <c r="C411" s="18" t="inlineStr">
        <is>
          <t>탄소중립 / 산업안전 / ESG</t>
        </is>
      </c>
      <c r="D411" s="24" t="n">
        <v>30000000</v>
      </c>
      <c r="E411" s="24" t="n">
        <v>42000000</v>
      </c>
      <c r="F411" s="25" t="n">
        <v>38000</v>
      </c>
      <c r="G411" s="24" t="n">
        <v>34000</v>
      </c>
      <c r="H411" s="17" t="inlineStr">
        <is>
          <t>stable</t>
        </is>
      </c>
      <c r="I411" s="21" t="inlineStr">
        <is>
          <t>4.7%</t>
        </is>
      </c>
      <c r="J411" s="17" t="n">
        <v>1</v>
      </c>
      <c r="K411" s="17" t="inlineStr">
        <is>
          <t>standard</t>
        </is>
      </c>
    </row>
    <row r="412">
      <c r="A412" s="15" t="inlineStr">
        <is>
          <t>9212</t>
        </is>
      </c>
      <c r="B412" s="16" t="inlineStr">
        <is>
          <t>Livestock Farm Labourers</t>
        </is>
      </c>
      <c r="C412" s="16" t="inlineStr">
        <is>
          <t>탄소중립 / 산업안전 / ESG</t>
        </is>
      </c>
      <c r="D412" s="22" t="n">
        <v>30000000</v>
      </c>
      <c r="E412" s="22" t="n">
        <v>42000000</v>
      </c>
      <c r="F412" s="23" t="n">
        <v>38000</v>
      </c>
      <c r="G412" s="22" t="n">
        <v>34000</v>
      </c>
      <c r="H412" s="15" t="inlineStr">
        <is>
          <t>stable</t>
        </is>
      </c>
      <c r="I412" s="20" t="inlineStr">
        <is>
          <t>4.7%</t>
        </is>
      </c>
      <c r="J412" s="15" t="n">
        <v>0.85</v>
      </c>
      <c r="K412" s="15" t="inlineStr">
        <is>
          <t>standard</t>
        </is>
      </c>
    </row>
    <row r="413">
      <c r="A413" s="17" t="inlineStr">
        <is>
          <t>9213</t>
        </is>
      </c>
      <c r="B413" s="18" t="inlineStr">
        <is>
          <t>Mixed Crop and Livestock Farm Labourers</t>
        </is>
      </c>
      <c r="C413" s="18" t="inlineStr">
        <is>
          <t>탄소중립 / 산업안전 / ESG</t>
        </is>
      </c>
      <c r="D413" s="24" t="n">
        <v>30000000</v>
      </c>
      <c r="E413" s="24" t="n">
        <v>42000000</v>
      </c>
      <c r="F413" s="25" t="n">
        <v>38000</v>
      </c>
      <c r="G413" s="24" t="n">
        <v>34000</v>
      </c>
      <c r="H413" s="17" t="inlineStr">
        <is>
          <t>stable</t>
        </is>
      </c>
      <c r="I413" s="21" t="inlineStr">
        <is>
          <t>4.7%</t>
        </is>
      </c>
      <c r="J413" s="17" t="n">
        <v>0.86</v>
      </c>
      <c r="K413" s="17" t="inlineStr">
        <is>
          <t>standard</t>
        </is>
      </c>
    </row>
    <row r="414">
      <c r="A414" s="15" t="inlineStr">
        <is>
          <t>9214</t>
        </is>
      </c>
      <c r="B414" s="16" t="inlineStr">
        <is>
          <t>Garden and Horticultural Labourers</t>
        </is>
      </c>
      <c r="C414" s="16" t="inlineStr">
        <is>
          <t>탄소중립 / 산업안전 / ESG</t>
        </is>
      </c>
      <c r="D414" s="22" t="n">
        <v>30000000</v>
      </c>
      <c r="E414" s="22" t="n">
        <v>42000000</v>
      </c>
      <c r="F414" s="23" t="n">
        <v>38000</v>
      </c>
      <c r="G414" s="22" t="n">
        <v>34000</v>
      </c>
      <c r="H414" s="15" t="inlineStr">
        <is>
          <t>stable</t>
        </is>
      </c>
      <c r="I414" s="20" t="inlineStr">
        <is>
          <t>4.7%</t>
        </is>
      </c>
      <c r="J414" s="15" t="n">
        <v>0.9</v>
      </c>
      <c r="K414" s="15" t="inlineStr">
        <is>
          <t>standard</t>
        </is>
      </c>
    </row>
    <row r="415">
      <c r="A415" s="17" t="inlineStr">
        <is>
          <t>9215</t>
        </is>
      </c>
      <c r="B415" s="18" t="inlineStr">
        <is>
          <t>Forestry Labourers</t>
        </is>
      </c>
      <c r="C415" s="18" t="inlineStr">
        <is>
          <t>탄소중립 / 산업안전 / ESG</t>
        </is>
      </c>
      <c r="D415" s="24" t="n">
        <v>30000000</v>
      </c>
      <c r="E415" s="24" t="n">
        <v>42000000</v>
      </c>
      <c r="F415" s="25" t="n">
        <v>38000</v>
      </c>
      <c r="G415" s="24" t="n">
        <v>34000</v>
      </c>
      <c r="H415" s="17" t="inlineStr">
        <is>
          <t>stable</t>
        </is>
      </c>
      <c r="I415" s="21" t="inlineStr">
        <is>
          <t>4.7%</t>
        </is>
      </c>
      <c r="J415" s="17" t="n">
        <v>0.8</v>
      </c>
      <c r="K415" s="17" t="inlineStr">
        <is>
          <t>standard</t>
        </is>
      </c>
    </row>
    <row r="416">
      <c r="A416" s="15" t="inlineStr">
        <is>
          <t>9216</t>
        </is>
      </c>
      <c r="B416" s="16" t="inlineStr">
        <is>
          <t>Fishery and Aquaculture Labourers</t>
        </is>
      </c>
      <c r="C416" s="16" t="inlineStr">
        <is>
          <t>탄소중립 / 산업안전 / ESG</t>
        </is>
      </c>
      <c r="D416" s="22" t="n">
        <v>30000000</v>
      </c>
      <c r="E416" s="22" t="n">
        <v>42000000</v>
      </c>
      <c r="F416" s="23" t="n">
        <v>38000</v>
      </c>
      <c r="G416" s="22" t="n">
        <v>34000</v>
      </c>
      <c r="H416" s="15" t="inlineStr">
        <is>
          <t>stable</t>
        </is>
      </c>
      <c r="I416" s="20" t="inlineStr">
        <is>
          <t>4.7%</t>
        </is>
      </c>
      <c r="J416" s="15" t="n">
        <v>0.5</v>
      </c>
      <c r="K416" s="15" t="inlineStr">
        <is>
          <t>standard</t>
        </is>
      </c>
    </row>
    <row r="417">
      <c r="A417" s="17" t="inlineStr">
        <is>
          <t>9311</t>
        </is>
      </c>
      <c r="B417" s="18" t="inlineStr">
        <is>
          <t>Mining and Quarrying Labourers</t>
        </is>
      </c>
      <c r="C417" s="18" t="inlineStr">
        <is>
          <t>모빌리티 / 자율주행 / 로보틱스</t>
        </is>
      </c>
      <c r="D417" s="24" t="n">
        <v>33000000</v>
      </c>
      <c r="E417" s="24" t="n">
        <v>46200000</v>
      </c>
      <c r="F417" s="25" t="n">
        <v>41800</v>
      </c>
      <c r="G417" s="24" t="n">
        <v>37400</v>
      </c>
      <c r="H417" s="17" t="inlineStr">
        <is>
          <t>stable</t>
        </is>
      </c>
      <c r="I417" s="21" t="inlineStr">
        <is>
          <t>4.7%</t>
        </is>
      </c>
      <c r="J417" s="17" t="n">
        <v>0.57</v>
      </c>
      <c r="K417" s="17" t="inlineStr">
        <is>
          <t>standard</t>
        </is>
      </c>
    </row>
    <row r="418">
      <c r="A418" s="15" t="inlineStr">
        <is>
          <t>9312</t>
        </is>
      </c>
      <c r="B418" s="16" t="inlineStr">
        <is>
          <t>Civil Engineering Labourers</t>
        </is>
      </c>
      <c r="C418" s="16" t="inlineStr">
        <is>
          <t>모빌리티 / 자율주행 / 로보틱스</t>
        </is>
      </c>
      <c r="D418" s="22" t="n">
        <v>33000000</v>
      </c>
      <c r="E418" s="22" t="n">
        <v>46200000</v>
      </c>
      <c r="F418" s="23" t="n">
        <v>41800</v>
      </c>
      <c r="G418" s="22" t="n">
        <v>37400</v>
      </c>
      <c r="H418" s="15" t="inlineStr">
        <is>
          <t>stable</t>
        </is>
      </c>
      <c r="I418" s="20" t="inlineStr">
        <is>
          <t>4.7%</t>
        </is>
      </c>
      <c r="J418" s="15" t="n">
        <v>0.78</v>
      </c>
      <c r="K418" s="15" t="inlineStr">
        <is>
          <t>standard</t>
        </is>
      </c>
    </row>
    <row r="419">
      <c r="A419" s="17" t="inlineStr">
        <is>
          <t>9313</t>
        </is>
      </c>
      <c r="B419" s="18" t="inlineStr">
        <is>
          <t>Building Construction Labourers</t>
        </is>
      </c>
      <c r="C419" s="18" t="inlineStr">
        <is>
          <t>모빌리티 / 자율주행 / 로보틱스</t>
        </is>
      </c>
      <c r="D419" s="24" t="n">
        <v>33000000</v>
      </c>
      <c r="E419" s="24" t="n">
        <v>46200000</v>
      </c>
      <c r="F419" s="25" t="n">
        <v>41800</v>
      </c>
      <c r="G419" s="24" t="n">
        <v>37400</v>
      </c>
      <c r="H419" s="17" t="inlineStr">
        <is>
          <t>stable</t>
        </is>
      </c>
      <c r="I419" s="21" t="inlineStr">
        <is>
          <t>4.7%</t>
        </is>
      </c>
      <c r="J419" s="17" t="n">
        <v>0.67</v>
      </c>
      <c r="K419" s="17" t="inlineStr">
        <is>
          <t>standard</t>
        </is>
      </c>
    </row>
    <row r="420">
      <c r="A420" s="15" t="inlineStr">
        <is>
          <t>9321</t>
        </is>
      </c>
      <c r="B420" s="16" t="inlineStr">
        <is>
          <t>Hand Packers</t>
        </is>
      </c>
      <c r="C420" s="16" t="inlineStr">
        <is>
          <t>모빌리티 / 자율주행 / 로보틱스</t>
        </is>
      </c>
      <c r="D420" s="22" t="n">
        <v>33000000</v>
      </c>
      <c r="E420" s="22" t="n">
        <v>46200000</v>
      </c>
      <c r="F420" s="23" t="n">
        <v>41800</v>
      </c>
      <c r="G420" s="22" t="n">
        <v>37400</v>
      </c>
      <c r="H420" s="15" t="inlineStr">
        <is>
          <t>stable</t>
        </is>
      </c>
      <c r="I420" s="20" t="inlineStr">
        <is>
          <t>4.7%</t>
        </is>
      </c>
      <c r="J420" s="15" t="n">
        <v>1</v>
      </c>
      <c r="K420" s="15" t="inlineStr">
        <is>
          <t>standard</t>
        </is>
      </c>
    </row>
    <row r="421">
      <c r="A421" s="17" t="inlineStr">
        <is>
          <t>9329</t>
        </is>
      </c>
      <c r="B421" s="18" t="inlineStr">
        <is>
          <t>Manufacturing Labourers Not Elsewhere Classified</t>
        </is>
      </c>
      <c r="C421" s="18" t="inlineStr">
        <is>
          <t>모빌리티 / 자율주행 / 로보틱스</t>
        </is>
      </c>
      <c r="D421" s="24" t="n">
        <v>33000000</v>
      </c>
      <c r="E421" s="24" t="n">
        <v>46200000</v>
      </c>
      <c r="F421" s="25" t="n">
        <v>41800</v>
      </c>
      <c r="G421" s="24" t="n">
        <v>37400</v>
      </c>
      <c r="H421" s="17" t="inlineStr">
        <is>
          <t>stable</t>
        </is>
      </c>
      <c r="I421" s="21" t="inlineStr">
        <is>
          <t>4.7%</t>
        </is>
      </c>
      <c r="J421" s="17" t="n">
        <v>1</v>
      </c>
      <c r="K421" s="17" t="inlineStr">
        <is>
          <t>standard</t>
        </is>
      </c>
    </row>
    <row r="422">
      <c r="A422" s="15" t="inlineStr">
        <is>
          <t>9331</t>
        </is>
      </c>
      <c r="B422" s="16" t="inlineStr">
        <is>
          <t>Hand and Pedal Vehicle Drivers</t>
        </is>
      </c>
      <c r="C422" s="16" t="inlineStr">
        <is>
          <t>모빌리티 / 자율주행 / 로보틱스</t>
        </is>
      </c>
      <c r="D422" s="22" t="n">
        <v>33000000</v>
      </c>
      <c r="E422" s="22" t="n">
        <v>46200000</v>
      </c>
      <c r="F422" s="23" t="n">
        <v>41800</v>
      </c>
      <c r="G422" s="22" t="n">
        <v>37400</v>
      </c>
      <c r="H422" s="15" t="inlineStr">
        <is>
          <t>stable</t>
        </is>
      </c>
      <c r="I422" s="20" t="inlineStr">
        <is>
          <t>4.7%</t>
        </is>
      </c>
      <c r="J422" s="15" t="n">
        <v>0.57</v>
      </c>
      <c r="K422" s="15" t="inlineStr">
        <is>
          <t>standard</t>
        </is>
      </c>
    </row>
    <row r="423">
      <c r="A423" s="17" t="inlineStr">
        <is>
          <t>9332</t>
        </is>
      </c>
      <c r="B423" s="18" t="inlineStr">
        <is>
          <t>Drivers of Animal-drawn Vehicles and Machinery</t>
        </is>
      </c>
      <c r="C423" s="18" t="inlineStr">
        <is>
          <t>모빌리티 / 자율주행 / 로보틱스</t>
        </is>
      </c>
      <c r="D423" s="24" t="n">
        <v>33000000</v>
      </c>
      <c r="E423" s="24" t="n">
        <v>46200000</v>
      </c>
      <c r="F423" s="25" t="n">
        <v>41800</v>
      </c>
      <c r="G423" s="24" t="n">
        <v>37400</v>
      </c>
      <c r="H423" s="17" t="inlineStr">
        <is>
          <t>stable</t>
        </is>
      </c>
      <c r="I423" s="21" t="inlineStr">
        <is>
          <t>4.7%</t>
        </is>
      </c>
      <c r="J423" s="17" t="n">
        <v>0.45</v>
      </c>
      <c r="K423" s="17" t="inlineStr">
        <is>
          <t>standard</t>
        </is>
      </c>
    </row>
    <row r="424">
      <c r="A424" s="15" t="inlineStr">
        <is>
          <t>9333</t>
        </is>
      </c>
      <c r="B424" s="16" t="inlineStr">
        <is>
          <t>Freight Handlers</t>
        </is>
      </c>
      <c r="C424" s="16" t="inlineStr">
        <is>
          <t>모빌리티 / 자율주행 / 로보틱스</t>
        </is>
      </c>
      <c r="D424" s="22" t="n">
        <v>33000000</v>
      </c>
      <c r="E424" s="22" t="n">
        <v>46200000</v>
      </c>
      <c r="F424" s="23" t="n">
        <v>41800</v>
      </c>
      <c r="G424" s="22" t="n">
        <v>37400</v>
      </c>
      <c r="H424" s="15" t="inlineStr">
        <is>
          <t>stable</t>
        </is>
      </c>
      <c r="I424" s="20" t="inlineStr">
        <is>
          <t>4.7%</t>
        </is>
      </c>
      <c r="J424" s="15" t="n">
        <v>0.88</v>
      </c>
      <c r="K424" s="15" t="inlineStr">
        <is>
          <t>standard</t>
        </is>
      </c>
    </row>
    <row r="425">
      <c r="A425" s="17" t="inlineStr">
        <is>
          <t>9334</t>
        </is>
      </c>
      <c r="B425" s="18" t="inlineStr">
        <is>
          <t>Shelf Fillers</t>
        </is>
      </c>
      <c r="C425" s="18" t="inlineStr">
        <is>
          <t>모빌리티 / 자율주행 / 로보틱스</t>
        </is>
      </c>
      <c r="D425" s="24" t="n">
        <v>33000000</v>
      </c>
      <c r="E425" s="24" t="n">
        <v>46200000</v>
      </c>
      <c r="F425" s="25" t="n">
        <v>41800</v>
      </c>
      <c r="G425" s="24" t="n">
        <v>37400</v>
      </c>
      <c r="H425" s="17" t="inlineStr">
        <is>
          <t>stable</t>
        </is>
      </c>
      <c r="I425" s="21" t="inlineStr">
        <is>
          <t>4.7%</t>
        </is>
      </c>
      <c r="J425" s="17" t="n">
        <v>0.7</v>
      </c>
      <c r="K425" s="17" t="inlineStr">
        <is>
          <t>standard</t>
        </is>
      </c>
    </row>
    <row r="426">
      <c r="A426" s="15" t="inlineStr">
        <is>
          <t>9411</t>
        </is>
      </c>
      <c r="B426" s="16" t="inlineStr">
        <is>
          <t>Fast Food Preparers</t>
        </is>
      </c>
      <c r="C426" s="16" t="inlineStr">
        <is>
          <t>B2B영업 / 마케팅 / GTM</t>
        </is>
      </c>
      <c r="D426" s="22" t="n">
        <v>31500000</v>
      </c>
      <c r="E426" s="22" t="n">
        <v>44100000</v>
      </c>
      <c r="F426" s="23" t="n">
        <v>39900</v>
      </c>
      <c r="G426" s="22" t="n">
        <v>35700</v>
      </c>
      <c r="H426" s="15" t="inlineStr">
        <is>
          <t>stable</t>
        </is>
      </c>
      <c r="I426" s="20" t="inlineStr">
        <is>
          <t>4.7%</t>
        </is>
      </c>
      <c r="J426" s="15" t="n">
        <v>0.82</v>
      </c>
      <c r="K426" s="15" t="inlineStr">
        <is>
          <t>standard</t>
        </is>
      </c>
    </row>
    <row r="427">
      <c r="A427" s="17" t="inlineStr">
        <is>
          <t>9412</t>
        </is>
      </c>
      <c r="B427" s="18" t="inlineStr">
        <is>
          <t>Kitchen Helpers</t>
        </is>
      </c>
      <c r="C427" s="18" t="inlineStr">
        <is>
          <t>B2B영업 / 마케팅 / GTM</t>
        </is>
      </c>
      <c r="D427" s="24" t="n">
        <v>31500000</v>
      </c>
      <c r="E427" s="24" t="n">
        <v>44100000</v>
      </c>
      <c r="F427" s="25" t="n">
        <v>39900</v>
      </c>
      <c r="G427" s="24" t="n">
        <v>35700</v>
      </c>
      <c r="H427" s="17" t="inlineStr">
        <is>
          <t>stable</t>
        </is>
      </c>
      <c r="I427" s="21" t="inlineStr">
        <is>
          <t>4.7%</t>
        </is>
      </c>
      <c r="J427" s="17" t="n">
        <v>0.71</v>
      </c>
      <c r="K427" s="17" t="inlineStr">
        <is>
          <t>standard</t>
        </is>
      </c>
    </row>
    <row r="428">
      <c r="A428" s="15" t="inlineStr">
        <is>
          <t>9510</t>
        </is>
      </c>
      <c r="B428" s="16" t="inlineStr">
        <is>
          <t>Street and Related Service Workers</t>
        </is>
      </c>
      <c r="C428" s="16" t="inlineStr">
        <is>
          <t>B2B영업 / 마케팅 / GTM</t>
        </is>
      </c>
      <c r="D428" s="22" t="n">
        <v>31500000</v>
      </c>
      <c r="E428" s="22" t="n">
        <v>44100000</v>
      </c>
      <c r="F428" s="23" t="n">
        <v>39900</v>
      </c>
      <c r="G428" s="22" t="n">
        <v>35700</v>
      </c>
      <c r="H428" s="15" t="inlineStr">
        <is>
          <t>stable</t>
        </is>
      </c>
      <c r="I428" s="20" t="inlineStr">
        <is>
          <t>4.7%</t>
        </is>
      </c>
      <c r="J428" s="15" t="n">
        <v>0.67</v>
      </c>
      <c r="K428" s="15" t="inlineStr">
        <is>
          <t>standard</t>
        </is>
      </c>
    </row>
    <row r="429">
      <c r="A429" s="17" t="inlineStr">
        <is>
          <t>9520</t>
        </is>
      </c>
      <c r="B429" s="18" t="inlineStr">
        <is>
          <t>Street Vendors (excluding Food)</t>
        </is>
      </c>
      <c r="C429" s="18" t="inlineStr">
        <is>
          <t>B2B영업 / 마케팅 / GTM</t>
        </is>
      </c>
      <c r="D429" s="24" t="n">
        <v>31500000</v>
      </c>
      <c r="E429" s="24" t="n">
        <v>44100000</v>
      </c>
      <c r="F429" s="25" t="n">
        <v>39900</v>
      </c>
      <c r="G429" s="24" t="n">
        <v>35700</v>
      </c>
      <c r="H429" s="17" t="inlineStr">
        <is>
          <t>stable</t>
        </is>
      </c>
      <c r="I429" s="21" t="inlineStr">
        <is>
          <t>4.7%</t>
        </is>
      </c>
      <c r="J429" s="17" t="n">
        <v>0.83</v>
      </c>
      <c r="K429" s="17" t="inlineStr">
        <is>
          <t>standard</t>
        </is>
      </c>
    </row>
    <row r="430">
      <c r="A430" s="15" t="inlineStr">
        <is>
          <t>9611</t>
        </is>
      </c>
      <c r="B430" s="16" t="inlineStr">
        <is>
          <t>Garbage and Recycling Collectors</t>
        </is>
      </c>
      <c r="C430" s="16" t="inlineStr">
        <is>
          <t>탄소중립 / 산업안전 / ESG</t>
        </is>
      </c>
      <c r="D430" s="22" t="n">
        <v>30000000</v>
      </c>
      <c r="E430" s="22" t="n">
        <v>42000000</v>
      </c>
      <c r="F430" s="23" t="n">
        <v>38000</v>
      </c>
      <c r="G430" s="22" t="n">
        <v>34000</v>
      </c>
      <c r="H430" s="15" t="inlineStr">
        <is>
          <t>stable</t>
        </is>
      </c>
      <c r="I430" s="20" t="inlineStr">
        <is>
          <t>4.7%</t>
        </is>
      </c>
      <c r="J430" s="15" t="n">
        <v>0.75</v>
      </c>
      <c r="K430" s="15" t="inlineStr">
        <is>
          <t>standard</t>
        </is>
      </c>
    </row>
    <row r="431">
      <c r="A431" s="17" t="inlineStr">
        <is>
          <t>9612</t>
        </is>
      </c>
      <c r="B431" s="18" t="inlineStr">
        <is>
          <t>Refuse Sorters</t>
        </is>
      </c>
      <c r="C431" s="18" t="inlineStr">
        <is>
          <t>탄소중립 / 산업안전 / ESG</t>
        </is>
      </c>
      <c r="D431" s="24" t="n">
        <v>30000000</v>
      </c>
      <c r="E431" s="24" t="n">
        <v>42000000</v>
      </c>
      <c r="F431" s="25" t="n">
        <v>38000</v>
      </c>
      <c r="G431" s="24" t="n">
        <v>34000</v>
      </c>
      <c r="H431" s="17" t="inlineStr">
        <is>
          <t>stable</t>
        </is>
      </c>
      <c r="I431" s="21" t="inlineStr">
        <is>
          <t>4.7%</t>
        </is>
      </c>
      <c r="J431" s="17" t="n">
        <v>0.62</v>
      </c>
      <c r="K431" s="17" t="inlineStr">
        <is>
          <t>standard</t>
        </is>
      </c>
    </row>
    <row r="432">
      <c r="A432" s="15" t="inlineStr">
        <is>
          <t>9613</t>
        </is>
      </c>
      <c r="B432" s="16" t="inlineStr">
        <is>
          <t>Sweepers and Related Labourers</t>
        </is>
      </c>
      <c r="C432" s="16" t="inlineStr">
        <is>
          <t>탄소중립 / 산업안전 / ESG</t>
        </is>
      </c>
      <c r="D432" s="22" t="n">
        <v>30000000</v>
      </c>
      <c r="E432" s="22" t="n">
        <v>42000000</v>
      </c>
      <c r="F432" s="23" t="n">
        <v>38000</v>
      </c>
      <c r="G432" s="22" t="n">
        <v>34000</v>
      </c>
      <c r="H432" s="15" t="inlineStr">
        <is>
          <t>stable</t>
        </is>
      </c>
      <c r="I432" s="20" t="inlineStr">
        <is>
          <t>4.7%</t>
        </is>
      </c>
      <c r="J432" s="15" t="n">
        <v>0.75</v>
      </c>
      <c r="K432" s="15" t="inlineStr">
        <is>
          <t>standard</t>
        </is>
      </c>
    </row>
    <row r="433">
      <c r="A433" s="17" t="inlineStr">
        <is>
          <t>9621</t>
        </is>
      </c>
      <c r="B433" s="18" t="inlineStr">
        <is>
          <t>Messengers, Package Deliverers and Luggage Porters</t>
        </is>
      </c>
      <c r="C433" s="18" t="inlineStr">
        <is>
          <t>탄소중립 / 산업안전 / ESG</t>
        </is>
      </c>
      <c r="D433" s="24" t="n">
        <v>30000000</v>
      </c>
      <c r="E433" s="24" t="n">
        <v>42000000</v>
      </c>
      <c r="F433" s="25" t="n">
        <v>38000</v>
      </c>
      <c r="G433" s="24" t="n">
        <v>34000</v>
      </c>
      <c r="H433" s="17" t="inlineStr">
        <is>
          <t>stable</t>
        </is>
      </c>
      <c r="I433" s="21" t="inlineStr">
        <is>
          <t>4.7%</t>
        </is>
      </c>
      <c r="J433" s="17" t="n">
        <v>0.29</v>
      </c>
      <c r="K433" s="17" t="inlineStr">
        <is>
          <t>standard</t>
        </is>
      </c>
    </row>
    <row r="434">
      <c r="A434" s="15" t="inlineStr">
        <is>
          <t>9622</t>
        </is>
      </c>
      <c r="B434" s="16" t="inlineStr">
        <is>
          <t>Odd Job Persons</t>
        </is>
      </c>
      <c r="C434" s="16" t="inlineStr">
        <is>
          <t>탄소중립 / 산업안전 / ESG</t>
        </is>
      </c>
      <c r="D434" s="22" t="n">
        <v>30000000</v>
      </c>
      <c r="E434" s="22" t="n">
        <v>42000000</v>
      </c>
      <c r="F434" s="23" t="n">
        <v>38000</v>
      </c>
      <c r="G434" s="22" t="n">
        <v>34000</v>
      </c>
      <c r="H434" s="15" t="inlineStr">
        <is>
          <t>stable</t>
        </is>
      </c>
      <c r="I434" s="20" t="inlineStr">
        <is>
          <t>4.7%</t>
        </is>
      </c>
      <c r="J434" s="15" t="n">
        <v>0.71</v>
      </c>
      <c r="K434" s="15" t="inlineStr">
        <is>
          <t>standard</t>
        </is>
      </c>
    </row>
    <row r="435">
      <c r="A435" s="17" t="inlineStr">
        <is>
          <t>9623</t>
        </is>
      </c>
      <c r="B435" s="18" t="inlineStr">
        <is>
          <t>Meter Readers and Vending-machine Collectors</t>
        </is>
      </c>
      <c r="C435" s="18" t="inlineStr">
        <is>
          <t>탄소중립 / 산업안전 / ESG</t>
        </is>
      </c>
      <c r="D435" s="24" t="n">
        <v>30000000</v>
      </c>
      <c r="E435" s="24" t="n">
        <v>42000000</v>
      </c>
      <c r="F435" s="25" t="n">
        <v>38000</v>
      </c>
      <c r="G435" s="24" t="n">
        <v>34000</v>
      </c>
      <c r="H435" s="17" t="inlineStr">
        <is>
          <t>stable</t>
        </is>
      </c>
      <c r="I435" s="21" t="inlineStr">
        <is>
          <t>4.7%</t>
        </is>
      </c>
      <c r="J435" s="17" t="n">
        <v>0.5600000000000001</v>
      </c>
      <c r="K435" s="17" t="inlineStr">
        <is>
          <t>standard</t>
        </is>
      </c>
    </row>
    <row r="436">
      <c r="A436" s="15" t="inlineStr">
        <is>
          <t>9624</t>
        </is>
      </c>
      <c r="B436" s="16" t="inlineStr">
        <is>
          <t>Water and Firewood Collectors</t>
        </is>
      </c>
      <c r="C436" s="16" t="inlineStr">
        <is>
          <t>탄소중립 / 산업안전 / ESG</t>
        </is>
      </c>
      <c r="D436" s="22" t="n">
        <v>30000000</v>
      </c>
      <c r="E436" s="22" t="n">
        <v>42000000</v>
      </c>
      <c r="F436" s="23" t="n">
        <v>38000</v>
      </c>
      <c r="G436" s="22" t="n">
        <v>34000</v>
      </c>
      <c r="H436" s="15" t="inlineStr">
        <is>
          <t>stable</t>
        </is>
      </c>
      <c r="I436" s="20" t="inlineStr">
        <is>
          <t>4.7%</t>
        </is>
      </c>
      <c r="J436" s="15" t="n">
        <v>0.7</v>
      </c>
      <c r="K436" s="15" t="inlineStr">
        <is>
          <t>standard</t>
        </is>
      </c>
    </row>
    <row r="437">
      <c r="A437" s="17" t="inlineStr">
        <is>
          <t>9629</t>
        </is>
      </c>
      <c r="B437" s="18" t="inlineStr">
        <is>
          <t>Elementary Workers Not Elsewhere Classified</t>
        </is>
      </c>
      <c r="C437" s="18" t="inlineStr">
        <is>
          <t>탄소중립 / 산업안전 / ESG</t>
        </is>
      </c>
      <c r="D437" s="24" t="n">
        <v>30000000</v>
      </c>
      <c r="E437" s="24" t="n">
        <v>42000000</v>
      </c>
      <c r="F437" s="25" t="n">
        <v>38000</v>
      </c>
      <c r="G437" s="24" t="n">
        <v>34000</v>
      </c>
      <c r="H437" s="17" t="inlineStr">
        <is>
          <t>stable</t>
        </is>
      </c>
      <c r="I437" s="21" t="inlineStr">
        <is>
          <t>4.7%</t>
        </is>
      </c>
      <c r="J437" s="17" t="n">
        <v>0.67</v>
      </c>
      <c r="K437" s="17" t="inlineStr">
        <is>
          <t>standard</t>
        </is>
      </c>
    </row>
  </sheetData>
  <conditionalFormatting sqref="J2:J437">
    <cfRule type="colorScale" priority="1">
      <colorScale>
        <cfvo type="num" val="0"/>
        <cfvo type="num" val="0.5"/>
        <cfvo type="num" val="1"/>
        <color rgb="0063BE7B"/>
        <color rgb="00FFEB84"/>
        <color rgb="00F8696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showGridLines="1" workbookViewId="0">
      <selection activeCell="A1" sqref="A1"/>
    </sheetView>
  </sheetViews>
  <sheetFormatPr baseColWidth="8" defaultRowHeight="15"/>
  <cols>
    <col width="13" customWidth="1" min="1" max="1"/>
    <col width="12" customWidth="1" min="2" max="2"/>
    <col width="45" customWidth="1" min="3" max="3"/>
    <col width="12" customWidth="1" min="4" max="4"/>
    <col width="45" customWidth="1" min="5" max="5"/>
    <col width="29" customWidth="1" min="6" max="6"/>
    <col width="45" customWidth="1" min="7" max="7"/>
    <col width="25" customWidth="1" min="8" max="8"/>
    <col width="45" customWidth="1" min="9" max="9"/>
    <col width="35" customWidth="1" min="10" max="10"/>
    <col width="29" customWidth="1" min="11" max="11"/>
    <col width="45" customWidth="1" min="12" max="12"/>
  </cols>
  <sheetData>
    <row r="1">
      <c r="A1" s="19" t="inlineStr">
        <is>
          <t>Handoff_ID</t>
        </is>
      </c>
      <c r="B1" s="19" t="inlineStr">
        <is>
          <t>From_ISCO</t>
        </is>
      </c>
      <c r="C1" s="19" t="inlineStr">
        <is>
          <t>From_Role</t>
        </is>
      </c>
      <c r="D1" s="19" t="inlineStr">
        <is>
          <t>To_ISCO</t>
        </is>
      </c>
      <c r="E1" s="19" t="inlineStr">
        <is>
          <t>To_Role</t>
        </is>
      </c>
      <c r="F1" s="19" t="inlineStr">
        <is>
          <t>Domain</t>
        </is>
      </c>
      <c r="G1" s="19" t="inlineStr">
        <is>
          <t>Workflow_Step</t>
        </is>
      </c>
      <c r="H1" s="19" t="inlineStr">
        <is>
          <t>Handoff_Overhead_Hours</t>
        </is>
      </c>
      <c r="I1" s="19" t="inlineStr">
        <is>
          <t>Bottleneck_Pain_Point</t>
        </is>
      </c>
      <c r="J1" s="19" t="inlineStr">
        <is>
          <t>B2B_SaaS_Opportunity_Spec</t>
        </is>
      </c>
      <c r="K1" s="19" t="inlineStr">
        <is>
          <t>Buyer_Persona (Payer)</t>
        </is>
      </c>
      <c r="L1" s="19" t="inlineStr">
        <is>
          <t>End_User_Persona (User)</t>
        </is>
      </c>
    </row>
    <row r="2">
      <c r="A2" s="15" t="inlineStr">
        <is>
          <t>WF-001</t>
        </is>
      </c>
      <c r="B2" s="15" t="inlineStr">
        <is>
          <t>4110</t>
        </is>
      </c>
      <c r="C2" s="16" t="inlineStr">
        <is>
          <t>General Office Clerks</t>
        </is>
      </c>
      <c r="D2" s="15" t="inlineStr">
        <is>
          <t>1111</t>
        </is>
      </c>
      <c r="E2" s="16" t="inlineStr">
        <is>
          <t>Legislators</t>
        </is>
      </c>
      <c r="F2" s="16" t="inlineStr">
        <is>
          <t>경영전략 / 인사 / 사업개발</t>
        </is>
      </c>
      <c r="G2" s="16" t="inlineStr">
        <is>
          <t>General Office Clerks ➔ Legislators 산출물 승인 및 운영 이관</t>
        </is>
      </c>
      <c r="H2" s="26" t="n">
        <v>6</v>
      </c>
      <c r="I2" s="16" t="inlineStr">
        <is>
          <t>General Office Clerks과(와) Legislators 간의 산출물 전달 시 스키마 불일치 및 수작업 검증 병목</t>
        </is>
      </c>
      <c r="J2" s="16" t="inlineStr">
        <is>
          <t>AI 에이전트 런타임 정책집행·감사증거</t>
        </is>
      </c>
      <c r="K2" s="16" t="inlineStr">
        <is>
          <t>CISO·CAIO·AI 플랫폼 책임자</t>
        </is>
      </c>
      <c r="L2" s="16" t="inlineStr">
        <is>
          <t>General Office Clerks</t>
        </is>
      </c>
    </row>
    <row r="3">
      <c r="A3" s="17" t="inlineStr">
        <is>
          <t>WF-002</t>
        </is>
      </c>
      <c r="B3" s="17" t="inlineStr">
        <is>
          <t>7211</t>
        </is>
      </c>
      <c r="C3" s="18" t="inlineStr">
        <is>
          <t>Metal Moulders and Coremakers</t>
        </is>
      </c>
      <c r="D3" s="17" t="inlineStr">
        <is>
          <t>1311</t>
        </is>
      </c>
      <c r="E3" s="18" t="inlineStr">
        <is>
          <t>Agricultural and Forestry Production Managers</t>
        </is>
      </c>
      <c r="F3" s="18" t="inlineStr">
        <is>
          <t>모빌리티 / 자율주행 / 로보틱스</t>
        </is>
      </c>
      <c r="G3" s="18" t="inlineStr">
        <is>
          <t>Metal Moulders and Coremakers ➔ Agricultural and Forestry Production Managers 산출물 승인 및 운영 이관</t>
        </is>
      </c>
      <c r="H3" s="27" t="n">
        <v>7.5</v>
      </c>
      <c r="I3" s="18" t="inlineStr">
        <is>
          <t>Metal Moulders and Coremakers과(와) Agricultural and Forestry Production Managers 간의 산출물 전달 시 스키마 불일치 및 수작업 검증 병목</t>
        </is>
      </c>
      <c r="J3" s="18" t="inlineStr">
        <is>
          <t>SOC 경보 분류·조사·승인형 대응</t>
        </is>
      </c>
      <c r="K3" s="18" t="inlineStr">
        <is>
          <t>SOC 책임자·MSSP·CISO</t>
        </is>
      </c>
      <c r="L3" s="18" t="inlineStr">
        <is>
          <t>Metal Moulders and Coremakers</t>
        </is>
      </c>
    </row>
    <row r="4">
      <c r="A4" s="15" t="inlineStr">
        <is>
          <t>WF-003</t>
        </is>
      </c>
      <c r="B4" s="15" t="inlineStr">
        <is>
          <t>4211</t>
        </is>
      </c>
      <c r="C4" s="16" t="inlineStr">
        <is>
          <t>Bank Tellers and Related Clerks</t>
        </is>
      </c>
      <c r="D4" s="15" t="inlineStr">
        <is>
          <t>1411</t>
        </is>
      </c>
      <c r="E4" s="16" t="inlineStr">
        <is>
          <t>Hotel Managers</t>
        </is>
      </c>
      <c r="F4" s="16" t="inlineStr">
        <is>
          <t>B2B영업 / 마케팅 / GTM</t>
        </is>
      </c>
      <c r="G4" s="16" t="inlineStr">
        <is>
          <t>Bank Tellers and Related Clerks ➔ Hotel Managers 산출물 승인 및 운영 이관</t>
        </is>
      </c>
      <c r="H4" s="26" t="n">
        <v>9</v>
      </c>
      <c r="I4" s="16" t="inlineStr">
        <is>
          <t>Bank Tellers and Related Clerks과(와) Hotel Managers 간의 산출물 전달 시 스키마 불일치 및 수작업 검증 병목</t>
        </is>
      </c>
      <c r="J4" s="16" t="inlineStr">
        <is>
          <t>IT 서비스 장애 분류·원인조사·해결계획</t>
        </is>
      </c>
      <c r="K4" s="16" t="inlineStr">
        <is>
          <t>IT 운영 책임자·서비스데스크 책임자</t>
        </is>
      </c>
      <c r="L4" s="16" t="inlineStr">
        <is>
          <t>Bank Tellers and Related Clerks</t>
        </is>
      </c>
    </row>
    <row r="5">
      <c r="A5" s="17" t="inlineStr">
        <is>
          <t>WF-004</t>
        </is>
      </c>
      <c r="B5" s="17" t="inlineStr">
        <is>
          <t>2111</t>
        </is>
      </c>
      <c r="C5" s="18" t="inlineStr">
        <is>
          <t>Physicists and Astronomers</t>
        </is>
      </c>
      <c r="D5" s="17" t="inlineStr">
        <is>
          <t>2112</t>
        </is>
      </c>
      <c r="E5" s="18" t="inlineStr">
        <is>
          <t>Meteorologists</t>
        </is>
      </c>
      <c r="F5" s="18" t="inlineStr">
        <is>
          <t>반도체 / 전자회로 / 하드웨어</t>
        </is>
      </c>
      <c r="G5" s="18" t="inlineStr">
        <is>
          <t>Physicists and Astronomers ➔ Meteorologists 산출물 승인 및 운영 이관</t>
        </is>
      </c>
      <c r="H5" s="27" t="n">
        <v>10.5</v>
      </c>
      <c r="I5" s="18" t="inlineStr">
        <is>
          <t>Physicists and Astronomers과(와) Meteorologists 간의 산출물 전달 시 스키마 불일치 및 수작업 검증 병목</t>
        </is>
      </c>
      <c r="J5" s="18" t="inlineStr">
        <is>
          <t>제조 현장 예외·품질·일정 재계획</t>
        </is>
      </c>
      <c r="K5" s="18" t="inlineStr">
        <is>
          <t>공장장·생산기획·품질책임자</t>
        </is>
      </c>
      <c r="L5" s="18" t="inlineStr">
        <is>
          <t>Physicists and Astronomers</t>
        </is>
      </c>
    </row>
    <row r="6">
      <c r="A6" s="15" t="inlineStr">
        <is>
          <t>WF-005</t>
        </is>
      </c>
      <c r="B6" s="15" t="inlineStr">
        <is>
          <t>2211</t>
        </is>
      </c>
      <c r="C6" s="16" t="inlineStr">
        <is>
          <t>Generalist Medical Practitioners</t>
        </is>
      </c>
      <c r="D6" s="15" t="inlineStr">
        <is>
          <t>5311</t>
        </is>
      </c>
      <c r="E6" s="16" t="inlineStr">
        <is>
          <t>Child Care Workers</t>
        </is>
      </c>
      <c r="F6" s="16" t="inlineStr">
        <is>
          <t>바이오 / 제약 / 임상헬스케어</t>
        </is>
      </c>
      <c r="G6" s="16" t="inlineStr">
        <is>
          <t>Generalist Medical Practitioners ➔ Child Care Workers 산출물 승인 및 운영 이관</t>
        </is>
      </c>
      <c r="H6" s="26" t="n">
        <v>4.5</v>
      </c>
      <c r="I6" s="16" t="inlineStr">
        <is>
          <t>Generalist Medical Practitioners과(와) Child Care Workers 간의 산출물 전달 시 스키마 불일치 및 수작업 검증 병목</t>
        </is>
      </c>
      <c r="J6" s="16" t="inlineStr">
        <is>
          <t>산업설비 고장 진단·정비창 추천</t>
        </is>
      </c>
      <c r="K6" s="16" t="inlineStr">
        <is>
          <t>설비보전 책임자·플랜트 운영사</t>
        </is>
      </c>
      <c r="L6" s="16" t="inlineStr">
        <is>
          <t>Generalist Medical Practitioners</t>
        </is>
      </c>
    </row>
    <row r="7">
      <c r="A7" s="17" t="inlineStr">
        <is>
          <t>WF-006</t>
        </is>
      </c>
      <c r="B7" s="17" t="inlineStr">
        <is>
          <t>3311</t>
        </is>
      </c>
      <c r="C7" s="18" t="inlineStr">
        <is>
          <t>Securities and Finance Dealers and Brokers</t>
        </is>
      </c>
      <c r="D7" s="17" t="inlineStr">
        <is>
          <t>2411</t>
        </is>
      </c>
      <c r="E7" s="18" t="inlineStr">
        <is>
          <t>Accountants</t>
        </is>
      </c>
      <c r="F7" s="18" t="inlineStr">
        <is>
          <t>금융투자 / 핀테크 / 리스크</t>
        </is>
      </c>
      <c r="G7" s="18" t="inlineStr">
        <is>
          <t>Securities and Finance Dealers and Brokers ➔ Accountants 산출물 승인 및 운영 이관</t>
        </is>
      </c>
      <c r="H7" s="27" t="n">
        <v>6</v>
      </c>
      <c r="I7" s="18" t="inlineStr">
        <is>
          <t>Securities and Finance Dealers and Brokers과(와) Accountants 간의 산출물 전달 시 스키마 불일치 및 수작업 검증 병목</t>
        </is>
      </c>
      <c r="J7" s="18" t="inlineStr">
        <is>
          <t>정밀농업 작업계획·현장 예외 조정</t>
        </is>
      </c>
      <c r="K7" s="18" t="inlineStr">
        <is>
          <t>농장주·영농조합·농기계/농업서비스 사업자</t>
        </is>
      </c>
      <c r="L7" s="18" t="inlineStr">
        <is>
          <t>Securities and Finance Dealers and Brokers</t>
        </is>
      </c>
    </row>
    <row r="8">
      <c r="A8" s="15" t="inlineStr">
        <is>
          <t>WF-007</t>
        </is>
      </c>
      <c r="B8" s="15" t="inlineStr">
        <is>
          <t>2511</t>
        </is>
      </c>
      <c r="C8" s="16" t="inlineStr">
        <is>
          <t>Systems Analysts</t>
        </is>
      </c>
      <c r="D8" s="15" t="inlineStr">
        <is>
          <t>2512</t>
        </is>
      </c>
      <c r="E8" s="16" t="inlineStr">
        <is>
          <t>Software Developers</t>
        </is>
      </c>
      <c r="F8" s="16" t="inlineStr">
        <is>
          <t>ICT / Software &amp; Data / AI</t>
        </is>
      </c>
      <c r="G8" s="16" t="inlineStr">
        <is>
          <t>Systems Analysts ➔ Software Developers 산출물 승인 및 운영 이관</t>
        </is>
      </c>
      <c r="H8" s="26" t="n">
        <v>7.5</v>
      </c>
      <c r="I8" s="16" t="inlineStr">
        <is>
          <t>Systems Analysts과(와) Software Developers 간의 산출물 전달 시 스키마 불일치 및 수작업 검증 병목</t>
        </is>
      </c>
      <c r="J8" s="16" t="inlineStr">
        <is>
          <t>3PL·유통 현장의 경로·배차 예외 처리</t>
        </is>
      </c>
      <c r="K8" s="16" t="inlineStr">
        <is>
          <t>3PL 운영책임자·유통센터장</t>
        </is>
      </c>
      <c r="L8" s="16" t="inlineStr">
        <is>
          <t>Systems Analysts</t>
        </is>
      </c>
    </row>
    <row r="9">
      <c r="A9" s="17" t="inlineStr">
        <is>
          <t>WF-008</t>
        </is>
      </c>
      <c r="B9" s="17" t="inlineStr">
        <is>
          <t>3411</t>
        </is>
      </c>
      <c r="C9" s="18" t="inlineStr">
        <is>
          <t>Legal and Related Associate Professionals</t>
        </is>
      </c>
      <c r="D9" s="17" t="inlineStr">
        <is>
          <t>2611</t>
        </is>
      </c>
      <c r="E9" s="18" t="inlineStr">
        <is>
          <t>Lawyers</t>
        </is>
      </c>
      <c r="F9" s="18" t="inlineStr">
        <is>
          <t>법률 / 지식재산권 / 변리</t>
        </is>
      </c>
      <c r="G9" s="18" t="inlineStr">
        <is>
          <t>Legal and Related Associate Professionals ➔ Lawyers 산출물 승인 및 운영 이관</t>
        </is>
      </c>
      <c r="H9" s="27" t="n">
        <v>9</v>
      </c>
      <c r="I9" s="18" t="inlineStr">
        <is>
          <t>Legal and Related Associate Professionals과(와) Lawyers 간의 산출물 전달 시 스키마 불일치 및 수작업 검증 병목</t>
        </is>
      </c>
      <c r="J9" s="18" t="inlineStr">
        <is>
          <t>한국 규제·계약 준수 검토 보조</t>
        </is>
      </c>
      <c r="K9" s="18" t="inlineStr">
        <is>
          <t>사내 법무·컴플라이언스 책임자·규제산업 중소기업</t>
        </is>
      </c>
      <c r="L9" s="18" t="inlineStr">
        <is>
          <t>Legal and Related Associate Professionals</t>
        </is>
      </c>
    </row>
    <row r="10">
      <c r="A10" s="15" t="inlineStr">
        <is>
          <t>WF-009</t>
        </is>
      </c>
      <c r="B10" s="15" t="inlineStr">
        <is>
          <t>6111</t>
        </is>
      </c>
      <c r="C10" s="16" t="inlineStr">
        <is>
          <t>Field Crop and Vegetable Growers</t>
        </is>
      </c>
      <c r="D10" s="15" t="inlineStr">
        <is>
          <t>5411</t>
        </is>
      </c>
      <c r="E10" s="16" t="inlineStr">
        <is>
          <t>Fire Fighters</t>
        </is>
      </c>
      <c r="F10" s="16" t="inlineStr">
        <is>
          <t>탄소중립 / 산업안전 / ESG</t>
        </is>
      </c>
      <c r="G10" s="16" t="inlineStr">
        <is>
          <t>Field Crop and Vegetable Growers ➔ Fire Fighters 산출물 승인 및 운영 이관</t>
        </is>
      </c>
      <c r="H10" s="26" t="n">
        <v>10.5</v>
      </c>
      <c r="I10" s="16" t="inlineStr">
        <is>
          <t>Field Crop and Vegetable Growers과(와) Fire Fighters 간의 산출물 전달 시 스키마 불일치 및 수작업 검증 병목</t>
        </is>
      </c>
      <c r="J10" s="16" t="inlineStr">
        <is>
          <t>전력망 시나리오·계통연계 계획 보조</t>
        </is>
      </c>
      <c r="K10" s="16" t="inlineStr">
        <is>
          <t>송배전사·발전사업자·계통연계 컨설팅사</t>
        </is>
      </c>
      <c r="L10" s="16" t="inlineStr">
        <is>
          <t>Field Crop and Vegetable Growers</t>
        </is>
      </c>
    </row>
    <row r="11">
      <c r="A11" s="17" t="inlineStr">
        <is>
          <t>WF-010</t>
        </is>
      </c>
      <c r="B11" s="17" t="inlineStr">
        <is>
          <t>7111</t>
        </is>
      </c>
      <c r="C11" s="18" t="inlineStr">
        <is>
          <t>House Builders</t>
        </is>
      </c>
      <c r="D11" s="17" t="inlineStr">
        <is>
          <t>7112</t>
        </is>
      </c>
      <c r="E11" s="18" t="inlineStr">
        <is>
          <t>Bricklayers and Related Workers</t>
        </is>
      </c>
      <c r="F11" s="18" t="inlineStr">
        <is>
          <t>스마트건축 / 토목 / 인프라</t>
        </is>
      </c>
      <c r="G11" s="18" t="inlineStr">
        <is>
          <t>House Builders ➔ Bricklayers and Related Workers 산출물 승인 및 운영 이관</t>
        </is>
      </c>
      <c r="H11" s="27" t="n">
        <v>4.5</v>
      </c>
      <c r="I11" s="18" t="inlineStr">
        <is>
          <t>House Builders과(와) Bricklayers and Related Workers 간의 산출물 전달 시 스키마 불일치 및 수작업 검증 병목</t>
        </is>
      </c>
      <c r="J11" s="18" t="inlineStr">
        <is>
          <t>자율실험실의 실험설계·기기실행 폐쇄루프</t>
        </is>
      </c>
      <c r="K11" s="18" t="inlineStr">
        <is>
          <t>바이오/소재 R&amp;D 책임자·공용장비센터</t>
        </is>
      </c>
      <c r="L11" s="18" t="inlineStr">
        <is>
          <t>House Builders</t>
        </is>
      </c>
    </row>
    <row r="12">
      <c r="A12" s="15" t="inlineStr">
        <is>
          <t>WF-011</t>
        </is>
      </c>
      <c r="B12" s="15" t="inlineStr">
        <is>
          <t>7311</t>
        </is>
      </c>
      <c r="C12" s="16" t="inlineStr">
        <is>
          <t>Precision-instrument Makers and Repairers</t>
        </is>
      </c>
      <c r="D12" s="15" t="inlineStr">
        <is>
          <t>7312</t>
        </is>
      </c>
      <c r="E12" s="16" t="inlineStr">
        <is>
          <t>Musical Instrument Makers and Tuners</t>
        </is>
      </c>
      <c r="F12" s="16" t="inlineStr">
        <is>
          <t>디자인 / 디지털미디어 / 콘텐츠</t>
        </is>
      </c>
      <c r="G12" s="16" t="inlineStr">
        <is>
          <t>Precision-instrument Makers and Repairers ➔ Musical Instrument Makers and Tuners 산출물 승인 및 운영 이관</t>
        </is>
      </c>
      <c r="H12" s="26" t="n">
        <v>6</v>
      </c>
      <c r="I12" s="16" t="inlineStr">
        <is>
          <t>Precision-instrument Makers and Repairers과(와) Musical Instrument Makers and Tuners 간의 산출물 전달 시 스키마 불일치 및 수작업 검증 병목</t>
        </is>
      </c>
      <c r="J12" s="16" t="inlineStr">
        <is>
          <t>AI 에이전트 런타임 정책집행·감사증거</t>
        </is>
      </c>
      <c r="K12" s="16" t="inlineStr">
        <is>
          <t>CISO·CAIO·AI 플랫폼 책임자</t>
        </is>
      </c>
      <c r="L12" s="16" t="inlineStr">
        <is>
          <t>Precision-instrument Makers and Repairers</t>
        </is>
      </c>
    </row>
    <row r="13">
      <c r="A13" s="17" t="inlineStr">
        <is>
          <t>WF-012</t>
        </is>
      </c>
      <c r="B13" s="17" t="inlineStr">
        <is>
          <t>8111</t>
        </is>
      </c>
      <c r="C13" s="18" t="inlineStr">
        <is>
          <t>Miners and Quarriers</t>
        </is>
      </c>
      <c r="D13" s="17" t="inlineStr">
        <is>
          <t>8112</t>
        </is>
      </c>
      <c r="E13" s="18" t="inlineStr">
        <is>
          <t>Mineral and Stone Processing Plant Operators</t>
        </is>
      </c>
      <c r="F13" s="18" t="inlineStr">
        <is>
          <t>배터리 / 신소재 / 에너지</t>
        </is>
      </c>
      <c r="G13" s="18" t="inlineStr">
        <is>
          <t>Miners and Quarriers ➔ Mineral and Stone Processing Plant Operators 산출물 승인 및 운영 이관</t>
        </is>
      </c>
      <c r="H13" s="27" t="n">
        <v>7.5</v>
      </c>
      <c r="I13" s="18" t="inlineStr">
        <is>
          <t>Miners and Quarriers과(와) Mineral and Stone Processing Plant Operators 간의 산출물 전달 시 스키마 불일치 및 수작업 검증 병목</t>
        </is>
      </c>
      <c r="J13" s="18" t="inlineStr">
        <is>
          <t>SOC 경보 분류·조사·승인형 대응</t>
        </is>
      </c>
      <c r="K13" s="18" t="inlineStr">
        <is>
          <t>SOC 책임자·MSSP·CISO</t>
        </is>
      </c>
      <c r="L13" s="18" t="inlineStr">
        <is>
          <t>Miners and Quarriers</t>
        </is>
      </c>
    </row>
    <row r="14">
      <c r="A14" s="15" t="inlineStr">
        <is>
          <t>WF-013</t>
        </is>
      </c>
      <c r="B14" s="15" t="inlineStr">
        <is>
          <t>2512</t>
        </is>
      </c>
      <c r="C14" s="16" t="inlineStr">
        <is>
          <t>Software Developers</t>
        </is>
      </c>
      <c r="D14" s="15" t="inlineStr">
        <is>
          <t>2511</t>
        </is>
      </c>
      <c r="E14" s="16" t="inlineStr">
        <is>
          <t>Systems Analysts</t>
        </is>
      </c>
      <c r="F14" s="16" t="inlineStr">
        <is>
          <t>ICT / Software &amp; Data / AI</t>
        </is>
      </c>
      <c r="G14" s="16" t="inlineStr">
        <is>
          <t>데이터 엔지니어링 파이프라인 정제 및 분석 요건 이관</t>
        </is>
      </c>
      <c r="H14" s="26" t="n">
        <v>5.5</v>
      </c>
      <c r="I14" s="16" t="inlineStr">
        <is>
          <t>스키마 변경 및 데이터 모델 변경 시 다운스트림 분석 쿼리 일괄 실패</t>
        </is>
      </c>
      <c r="J14" s="16" t="inlineStr">
        <is>
          <t>데이터 파이프라인 CI/CD 및 스키마 변경 감지 SaaS</t>
        </is>
      </c>
      <c r="K14" s="16" t="inlineStr">
        <is>
          <t>데이터 본부장 / CTO</t>
        </is>
      </c>
      <c r="L14" s="16" t="inlineStr">
        <is>
          <t>데이터 엔지니어, 데이터 분석가</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12" customWidth="1" min="1" max="1"/>
    <col width="35" customWidth="1" min="2" max="2"/>
    <col width="29" customWidth="1" min="3" max="3"/>
    <col width="39" customWidth="1" min="4" max="4"/>
    <col width="12" customWidth="1" min="5" max="5"/>
    <col width="45" customWidth="1" min="6" max="6"/>
  </cols>
  <sheetData>
    <row r="1"/>
    <row r="2">
      <c r="B2" s="1" t="inlineStr">
        <is>
          <t>국가별 직종 텍사노미 크로스워크 메타데이터 및 산출 방법론</t>
        </is>
      </c>
    </row>
    <row r="3"/>
    <row r="4">
      <c r="B4" s="28" t="inlineStr">
        <is>
          <t>분류체계 명칭</t>
        </is>
      </c>
      <c r="C4" s="28" t="inlineStr">
        <is>
          <t>공식 발급/관리 기관</t>
        </is>
      </c>
      <c r="D4" s="28" t="inlineStr">
        <is>
          <t>코드 자릿수 및 체계</t>
        </is>
      </c>
      <c r="E4" s="28" t="inlineStr">
        <is>
          <t>총 단위 개수</t>
        </is>
      </c>
      <c r="F4" s="28" t="inlineStr">
        <is>
          <t>데이터 정본 출처 (SSOT)</t>
        </is>
      </c>
    </row>
    <row r="5">
      <c r="B5" s="16" t="inlineStr">
        <is>
          <t>ISCO-08</t>
        </is>
      </c>
      <c r="C5" s="16" t="inlineStr">
        <is>
          <t>국제노동기구 (ILO)</t>
        </is>
      </c>
      <c r="D5" s="16" t="inlineStr">
        <is>
          <t>4자리 세부군 (Unit Groups)</t>
        </is>
      </c>
      <c r="E5" s="16" t="inlineStr">
        <is>
          <t>436개</t>
        </is>
      </c>
      <c r="F5" s="16" t="inlineStr">
        <is>
          <t>ILO Structure and Definitions (SHA-256: df107444...)</t>
        </is>
      </c>
    </row>
    <row r="6">
      <c r="B6" s="18" t="inlineStr">
        <is>
          <t>NCS (국가직무능력표준)</t>
        </is>
      </c>
      <c r="C6" s="18" t="inlineStr">
        <is>
          <t>한국산업인력공단 (HRDKorea)</t>
        </is>
      </c>
      <c r="D6" s="18" t="inlineStr">
        <is>
          <t>8자리 세분류 (대24/중81/소269/세1,083)</t>
        </is>
      </c>
      <c r="E6" s="18" t="inlineStr">
        <is>
          <t>1,083개 직무</t>
        </is>
      </c>
      <c r="F6" s="18" t="inlineStr">
        <is>
          <t>공공데이터포털 인사혁신처 및 산업인력공단 NCS API</t>
        </is>
      </c>
    </row>
    <row r="7">
      <c r="B7" s="16" t="inlineStr">
        <is>
          <t>KSCO (한국표준직업분류)</t>
        </is>
      </c>
      <c r="C7" s="16" t="inlineStr">
        <is>
          <t>통계청 (KOSTAT 8차 개정)</t>
        </is>
      </c>
      <c r="D7" s="16" t="inlineStr">
        <is>
          <t>5자리 세세분류 (대10/중52/소156/세450/세세1,231)</t>
        </is>
      </c>
      <c r="E7" s="16" t="inlineStr">
        <is>
          <t>1,231개 직종</t>
        </is>
      </c>
      <c r="F7" s="16" t="inlineStr">
        <is>
          <t>KOSIS 국가통계포털 직업분류체계</t>
        </is>
      </c>
    </row>
    <row r="8">
      <c r="B8" s="18" t="inlineStr">
        <is>
          <t>O*NET-SOC</t>
        </is>
      </c>
      <c r="C8" s="18" t="inlineStr">
        <is>
          <t>미국 노동부 (US DOL / ETA)</t>
        </is>
      </c>
      <c r="D8" s="18" t="inlineStr">
        <is>
          <t>8자리 상세 직종 (SOC 6자리 확장)</t>
        </is>
      </c>
      <c r="E8" s="18" t="inlineStr">
        <is>
          <t>1,016개 직종</t>
        </is>
      </c>
      <c r="F8" s="18" t="inlineStr">
        <is>
          <t>O*NET 28.x Database (KSAOs, Tasks 19,000+)</t>
        </is>
      </c>
    </row>
    <row r="9">
      <c r="B9" s="16" t="inlineStr">
        <is>
          <t>CZ-ISCO</t>
        </is>
      </c>
      <c r="C9" s="16" t="inlineStr">
        <is>
          <t>체코 통계청(CZSO) &amp; 노동사회부(MPSV)</t>
        </is>
      </c>
      <c r="D9" s="16" t="inlineStr">
        <is>
          <t>5자리 체코 고유 세세직종</t>
        </is>
      </c>
      <c r="E9" s="16" t="inlineStr">
        <is>
          <t>약 1,500개</t>
        </is>
      </c>
      <c r="F9" s="16" t="inlineStr">
        <is>
          <t>체코 노동사회부(MPSV) 국가직업체계(NSP)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4"/>
  <sheetViews>
    <sheetView showGridLines="1" workbookViewId="0">
      <selection activeCell="A1" sqref="A1"/>
    </sheetView>
  </sheetViews>
  <sheetFormatPr baseColWidth="8" defaultRowHeight="15"/>
  <cols>
    <col width="12" customWidth="1" min="1" max="1"/>
    <col width="13" customWidth="1" min="2" max="2"/>
    <col width="33" customWidth="1" min="3" max="3"/>
    <col width="12" customWidth="1" min="4" max="4"/>
    <col width="12" customWidth="1" min="5" max="5"/>
    <col width="15" customWidth="1" min="6" max="6"/>
    <col width="19" customWidth="1" min="7" max="7"/>
    <col width="14" customWidth="1" min="8" max="8"/>
    <col width="17" customWidth="1" min="9" max="9"/>
    <col width="12" customWidth="1" min="10" max="10"/>
    <col width="45" customWidth="1" min="11" max="11"/>
    <col width="21" customWidth="1" min="12" max="12"/>
    <col width="19" customWidth="1" min="13" max="13"/>
    <col width="21" customWidth="1" min="14" max="14"/>
    <col width="19" customWidth="1" min="15" max="15"/>
    <col width="15" customWidth="1" min="16" max="16"/>
  </cols>
  <sheetData>
    <row r="1">
      <c r="A1" s="19" t="inlineStr">
        <is>
          <t>Category</t>
        </is>
      </c>
      <c r="B1" s="19" t="inlineStr">
        <is>
          <t>Entity_ID</t>
        </is>
      </c>
      <c r="C1" s="19" t="inlineStr">
        <is>
          <t>Entity_Name</t>
        </is>
      </c>
      <c r="D1" s="19" t="inlineStr">
        <is>
          <t>Country</t>
        </is>
      </c>
      <c r="E1" s="19" t="inlineStr">
        <is>
          <t>Period</t>
        </is>
      </c>
      <c r="F1" s="19" t="inlineStr">
        <is>
          <t>Available_At</t>
        </is>
      </c>
      <c r="G1" s="19" t="inlineStr">
        <is>
          <t>Metric_Code</t>
        </is>
      </c>
      <c r="H1" s="19" t="inlineStr">
        <is>
          <t>Metric_Name</t>
        </is>
      </c>
      <c r="I1" s="19" t="inlineStr">
        <is>
          <t>Value</t>
        </is>
      </c>
      <c r="J1" s="19" t="inlineStr">
        <is>
          <t>Unit</t>
        </is>
      </c>
      <c r="K1" s="19" t="inlineStr">
        <is>
          <t>Cluster_Key</t>
        </is>
      </c>
      <c r="L1" s="19" t="inlineStr">
        <is>
          <t>Cluster_Sector</t>
        </is>
      </c>
      <c r="M1" s="19" t="inlineStr">
        <is>
          <t>Cluster_Contract</t>
        </is>
      </c>
      <c r="N1" s="19" t="inlineStr">
        <is>
          <t>Cluster_Tier</t>
        </is>
      </c>
      <c r="O1" s="19" t="inlineStr">
        <is>
          <t>Source_API</t>
        </is>
      </c>
      <c r="P1" s="19" t="inlineStr">
        <is>
          <t>Data_Quality</t>
        </is>
      </c>
    </row>
    <row r="2">
      <c r="A2" s="15" t="inlineStr">
        <is>
          <t>재무</t>
        </is>
      </c>
      <c r="B2" s="15" t="inlineStr">
        <is>
          <t>00258801</t>
        </is>
      </c>
      <c r="C2" s="16" t="inlineStr">
        <is>
          <t>카카오</t>
        </is>
      </c>
      <c r="D2" s="15" t="inlineStr">
        <is>
          <t>KR</t>
        </is>
      </c>
      <c r="E2" s="15" t="inlineStr">
        <is>
          <t>2023-Q1</t>
        </is>
      </c>
      <c r="F2" s="15" t="inlineStr">
        <is>
          <t>2023-05-15</t>
        </is>
      </c>
      <c r="G2" s="16" t="inlineStr">
        <is>
          <t>revenue</t>
        </is>
      </c>
      <c r="H2" s="16" t="inlineStr">
        <is>
          <t>매출액</t>
        </is>
      </c>
      <c r="I2" s="20" t="n">
        <v>1740000000000</v>
      </c>
      <c r="J2" s="15" t="inlineStr">
        <is>
          <t>KRW</t>
        </is>
      </c>
      <c r="K2" s="15" t="inlineStr">
        <is>
          <t>KR:PRIVATE:KOSPI:ALL:ALL</t>
        </is>
      </c>
      <c r="L2" s="15" t="inlineStr">
        <is>
          <t>PRIVATE</t>
        </is>
      </c>
      <c r="M2" s="15" t="inlineStr">
        <is>
          <t>ALL</t>
        </is>
      </c>
      <c r="N2" s="15" t="inlineStr">
        <is>
          <t>KOSPI</t>
        </is>
      </c>
      <c r="O2" s="15" t="inlineStr">
        <is>
          <t>OpenDART</t>
        </is>
      </c>
      <c r="P2" s="15" t="inlineStr">
        <is>
          <t>Audited</t>
        </is>
      </c>
    </row>
    <row r="3">
      <c r="A3" s="17" t="inlineStr">
        <is>
          <t>재무</t>
        </is>
      </c>
      <c r="B3" s="17" t="inlineStr">
        <is>
          <t>00258801</t>
        </is>
      </c>
      <c r="C3" s="18" t="inlineStr">
        <is>
          <t>카카오</t>
        </is>
      </c>
      <c r="D3" s="17" t="inlineStr">
        <is>
          <t>KR</t>
        </is>
      </c>
      <c r="E3" s="17" t="inlineStr">
        <is>
          <t>2023-Q2</t>
        </is>
      </c>
      <c r="F3" s="17" t="inlineStr">
        <is>
          <t>2023-08-14</t>
        </is>
      </c>
      <c r="G3" s="18" t="inlineStr">
        <is>
          <t>revenue</t>
        </is>
      </c>
      <c r="H3" s="18" t="inlineStr">
        <is>
          <t>매출액</t>
        </is>
      </c>
      <c r="I3" s="21" t="n">
        <v>1820000000000</v>
      </c>
      <c r="J3" s="17" t="inlineStr">
        <is>
          <t>KRW</t>
        </is>
      </c>
      <c r="K3" s="17" t="inlineStr">
        <is>
          <t>KR:PRIVATE:KOSPI:ALL:ALL</t>
        </is>
      </c>
      <c r="L3" s="17" t="inlineStr">
        <is>
          <t>PRIVATE</t>
        </is>
      </c>
      <c r="M3" s="17" t="inlineStr">
        <is>
          <t>ALL</t>
        </is>
      </c>
      <c r="N3" s="17" t="inlineStr">
        <is>
          <t>KOSPI</t>
        </is>
      </c>
      <c r="O3" s="17" t="inlineStr">
        <is>
          <t>OpenDART</t>
        </is>
      </c>
      <c r="P3" s="17" t="inlineStr">
        <is>
          <t>Audited</t>
        </is>
      </c>
    </row>
    <row r="4">
      <c r="A4" s="15" t="inlineStr">
        <is>
          <t>재무</t>
        </is>
      </c>
      <c r="B4" s="15" t="inlineStr">
        <is>
          <t>00258801</t>
        </is>
      </c>
      <c r="C4" s="16" t="inlineStr">
        <is>
          <t>카카오</t>
        </is>
      </c>
      <c r="D4" s="15" t="inlineStr">
        <is>
          <t>KR</t>
        </is>
      </c>
      <c r="E4" s="15" t="inlineStr">
        <is>
          <t>2023-Q3</t>
        </is>
      </c>
      <c r="F4" s="15" t="inlineStr">
        <is>
          <t>2023-11-14</t>
        </is>
      </c>
      <c r="G4" s="16" t="inlineStr">
        <is>
          <t>revenue</t>
        </is>
      </c>
      <c r="H4" s="16" t="inlineStr">
        <is>
          <t>매출액</t>
        </is>
      </c>
      <c r="I4" s="20" t="n">
        <v>1890000000000</v>
      </c>
      <c r="J4" s="15" t="inlineStr">
        <is>
          <t>KRW</t>
        </is>
      </c>
      <c r="K4" s="15" t="inlineStr">
        <is>
          <t>KR:PRIVATE:KOSPI:ALL:ALL</t>
        </is>
      </c>
      <c r="L4" s="15" t="inlineStr">
        <is>
          <t>PRIVATE</t>
        </is>
      </c>
      <c r="M4" s="15" t="inlineStr">
        <is>
          <t>ALL</t>
        </is>
      </c>
      <c r="N4" s="15" t="inlineStr">
        <is>
          <t>KOSPI</t>
        </is>
      </c>
      <c r="O4" s="15" t="inlineStr">
        <is>
          <t>OpenDART</t>
        </is>
      </c>
      <c r="P4" s="15" t="inlineStr">
        <is>
          <t>Audited</t>
        </is>
      </c>
    </row>
    <row r="5">
      <c r="A5" s="17" t="inlineStr">
        <is>
          <t>재무</t>
        </is>
      </c>
      <c r="B5" s="17" t="inlineStr">
        <is>
          <t>00258801</t>
        </is>
      </c>
      <c r="C5" s="18" t="inlineStr">
        <is>
          <t>카카오</t>
        </is>
      </c>
      <c r="D5" s="17" t="inlineStr">
        <is>
          <t>KR</t>
        </is>
      </c>
      <c r="E5" s="17" t="inlineStr">
        <is>
          <t>2023-Q4</t>
        </is>
      </c>
      <c r="F5" s="17" t="inlineStr">
        <is>
          <t>2024-03-15</t>
        </is>
      </c>
      <c r="G5" s="18" t="inlineStr">
        <is>
          <t>revenue</t>
        </is>
      </c>
      <c r="H5" s="18" t="inlineStr">
        <is>
          <t>매출액</t>
        </is>
      </c>
      <c r="I5" s="21" t="n">
        <v>1980000000000</v>
      </c>
      <c r="J5" s="17" t="inlineStr">
        <is>
          <t>KRW</t>
        </is>
      </c>
      <c r="K5" s="17" t="inlineStr">
        <is>
          <t>KR:PRIVATE:KOSPI:ALL:ALL</t>
        </is>
      </c>
      <c r="L5" s="17" t="inlineStr">
        <is>
          <t>PRIVATE</t>
        </is>
      </c>
      <c r="M5" s="17" t="inlineStr">
        <is>
          <t>ALL</t>
        </is>
      </c>
      <c r="N5" s="17" t="inlineStr">
        <is>
          <t>KOSPI</t>
        </is>
      </c>
      <c r="O5" s="17" t="inlineStr">
        <is>
          <t>OpenDART</t>
        </is>
      </c>
      <c r="P5" s="17" t="inlineStr">
        <is>
          <t>Audited</t>
        </is>
      </c>
    </row>
    <row r="6">
      <c r="A6" s="15" t="inlineStr">
        <is>
          <t>재무</t>
        </is>
      </c>
      <c r="B6" s="15" t="inlineStr">
        <is>
          <t>00258801</t>
        </is>
      </c>
      <c r="C6" s="16" t="inlineStr">
        <is>
          <t>카카오</t>
        </is>
      </c>
      <c r="D6" s="15" t="inlineStr">
        <is>
          <t>KR</t>
        </is>
      </c>
      <c r="E6" s="15" t="inlineStr">
        <is>
          <t>2024-Q1</t>
        </is>
      </c>
      <c r="F6" s="15" t="inlineStr">
        <is>
          <t>2024-05-16</t>
        </is>
      </c>
      <c r="G6" s="16" t="inlineStr">
        <is>
          <t>revenue</t>
        </is>
      </c>
      <c r="H6" s="16" t="inlineStr">
        <is>
          <t>매출액</t>
        </is>
      </c>
      <c r="I6" s="20" t="n">
        <v>1830000000000</v>
      </c>
      <c r="J6" s="15" t="inlineStr">
        <is>
          <t>KRW</t>
        </is>
      </c>
      <c r="K6" s="15" t="inlineStr">
        <is>
          <t>KR:PRIVATE:KOSPI:ALL:ALL</t>
        </is>
      </c>
      <c r="L6" s="15" t="inlineStr">
        <is>
          <t>PRIVATE</t>
        </is>
      </c>
      <c r="M6" s="15" t="inlineStr">
        <is>
          <t>ALL</t>
        </is>
      </c>
      <c r="N6" s="15" t="inlineStr">
        <is>
          <t>KOSPI</t>
        </is>
      </c>
      <c r="O6" s="15" t="inlineStr">
        <is>
          <t>OpenDART</t>
        </is>
      </c>
      <c r="P6" s="15" t="inlineStr">
        <is>
          <t>Audited</t>
        </is>
      </c>
    </row>
    <row r="7">
      <c r="A7" s="17" t="inlineStr">
        <is>
          <t>재무</t>
        </is>
      </c>
      <c r="B7" s="17" t="inlineStr">
        <is>
          <t>00258801</t>
        </is>
      </c>
      <c r="C7" s="18" t="inlineStr">
        <is>
          <t>카카오</t>
        </is>
      </c>
      <c r="D7" s="17" t="inlineStr">
        <is>
          <t>KR</t>
        </is>
      </c>
      <c r="E7" s="17" t="inlineStr">
        <is>
          <t>2024-Q2</t>
        </is>
      </c>
      <c r="F7" s="17" t="inlineStr">
        <is>
          <t>2024-08-14</t>
        </is>
      </c>
      <c r="G7" s="18" t="inlineStr">
        <is>
          <t>revenue</t>
        </is>
      </c>
      <c r="H7" s="18" t="inlineStr">
        <is>
          <t>매출액</t>
        </is>
      </c>
      <c r="I7" s="21" t="n">
        <v>1960000000000</v>
      </c>
      <c r="J7" s="17" t="inlineStr">
        <is>
          <t>KRW</t>
        </is>
      </c>
      <c r="K7" s="17" t="inlineStr">
        <is>
          <t>KR:PRIVATE:KOSPI:ALL:ALL</t>
        </is>
      </c>
      <c r="L7" s="17" t="inlineStr">
        <is>
          <t>PRIVATE</t>
        </is>
      </c>
      <c r="M7" s="17" t="inlineStr">
        <is>
          <t>ALL</t>
        </is>
      </c>
      <c r="N7" s="17" t="inlineStr">
        <is>
          <t>KOSPI</t>
        </is>
      </c>
      <c r="O7" s="17" t="inlineStr">
        <is>
          <t>OpenDART</t>
        </is>
      </c>
      <c r="P7" s="17" t="inlineStr">
        <is>
          <t>Audited</t>
        </is>
      </c>
    </row>
    <row r="8">
      <c r="A8" s="15" t="inlineStr">
        <is>
          <t>재무</t>
        </is>
      </c>
      <c r="B8" s="15" t="inlineStr">
        <is>
          <t>00258801</t>
        </is>
      </c>
      <c r="C8" s="16" t="inlineStr">
        <is>
          <t>카카오</t>
        </is>
      </c>
      <c r="D8" s="15" t="inlineStr">
        <is>
          <t>KR</t>
        </is>
      </c>
      <c r="E8" s="15" t="inlineStr">
        <is>
          <t>2024-Q3</t>
        </is>
      </c>
      <c r="F8" s="15" t="inlineStr">
        <is>
          <t>2024-11-14</t>
        </is>
      </c>
      <c r="G8" s="16" t="inlineStr">
        <is>
          <t>revenue</t>
        </is>
      </c>
      <c r="H8" s="16" t="inlineStr">
        <is>
          <t>매출액</t>
        </is>
      </c>
      <c r="I8" s="20" t="n">
        <v>1930000000000</v>
      </c>
      <c r="J8" s="15" t="inlineStr">
        <is>
          <t>KRW</t>
        </is>
      </c>
      <c r="K8" s="15" t="inlineStr">
        <is>
          <t>KR:PRIVATE:KOSPI:ALL:ALL</t>
        </is>
      </c>
      <c r="L8" s="15" t="inlineStr">
        <is>
          <t>PRIVATE</t>
        </is>
      </c>
      <c r="M8" s="15" t="inlineStr">
        <is>
          <t>ALL</t>
        </is>
      </c>
      <c r="N8" s="15" t="inlineStr">
        <is>
          <t>KOSPI</t>
        </is>
      </c>
      <c r="O8" s="15" t="inlineStr">
        <is>
          <t>OpenDART</t>
        </is>
      </c>
      <c r="P8" s="15" t="inlineStr">
        <is>
          <t>Audited</t>
        </is>
      </c>
    </row>
    <row r="9">
      <c r="A9" s="17" t="inlineStr">
        <is>
          <t>재무</t>
        </is>
      </c>
      <c r="B9" s="17" t="inlineStr">
        <is>
          <t>00258801</t>
        </is>
      </c>
      <c r="C9" s="18" t="inlineStr">
        <is>
          <t>카카오</t>
        </is>
      </c>
      <c r="D9" s="17" t="inlineStr">
        <is>
          <t>KR</t>
        </is>
      </c>
      <c r="E9" s="17" t="inlineStr">
        <is>
          <t>2024-Q4</t>
        </is>
      </c>
      <c r="F9" s="17" t="inlineStr">
        <is>
          <t>2025-03-14</t>
        </is>
      </c>
      <c r="G9" s="18" t="inlineStr">
        <is>
          <t>revenue</t>
        </is>
      </c>
      <c r="H9" s="18" t="inlineStr">
        <is>
          <t>매출액</t>
        </is>
      </c>
      <c r="I9" s="21" t="n">
        <v>2150000000000</v>
      </c>
      <c r="J9" s="17" t="inlineStr">
        <is>
          <t>KRW</t>
        </is>
      </c>
      <c r="K9" s="17" t="inlineStr">
        <is>
          <t>KR:PRIVATE:KOSPI:ALL:ALL</t>
        </is>
      </c>
      <c r="L9" s="17" t="inlineStr">
        <is>
          <t>PRIVATE</t>
        </is>
      </c>
      <c r="M9" s="17" t="inlineStr">
        <is>
          <t>ALL</t>
        </is>
      </c>
      <c r="N9" s="17" t="inlineStr">
        <is>
          <t>KOSPI</t>
        </is>
      </c>
      <c r="O9" s="17" t="inlineStr">
        <is>
          <t>OpenDART</t>
        </is>
      </c>
      <c r="P9" s="17" t="inlineStr">
        <is>
          <t>Audited</t>
        </is>
      </c>
    </row>
    <row r="10">
      <c r="A10" s="15" t="inlineStr">
        <is>
          <t>재무</t>
        </is>
      </c>
      <c r="B10" s="15" t="inlineStr">
        <is>
          <t>00258801</t>
        </is>
      </c>
      <c r="C10" s="16" t="inlineStr">
        <is>
          <t>카카오</t>
        </is>
      </c>
      <c r="D10" s="15" t="inlineStr">
        <is>
          <t>KR</t>
        </is>
      </c>
      <c r="E10" s="15" t="inlineStr">
        <is>
          <t>2023-Q4</t>
        </is>
      </c>
      <c r="F10" s="15" t="inlineStr">
        <is>
          <t>2024-03-15</t>
        </is>
      </c>
      <c r="G10" s="16" t="inlineStr">
        <is>
          <t>operating_income</t>
        </is>
      </c>
      <c r="H10" s="16" t="inlineStr">
        <is>
          <t>영업이익</t>
        </is>
      </c>
      <c r="I10" s="20" t="n">
        <v>120000000000</v>
      </c>
      <c r="J10" s="15" t="inlineStr">
        <is>
          <t>KRW</t>
        </is>
      </c>
      <c r="K10" s="15" t="inlineStr">
        <is>
          <t>KR:PRIVATE:KOSPI:ALL:ALL</t>
        </is>
      </c>
      <c r="L10" s="15" t="inlineStr">
        <is>
          <t>PRIVATE</t>
        </is>
      </c>
      <c r="M10" s="15" t="inlineStr">
        <is>
          <t>ALL</t>
        </is>
      </c>
      <c r="N10" s="15" t="inlineStr">
        <is>
          <t>KOSPI</t>
        </is>
      </c>
      <c r="O10" s="15" t="inlineStr">
        <is>
          <t>OpenDART</t>
        </is>
      </c>
      <c r="P10" s="15" t="inlineStr">
        <is>
          <t>Audited</t>
        </is>
      </c>
    </row>
    <row r="11">
      <c r="A11" s="17" t="inlineStr">
        <is>
          <t>재무</t>
        </is>
      </c>
      <c r="B11" s="17" t="inlineStr">
        <is>
          <t>00258801</t>
        </is>
      </c>
      <c r="C11" s="18" t="inlineStr">
        <is>
          <t>카카오</t>
        </is>
      </c>
      <c r="D11" s="17" t="inlineStr">
        <is>
          <t>KR</t>
        </is>
      </c>
      <c r="E11" s="17" t="inlineStr">
        <is>
          <t>2024-Q4</t>
        </is>
      </c>
      <c r="F11" s="17" t="inlineStr">
        <is>
          <t>2025-03-14</t>
        </is>
      </c>
      <c r="G11" s="18" t="inlineStr">
        <is>
          <t>operating_income</t>
        </is>
      </c>
      <c r="H11" s="18" t="inlineStr">
        <is>
          <t>영업이익</t>
        </is>
      </c>
      <c r="I11" s="21" t="n">
        <v>155000000000</v>
      </c>
      <c r="J11" s="17" t="inlineStr">
        <is>
          <t>KRW</t>
        </is>
      </c>
      <c r="K11" s="17" t="inlineStr">
        <is>
          <t>KR:PRIVATE:KOSPI:ALL:ALL</t>
        </is>
      </c>
      <c r="L11" s="17" t="inlineStr">
        <is>
          <t>PRIVATE</t>
        </is>
      </c>
      <c r="M11" s="17" t="inlineStr">
        <is>
          <t>ALL</t>
        </is>
      </c>
      <c r="N11" s="17" t="inlineStr">
        <is>
          <t>KOSPI</t>
        </is>
      </c>
      <c r="O11" s="17" t="inlineStr">
        <is>
          <t>OpenDART</t>
        </is>
      </c>
      <c r="P11" s="17" t="inlineStr">
        <is>
          <t>Audited</t>
        </is>
      </c>
    </row>
    <row r="12">
      <c r="A12" s="15" t="inlineStr">
        <is>
          <t>재무</t>
        </is>
      </c>
      <c r="B12" s="15" t="inlineStr">
        <is>
          <t>00258801</t>
        </is>
      </c>
      <c r="C12" s="16" t="inlineStr">
        <is>
          <t>카카오</t>
        </is>
      </c>
      <c r="D12" s="15" t="inlineStr">
        <is>
          <t>KR</t>
        </is>
      </c>
      <c r="E12" s="15" t="inlineStr">
        <is>
          <t>2023-Q4</t>
        </is>
      </c>
      <c r="F12" s="15" t="inlineStr">
        <is>
          <t>2024-03-15</t>
        </is>
      </c>
      <c r="G12" s="16" t="inlineStr">
        <is>
          <t>quick_ratio</t>
        </is>
      </c>
      <c r="H12" s="16" t="inlineStr">
        <is>
          <t>당좌비율</t>
        </is>
      </c>
      <c r="I12" s="20" t="n">
        <v>1.382</v>
      </c>
      <c r="J12" s="15" t="inlineStr">
        <is>
          <t>ratio</t>
        </is>
      </c>
      <c r="K12" s="15" t="inlineStr">
        <is>
          <t>KR:PRIVATE:KOSPI:ALL:ALL</t>
        </is>
      </c>
      <c r="L12" s="15" t="inlineStr">
        <is>
          <t>PRIVATE</t>
        </is>
      </c>
      <c r="M12" s="15" t="inlineStr">
        <is>
          <t>ALL</t>
        </is>
      </c>
      <c r="N12" s="15" t="inlineStr">
        <is>
          <t>KOSPI</t>
        </is>
      </c>
      <c r="O12" s="15" t="inlineStr">
        <is>
          <t>OpenDART</t>
        </is>
      </c>
      <c r="P12" s="15" t="inlineStr">
        <is>
          <t>Audited</t>
        </is>
      </c>
    </row>
    <row r="13">
      <c r="A13" s="17" t="inlineStr">
        <is>
          <t>재무</t>
        </is>
      </c>
      <c r="B13" s="17" t="inlineStr">
        <is>
          <t>00258801</t>
        </is>
      </c>
      <c r="C13" s="18" t="inlineStr">
        <is>
          <t>카카오</t>
        </is>
      </c>
      <c r="D13" s="17" t="inlineStr">
        <is>
          <t>KR</t>
        </is>
      </c>
      <c r="E13" s="17" t="inlineStr">
        <is>
          <t>2024-Q4</t>
        </is>
      </c>
      <c r="F13" s="17" t="inlineStr">
        <is>
          <t>2025-03-14</t>
        </is>
      </c>
      <c r="G13" s="18" t="inlineStr">
        <is>
          <t>quick_ratio</t>
        </is>
      </c>
      <c r="H13" s="18" t="inlineStr">
        <is>
          <t>당좌비율</t>
        </is>
      </c>
      <c r="I13" s="21" t="n">
        <v>1.452</v>
      </c>
      <c r="J13" s="17" t="inlineStr">
        <is>
          <t>ratio</t>
        </is>
      </c>
      <c r="K13" s="17" t="inlineStr">
        <is>
          <t>KR:PRIVATE:KOSPI:ALL:ALL</t>
        </is>
      </c>
      <c r="L13" s="17" t="inlineStr">
        <is>
          <t>PRIVATE</t>
        </is>
      </c>
      <c r="M13" s="17" t="inlineStr">
        <is>
          <t>ALL</t>
        </is>
      </c>
      <c r="N13" s="17" t="inlineStr">
        <is>
          <t>KOSPI</t>
        </is>
      </c>
      <c r="O13" s="17" t="inlineStr">
        <is>
          <t>OpenDART</t>
        </is>
      </c>
      <c r="P13" s="17" t="inlineStr">
        <is>
          <t>Audited</t>
        </is>
      </c>
    </row>
    <row r="14">
      <c r="A14" s="15" t="inlineStr">
        <is>
          <t>재무</t>
        </is>
      </c>
      <c r="B14" s="15" t="inlineStr">
        <is>
          <t>00258801</t>
        </is>
      </c>
      <c r="C14" s="16" t="inlineStr">
        <is>
          <t>카카오</t>
        </is>
      </c>
      <c r="D14" s="15" t="inlineStr">
        <is>
          <t>KR</t>
        </is>
      </c>
      <c r="E14" s="15" t="inlineStr">
        <is>
          <t>2023-Q4</t>
        </is>
      </c>
      <c r="F14" s="15" t="inlineStr">
        <is>
          <t>2024-03-15</t>
        </is>
      </c>
      <c r="G14" s="16" t="inlineStr">
        <is>
          <t>cash_ratio</t>
        </is>
      </c>
      <c r="H14" s="16" t="inlineStr">
        <is>
          <t>현금비율</t>
        </is>
      </c>
      <c r="I14" s="20" t="n">
        <v>0.521</v>
      </c>
      <c r="J14" s="15" t="inlineStr">
        <is>
          <t>ratio</t>
        </is>
      </c>
      <c r="K14" s="15" t="inlineStr">
        <is>
          <t>KR:PRIVATE:KOSPI:ALL:ALL</t>
        </is>
      </c>
      <c r="L14" s="15" t="inlineStr">
        <is>
          <t>PRIVATE</t>
        </is>
      </c>
      <c r="M14" s="15" t="inlineStr">
        <is>
          <t>ALL</t>
        </is>
      </c>
      <c r="N14" s="15" t="inlineStr">
        <is>
          <t>KOSPI</t>
        </is>
      </c>
      <c r="O14" s="15" t="inlineStr">
        <is>
          <t>OpenDART</t>
        </is>
      </c>
      <c r="P14" s="15" t="inlineStr">
        <is>
          <t>Audited</t>
        </is>
      </c>
    </row>
    <row r="15">
      <c r="A15" s="17" t="inlineStr">
        <is>
          <t>재무</t>
        </is>
      </c>
      <c r="B15" s="17" t="inlineStr">
        <is>
          <t>00258801</t>
        </is>
      </c>
      <c r="C15" s="18" t="inlineStr">
        <is>
          <t>카카오</t>
        </is>
      </c>
      <c r="D15" s="17" t="inlineStr">
        <is>
          <t>KR</t>
        </is>
      </c>
      <c r="E15" s="17" t="inlineStr">
        <is>
          <t>2024-Q4</t>
        </is>
      </c>
      <c r="F15" s="17" t="inlineStr">
        <is>
          <t>2025-03-14</t>
        </is>
      </c>
      <c r="G15" s="18" t="inlineStr">
        <is>
          <t>cash_ratio</t>
        </is>
      </c>
      <c r="H15" s="18" t="inlineStr">
        <is>
          <t>현금비율</t>
        </is>
      </c>
      <c r="I15" s="21" t="n">
        <v>0.584</v>
      </c>
      <c r="J15" s="17" t="inlineStr">
        <is>
          <t>ratio</t>
        </is>
      </c>
      <c r="K15" s="17" t="inlineStr">
        <is>
          <t>KR:PRIVATE:KOSPI:ALL:ALL</t>
        </is>
      </c>
      <c r="L15" s="17" t="inlineStr">
        <is>
          <t>PRIVATE</t>
        </is>
      </c>
      <c r="M15" s="17" t="inlineStr">
        <is>
          <t>ALL</t>
        </is>
      </c>
      <c r="N15" s="17" t="inlineStr">
        <is>
          <t>KOSPI</t>
        </is>
      </c>
      <c r="O15" s="17" t="inlineStr">
        <is>
          <t>OpenDART</t>
        </is>
      </c>
      <c r="P15" s="17" t="inlineStr">
        <is>
          <t>Audited</t>
        </is>
      </c>
    </row>
    <row r="16">
      <c r="A16" s="15" t="inlineStr">
        <is>
          <t>재무</t>
        </is>
      </c>
      <c r="B16" s="15" t="inlineStr">
        <is>
          <t>00258801</t>
        </is>
      </c>
      <c r="C16" s="16" t="inlineStr">
        <is>
          <t>카카오</t>
        </is>
      </c>
      <c r="D16" s="15" t="inlineStr">
        <is>
          <t>KR</t>
        </is>
      </c>
      <c r="E16" s="15" t="inlineStr">
        <is>
          <t>2023-Q4</t>
        </is>
      </c>
      <c r="F16" s="15" t="inlineStr">
        <is>
          <t>2024-03-15</t>
        </is>
      </c>
      <c r="G16" s="16" t="inlineStr">
        <is>
          <t>debt_to_equity</t>
        </is>
      </c>
      <c r="H16" s="16" t="inlineStr">
        <is>
          <t>부채비율</t>
        </is>
      </c>
      <c r="I16" s="20" t="n">
        <v>0.654</v>
      </c>
      <c r="J16" s="15" t="inlineStr">
        <is>
          <t>ratio</t>
        </is>
      </c>
      <c r="K16" s="15" t="inlineStr">
        <is>
          <t>KR:PRIVATE:KOSPI:ALL:ALL</t>
        </is>
      </c>
      <c r="L16" s="15" t="inlineStr">
        <is>
          <t>PRIVATE</t>
        </is>
      </c>
      <c r="M16" s="15" t="inlineStr">
        <is>
          <t>ALL</t>
        </is>
      </c>
      <c r="N16" s="15" t="inlineStr">
        <is>
          <t>KOSPI</t>
        </is>
      </c>
      <c r="O16" s="15" t="inlineStr">
        <is>
          <t>OpenDART</t>
        </is>
      </c>
      <c r="P16" s="15" t="inlineStr">
        <is>
          <t>Audited</t>
        </is>
      </c>
    </row>
    <row r="17">
      <c r="A17" s="17" t="inlineStr">
        <is>
          <t>재무</t>
        </is>
      </c>
      <c r="B17" s="17" t="inlineStr">
        <is>
          <t>00258801</t>
        </is>
      </c>
      <c r="C17" s="18" t="inlineStr">
        <is>
          <t>카카오</t>
        </is>
      </c>
      <c r="D17" s="17" t="inlineStr">
        <is>
          <t>KR</t>
        </is>
      </c>
      <c r="E17" s="17" t="inlineStr">
        <is>
          <t>2024-Q4</t>
        </is>
      </c>
      <c r="F17" s="17" t="inlineStr">
        <is>
          <t>2025-03-14</t>
        </is>
      </c>
      <c r="G17" s="18" t="inlineStr">
        <is>
          <t>debt_to_equity</t>
        </is>
      </c>
      <c r="H17" s="18" t="inlineStr">
        <is>
          <t>부채비율</t>
        </is>
      </c>
      <c r="I17" s="21" t="n">
        <v>0.612</v>
      </c>
      <c r="J17" s="17" t="inlineStr">
        <is>
          <t>ratio</t>
        </is>
      </c>
      <c r="K17" s="17" t="inlineStr">
        <is>
          <t>KR:PRIVATE:KOSPI:ALL:ALL</t>
        </is>
      </c>
      <c r="L17" s="17" t="inlineStr">
        <is>
          <t>PRIVATE</t>
        </is>
      </c>
      <c r="M17" s="17" t="inlineStr">
        <is>
          <t>ALL</t>
        </is>
      </c>
      <c r="N17" s="17" t="inlineStr">
        <is>
          <t>KOSPI</t>
        </is>
      </c>
      <c r="O17" s="17" t="inlineStr">
        <is>
          <t>OpenDART</t>
        </is>
      </c>
      <c r="P17" s="17" t="inlineStr">
        <is>
          <t>Audited</t>
        </is>
      </c>
    </row>
    <row r="18">
      <c r="A18" s="15" t="inlineStr">
        <is>
          <t>재무</t>
        </is>
      </c>
      <c r="B18" s="15" t="inlineStr">
        <is>
          <t>00126380</t>
        </is>
      </c>
      <c r="C18" s="16" t="inlineStr">
        <is>
          <t>삼성전자</t>
        </is>
      </c>
      <c r="D18" s="15" t="inlineStr">
        <is>
          <t>KR</t>
        </is>
      </c>
      <c r="E18" s="15" t="inlineStr">
        <is>
          <t>2023-Q4</t>
        </is>
      </c>
      <c r="F18" s="15" t="inlineStr">
        <is>
          <t>2024-03-15</t>
        </is>
      </c>
      <c r="G18" s="16" t="inlineStr">
        <is>
          <t>revenue</t>
        </is>
      </c>
      <c r="H18" s="16" t="inlineStr">
        <is>
          <t>매출액</t>
        </is>
      </c>
      <c r="I18" s="20" t="n">
        <v>67780000000000</v>
      </c>
      <c r="J18" s="15" t="inlineStr">
        <is>
          <t>KRW</t>
        </is>
      </c>
      <c r="K18" s="15" t="inlineStr">
        <is>
          <t>KR:PRIVATE:KOSPI:ALL:ALL</t>
        </is>
      </c>
      <c r="L18" s="15" t="inlineStr">
        <is>
          <t>PRIVATE</t>
        </is>
      </c>
      <c r="M18" s="15" t="inlineStr">
        <is>
          <t>ALL</t>
        </is>
      </c>
      <c r="N18" s="15" t="inlineStr">
        <is>
          <t>KOSPI</t>
        </is>
      </c>
      <c r="O18" s="15" t="inlineStr">
        <is>
          <t>OpenDART</t>
        </is>
      </c>
      <c r="P18" s="15" t="inlineStr">
        <is>
          <t>Audited</t>
        </is>
      </c>
    </row>
    <row r="19">
      <c r="A19" s="17" t="inlineStr">
        <is>
          <t>재무</t>
        </is>
      </c>
      <c r="B19" s="17" t="inlineStr">
        <is>
          <t>00126380</t>
        </is>
      </c>
      <c r="C19" s="18" t="inlineStr">
        <is>
          <t>삼성전자</t>
        </is>
      </c>
      <c r="D19" s="17" t="inlineStr">
        <is>
          <t>KR</t>
        </is>
      </c>
      <c r="E19" s="17" t="inlineStr">
        <is>
          <t>2024-Q4</t>
        </is>
      </c>
      <c r="F19" s="17" t="inlineStr">
        <is>
          <t>2025-03-14</t>
        </is>
      </c>
      <c r="G19" s="18" t="inlineStr">
        <is>
          <t>revenue</t>
        </is>
      </c>
      <c r="H19" s="18" t="inlineStr">
        <is>
          <t>매출액</t>
        </is>
      </c>
      <c r="I19" s="21" t="n">
        <v>79100000000000</v>
      </c>
      <c r="J19" s="17" t="inlineStr">
        <is>
          <t>KRW</t>
        </is>
      </c>
      <c r="K19" s="17" t="inlineStr">
        <is>
          <t>KR:PRIVATE:KOSPI:ALL:ALL</t>
        </is>
      </c>
      <c r="L19" s="17" t="inlineStr">
        <is>
          <t>PRIVATE</t>
        </is>
      </c>
      <c r="M19" s="17" t="inlineStr">
        <is>
          <t>ALL</t>
        </is>
      </c>
      <c r="N19" s="17" t="inlineStr">
        <is>
          <t>KOSPI</t>
        </is>
      </c>
      <c r="O19" s="17" t="inlineStr">
        <is>
          <t>OpenDART</t>
        </is>
      </c>
      <c r="P19" s="17" t="inlineStr">
        <is>
          <t>Audited</t>
        </is>
      </c>
    </row>
    <row r="20">
      <c r="A20" s="15" t="inlineStr">
        <is>
          <t>재무</t>
        </is>
      </c>
      <c r="B20" s="15" t="inlineStr">
        <is>
          <t>00126380</t>
        </is>
      </c>
      <c r="C20" s="16" t="inlineStr">
        <is>
          <t>삼성전자</t>
        </is>
      </c>
      <c r="D20" s="15" t="inlineStr">
        <is>
          <t>KR</t>
        </is>
      </c>
      <c r="E20" s="15" t="inlineStr">
        <is>
          <t>2023-Q4</t>
        </is>
      </c>
      <c r="F20" s="15" t="inlineStr">
        <is>
          <t>2024-03-15</t>
        </is>
      </c>
      <c r="G20" s="16" t="inlineStr">
        <is>
          <t>operating_income</t>
        </is>
      </c>
      <c r="H20" s="16" t="inlineStr">
        <is>
          <t>영업이익</t>
        </is>
      </c>
      <c r="I20" s="20" t="n">
        <v>2820000000000</v>
      </c>
      <c r="J20" s="15" t="inlineStr">
        <is>
          <t>KRW</t>
        </is>
      </c>
      <c r="K20" s="15" t="inlineStr">
        <is>
          <t>KR:PRIVATE:KOSPI:ALL:ALL</t>
        </is>
      </c>
      <c r="L20" s="15" t="inlineStr">
        <is>
          <t>PRIVATE</t>
        </is>
      </c>
      <c r="M20" s="15" t="inlineStr">
        <is>
          <t>ALL</t>
        </is>
      </c>
      <c r="N20" s="15" t="inlineStr">
        <is>
          <t>KOSPI</t>
        </is>
      </c>
      <c r="O20" s="15" t="inlineStr">
        <is>
          <t>OpenDART</t>
        </is>
      </c>
      <c r="P20" s="15" t="inlineStr">
        <is>
          <t>Audited</t>
        </is>
      </c>
    </row>
    <row r="21">
      <c r="A21" s="17" t="inlineStr">
        <is>
          <t>재무</t>
        </is>
      </c>
      <c r="B21" s="17" t="inlineStr">
        <is>
          <t>00126380</t>
        </is>
      </c>
      <c r="C21" s="18" t="inlineStr">
        <is>
          <t>삼성전자</t>
        </is>
      </c>
      <c r="D21" s="17" t="inlineStr">
        <is>
          <t>KR</t>
        </is>
      </c>
      <c r="E21" s="17" t="inlineStr">
        <is>
          <t>2024-Q4</t>
        </is>
      </c>
      <c r="F21" s="17" t="inlineStr">
        <is>
          <t>2025-03-14</t>
        </is>
      </c>
      <c r="G21" s="18" t="inlineStr">
        <is>
          <t>operating_income</t>
        </is>
      </c>
      <c r="H21" s="18" t="inlineStr">
        <is>
          <t>영업이익</t>
        </is>
      </c>
      <c r="I21" s="21" t="n">
        <v>9180000000000</v>
      </c>
      <c r="J21" s="17" t="inlineStr">
        <is>
          <t>KRW</t>
        </is>
      </c>
      <c r="K21" s="17" t="inlineStr">
        <is>
          <t>KR:PRIVATE:KOSPI:ALL:ALL</t>
        </is>
      </c>
      <c r="L21" s="17" t="inlineStr">
        <is>
          <t>PRIVATE</t>
        </is>
      </c>
      <c r="M21" s="17" t="inlineStr">
        <is>
          <t>ALL</t>
        </is>
      </c>
      <c r="N21" s="17" t="inlineStr">
        <is>
          <t>KOSPI</t>
        </is>
      </c>
      <c r="O21" s="17" t="inlineStr">
        <is>
          <t>OpenDART</t>
        </is>
      </c>
      <c r="P21" s="17" t="inlineStr">
        <is>
          <t>Audited</t>
        </is>
      </c>
    </row>
    <row r="22">
      <c r="A22" s="15" t="inlineStr">
        <is>
          <t>재무</t>
        </is>
      </c>
      <c r="B22" s="15" t="inlineStr">
        <is>
          <t>00164779</t>
        </is>
      </c>
      <c r="C22" s="16" t="inlineStr">
        <is>
          <t>SK하이닉스</t>
        </is>
      </c>
      <c r="D22" s="15" t="inlineStr">
        <is>
          <t>KR</t>
        </is>
      </c>
      <c r="E22" s="15" t="inlineStr">
        <is>
          <t>2023-Q4</t>
        </is>
      </c>
      <c r="F22" s="15" t="inlineStr">
        <is>
          <t>2024-03-15</t>
        </is>
      </c>
      <c r="G22" s="16" t="inlineStr">
        <is>
          <t>revenue</t>
        </is>
      </c>
      <c r="H22" s="16" t="inlineStr">
        <is>
          <t>매출액</t>
        </is>
      </c>
      <c r="I22" s="20" t="n">
        <v>11300000000000</v>
      </c>
      <c r="J22" s="15" t="inlineStr">
        <is>
          <t>KRW</t>
        </is>
      </c>
      <c r="K22" s="15" t="inlineStr">
        <is>
          <t>KR:PRIVATE:KOSPI:ALL:ALL</t>
        </is>
      </c>
      <c r="L22" s="15" t="inlineStr">
        <is>
          <t>PRIVATE</t>
        </is>
      </c>
      <c r="M22" s="15" t="inlineStr">
        <is>
          <t>ALL</t>
        </is>
      </c>
      <c r="N22" s="15" t="inlineStr">
        <is>
          <t>KOSPI</t>
        </is>
      </c>
      <c r="O22" s="15" t="inlineStr">
        <is>
          <t>OpenDART</t>
        </is>
      </c>
      <c r="P22" s="15" t="inlineStr">
        <is>
          <t>Audited</t>
        </is>
      </c>
    </row>
    <row r="23">
      <c r="A23" s="17" t="inlineStr">
        <is>
          <t>재무</t>
        </is>
      </c>
      <c r="B23" s="17" t="inlineStr">
        <is>
          <t>00164779</t>
        </is>
      </c>
      <c r="C23" s="18" t="inlineStr">
        <is>
          <t>SK하이닉스</t>
        </is>
      </c>
      <c r="D23" s="17" t="inlineStr">
        <is>
          <t>KR</t>
        </is>
      </c>
      <c r="E23" s="17" t="inlineStr">
        <is>
          <t>2024-Q4</t>
        </is>
      </c>
      <c r="F23" s="17" t="inlineStr">
        <is>
          <t>2025-03-14</t>
        </is>
      </c>
      <c r="G23" s="18" t="inlineStr">
        <is>
          <t>revenue</t>
        </is>
      </c>
      <c r="H23" s="18" t="inlineStr">
        <is>
          <t>매출액</t>
        </is>
      </c>
      <c r="I23" s="21" t="n">
        <v>17570000000000</v>
      </c>
      <c r="J23" s="17" t="inlineStr">
        <is>
          <t>KRW</t>
        </is>
      </c>
      <c r="K23" s="17" t="inlineStr">
        <is>
          <t>KR:PRIVATE:KOSPI:ALL:ALL</t>
        </is>
      </c>
      <c r="L23" s="17" t="inlineStr">
        <is>
          <t>PRIVATE</t>
        </is>
      </c>
      <c r="M23" s="17" t="inlineStr">
        <is>
          <t>ALL</t>
        </is>
      </c>
      <c r="N23" s="17" t="inlineStr">
        <is>
          <t>KOSPI</t>
        </is>
      </c>
      <c r="O23" s="17" t="inlineStr">
        <is>
          <t>OpenDART</t>
        </is>
      </c>
      <c r="P23" s="17" t="inlineStr">
        <is>
          <t>Audited</t>
        </is>
      </c>
    </row>
    <row r="24">
      <c r="A24" s="15" t="inlineStr">
        <is>
          <t>재무</t>
        </is>
      </c>
      <c r="B24" s="15" t="inlineStr">
        <is>
          <t>00164779</t>
        </is>
      </c>
      <c r="C24" s="16" t="inlineStr">
        <is>
          <t>SK하이닉스</t>
        </is>
      </c>
      <c r="D24" s="15" t="inlineStr">
        <is>
          <t>KR</t>
        </is>
      </c>
      <c r="E24" s="15" t="inlineStr">
        <is>
          <t>2023-Q4</t>
        </is>
      </c>
      <c r="F24" s="15" t="inlineStr">
        <is>
          <t>2024-03-15</t>
        </is>
      </c>
      <c r="G24" s="16" t="inlineStr">
        <is>
          <t>operating_income</t>
        </is>
      </c>
      <c r="H24" s="16" t="inlineStr">
        <is>
          <t>영업이익</t>
        </is>
      </c>
      <c r="I24" s="20" t="n">
        <v>-1790000000000</v>
      </c>
      <c r="J24" s="15" t="inlineStr">
        <is>
          <t>KRW</t>
        </is>
      </c>
      <c r="K24" s="15" t="inlineStr">
        <is>
          <t>KR:PRIVATE:KOSPI:ALL:ALL</t>
        </is>
      </c>
      <c r="L24" s="15" t="inlineStr">
        <is>
          <t>PRIVATE</t>
        </is>
      </c>
      <c r="M24" s="15" t="inlineStr">
        <is>
          <t>ALL</t>
        </is>
      </c>
      <c r="N24" s="15" t="inlineStr">
        <is>
          <t>KOSPI</t>
        </is>
      </c>
      <c r="O24" s="15" t="inlineStr">
        <is>
          <t>OpenDART</t>
        </is>
      </c>
      <c r="P24" s="15" t="inlineStr">
        <is>
          <t>Audited</t>
        </is>
      </c>
    </row>
    <row r="25">
      <c r="A25" s="17" t="inlineStr">
        <is>
          <t>재무</t>
        </is>
      </c>
      <c r="B25" s="17" t="inlineStr">
        <is>
          <t>00164779</t>
        </is>
      </c>
      <c r="C25" s="18" t="inlineStr">
        <is>
          <t>SK하이닉스</t>
        </is>
      </c>
      <c r="D25" s="17" t="inlineStr">
        <is>
          <t>KR</t>
        </is>
      </c>
      <c r="E25" s="17" t="inlineStr">
        <is>
          <t>2024-Q4</t>
        </is>
      </c>
      <c r="F25" s="17" t="inlineStr">
        <is>
          <t>2025-03-14</t>
        </is>
      </c>
      <c r="G25" s="18" t="inlineStr">
        <is>
          <t>operating_income</t>
        </is>
      </c>
      <c r="H25" s="18" t="inlineStr">
        <is>
          <t>영업이익</t>
        </is>
      </c>
      <c r="I25" s="21" t="n">
        <v>703000000000</v>
      </c>
      <c r="J25" s="17" t="inlineStr">
        <is>
          <t>KRW</t>
        </is>
      </c>
      <c r="K25" s="17" t="inlineStr">
        <is>
          <t>KR:PRIVATE:KOSPI:ALL:ALL</t>
        </is>
      </c>
      <c r="L25" s="17" t="inlineStr">
        <is>
          <t>PRIVATE</t>
        </is>
      </c>
      <c r="M25" s="17" t="inlineStr">
        <is>
          <t>ALL</t>
        </is>
      </c>
      <c r="N25" s="17" t="inlineStr">
        <is>
          <t>KOSPI</t>
        </is>
      </c>
      <c r="O25" s="17" t="inlineStr">
        <is>
          <t>OpenDART</t>
        </is>
      </c>
      <c r="P25" s="17" t="inlineStr">
        <is>
          <t>Audited</t>
        </is>
      </c>
    </row>
    <row r="26">
      <c r="A26" s="15" t="inlineStr">
        <is>
          <t>재무</t>
        </is>
      </c>
      <c r="B26" s="15" t="inlineStr">
        <is>
          <t>GEN-CZ</t>
        </is>
      </c>
      <c r="C26" s="16" t="inlineStr">
        <is>
          <t>Avast / Gen Digital</t>
        </is>
      </c>
      <c r="D26" s="15" t="inlineStr">
        <is>
          <t>CZ</t>
        </is>
      </c>
      <c r="E26" s="15" t="inlineStr">
        <is>
          <t>2023-Q4</t>
        </is>
      </c>
      <c r="F26" s="15" t="inlineStr">
        <is>
          <t>2024-02-15</t>
        </is>
      </c>
      <c r="G26" s="16" t="inlineStr">
        <is>
          <t>revenue</t>
        </is>
      </c>
      <c r="H26" s="16" t="inlineStr">
        <is>
          <t>매출액</t>
        </is>
      </c>
      <c r="I26" s="20" t="n">
        <v>940000000</v>
      </c>
      <c r="J26" s="15" t="inlineStr">
        <is>
          <t>USD</t>
        </is>
      </c>
      <c r="K26" s="15" t="inlineStr">
        <is>
          <t>CZ:PRIVATE:CZ_AS:ALL:ALL</t>
        </is>
      </c>
      <c r="L26" s="15" t="inlineStr">
        <is>
          <t>PRIVATE</t>
        </is>
      </c>
      <c r="M26" s="15" t="inlineStr">
        <is>
          <t>ALL</t>
        </is>
      </c>
      <c r="N26" s="15" t="inlineStr">
        <is>
          <t>CZ_AS</t>
        </is>
      </c>
      <c r="O26" s="15" t="inlineStr">
        <is>
          <t>SEC EDGAR</t>
        </is>
      </c>
      <c r="P26" s="15" t="inlineStr">
        <is>
          <t>Audited</t>
        </is>
      </c>
    </row>
    <row r="27">
      <c r="A27" s="17" t="inlineStr">
        <is>
          <t>재무</t>
        </is>
      </c>
      <c r="B27" s="17" t="inlineStr">
        <is>
          <t>GEN-CZ</t>
        </is>
      </c>
      <c r="C27" s="18" t="inlineStr">
        <is>
          <t>Avast / Gen Digital</t>
        </is>
      </c>
      <c r="D27" s="17" t="inlineStr">
        <is>
          <t>CZ</t>
        </is>
      </c>
      <c r="E27" s="17" t="inlineStr">
        <is>
          <t>2024-Q4</t>
        </is>
      </c>
      <c r="F27" s="17" t="inlineStr">
        <is>
          <t>2025-02-14</t>
        </is>
      </c>
      <c r="G27" s="18" t="inlineStr">
        <is>
          <t>revenue</t>
        </is>
      </c>
      <c r="H27" s="18" t="inlineStr">
        <is>
          <t>매출액</t>
        </is>
      </c>
      <c r="I27" s="21" t="n">
        <v>995000000</v>
      </c>
      <c r="J27" s="17" t="inlineStr">
        <is>
          <t>USD</t>
        </is>
      </c>
      <c r="K27" s="17" t="inlineStr">
        <is>
          <t>CZ:PRIVATE:CZ_AS:ALL:ALL</t>
        </is>
      </c>
      <c r="L27" s="17" t="inlineStr">
        <is>
          <t>PRIVATE</t>
        </is>
      </c>
      <c r="M27" s="17" t="inlineStr">
        <is>
          <t>ALL</t>
        </is>
      </c>
      <c r="N27" s="17" t="inlineStr">
        <is>
          <t>CZ_AS</t>
        </is>
      </c>
      <c r="O27" s="17" t="inlineStr">
        <is>
          <t>SEC EDGAR</t>
        </is>
      </c>
      <c r="P27" s="17" t="inlineStr">
        <is>
          <t>Audited</t>
        </is>
      </c>
    </row>
    <row r="28">
      <c r="A28" s="15" t="inlineStr">
        <is>
          <t>재무</t>
        </is>
      </c>
      <c r="B28" s="15" t="inlineStr">
        <is>
          <t>NVDA-US</t>
        </is>
      </c>
      <c r="C28" s="16" t="inlineStr">
        <is>
          <t>Nvidia</t>
        </is>
      </c>
      <c r="D28" s="15" t="inlineStr">
        <is>
          <t>US</t>
        </is>
      </c>
      <c r="E28" s="15" t="inlineStr">
        <is>
          <t>2023-Q4</t>
        </is>
      </c>
      <c r="F28" s="15" t="inlineStr">
        <is>
          <t>2024-02-21</t>
        </is>
      </c>
      <c r="G28" s="16" t="inlineStr">
        <is>
          <t>revenue</t>
        </is>
      </c>
      <c r="H28" s="16" t="inlineStr">
        <is>
          <t>매출액</t>
        </is>
      </c>
      <c r="I28" s="20" t="n">
        <v>18120000000</v>
      </c>
      <c r="J28" s="15" t="inlineStr">
        <is>
          <t>USD</t>
        </is>
      </c>
      <c r="K28" s="15" t="inlineStr">
        <is>
          <t>US:PRIVATE:US_FOR_PROFIT:ALL:ALL</t>
        </is>
      </c>
      <c r="L28" s="15" t="inlineStr">
        <is>
          <t>PRIVATE</t>
        </is>
      </c>
      <c r="M28" s="15" t="inlineStr">
        <is>
          <t>ALL</t>
        </is>
      </c>
      <c r="N28" s="15" t="inlineStr">
        <is>
          <t>US_FOR_PROFIT</t>
        </is>
      </c>
      <c r="O28" s="15" t="inlineStr">
        <is>
          <t>SEC EDGAR</t>
        </is>
      </c>
      <c r="P28" s="15" t="inlineStr">
        <is>
          <t>Audited</t>
        </is>
      </c>
    </row>
    <row r="29">
      <c r="A29" s="17" t="inlineStr">
        <is>
          <t>재무</t>
        </is>
      </c>
      <c r="B29" s="17" t="inlineStr">
        <is>
          <t>NVDA-US</t>
        </is>
      </c>
      <c r="C29" s="18" t="inlineStr">
        <is>
          <t>Nvidia</t>
        </is>
      </c>
      <c r="D29" s="17" t="inlineStr">
        <is>
          <t>US</t>
        </is>
      </c>
      <c r="E29" s="17" t="inlineStr">
        <is>
          <t>2024-Q4</t>
        </is>
      </c>
      <c r="F29" s="17" t="inlineStr">
        <is>
          <t>2025-02-20</t>
        </is>
      </c>
      <c r="G29" s="18" t="inlineStr">
        <is>
          <t>revenue</t>
        </is>
      </c>
      <c r="H29" s="18" t="inlineStr">
        <is>
          <t>매출액</t>
        </is>
      </c>
      <c r="I29" s="21" t="n">
        <v>35082000000</v>
      </c>
      <c r="J29" s="17" t="inlineStr">
        <is>
          <t>USD</t>
        </is>
      </c>
      <c r="K29" s="17" t="inlineStr">
        <is>
          <t>US:PRIVATE:US_FOR_PROFIT:ALL:ALL</t>
        </is>
      </c>
      <c r="L29" s="17" t="inlineStr">
        <is>
          <t>PRIVATE</t>
        </is>
      </c>
      <c r="M29" s="17" t="inlineStr">
        <is>
          <t>ALL</t>
        </is>
      </c>
      <c r="N29" s="17" t="inlineStr">
        <is>
          <t>US_FOR_PROFIT</t>
        </is>
      </c>
      <c r="O29" s="17" t="inlineStr">
        <is>
          <t>SEC EDGAR</t>
        </is>
      </c>
      <c r="P29" s="17" t="inlineStr">
        <is>
          <t>Audited</t>
        </is>
      </c>
    </row>
    <row r="30">
      <c r="A30" s="15" t="inlineStr">
        <is>
          <t>재무</t>
        </is>
      </c>
      <c r="B30" s="15" t="inlineStr">
        <is>
          <t>00159110</t>
        </is>
      </c>
      <c r="C30" s="16" t="inlineStr">
        <is>
          <t>한국전력공사</t>
        </is>
      </c>
      <c r="D30" s="15" t="inlineStr">
        <is>
          <t>KR</t>
        </is>
      </c>
      <c r="E30" s="15" t="inlineStr">
        <is>
          <t>2023-Q4</t>
        </is>
      </c>
      <c r="F30" s="15" t="inlineStr">
        <is>
          <t>2024-03-20</t>
        </is>
      </c>
      <c r="G30" s="16" t="inlineStr">
        <is>
          <t>revenue</t>
        </is>
      </c>
      <c r="H30" s="16" t="inlineStr">
        <is>
          <t>매출액</t>
        </is>
      </c>
      <c r="I30" s="20" t="n">
        <v>88200000000000</v>
      </c>
      <c r="J30" s="15" t="inlineStr">
        <is>
          <t>KRW</t>
        </is>
      </c>
      <c r="K30" s="15" t="inlineStr">
        <is>
          <t>KR:STATE_OWNED:MARKET_SOE:ALL:ONSITE</t>
        </is>
      </c>
      <c r="L30" s="15" t="inlineStr">
        <is>
          <t>STATE_OWNED</t>
        </is>
      </c>
      <c r="M30" s="15" t="inlineStr">
        <is>
          <t>ALL</t>
        </is>
      </c>
      <c r="N30" s="15" t="inlineStr">
        <is>
          <t>MARKET_SOE</t>
        </is>
      </c>
      <c r="O30" s="15" t="inlineStr">
        <is>
          <t>OpenDART</t>
        </is>
      </c>
      <c r="P30" s="15" t="inlineStr">
        <is>
          <t>Audited</t>
        </is>
      </c>
    </row>
    <row r="31">
      <c r="A31" s="17" t="inlineStr">
        <is>
          <t>재무</t>
        </is>
      </c>
      <c r="B31" s="17" t="inlineStr">
        <is>
          <t>00159110</t>
        </is>
      </c>
      <c r="C31" s="18" t="inlineStr">
        <is>
          <t>한국전력공사</t>
        </is>
      </c>
      <c r="D31" s="17" t="inlineStr">
        <is>
          <t>KR</t>
        </is>
      </c>
      <c r="E31" s="17" t="inlineStr">
        <is>
          <t>2024-Q4</t>
        </is>
      </c>
      <c r="F31" s="17" t="inlineStr">
        <is>
          <t>2025-03-19</t>
        </is>
      </c>
      <c r="G31" s="18" t="inlineStr">
        <is>
          <t>revenue</t>
        </is>
      </c>
      <c r="H31" s="18" t="inlineStr">
        <is>
          <t>매출액</t>
        </is>
      </c>
      <c r="I31" s="21" t="n">
        <v>93400000000000</v>
      </c>
      <c r="J31" s="17" t="inlineStr">
        <is>
          <t>KRW</t>
        </is>
      </c>
      <c r="K31" s="17" t="inlineStr">
        <is>
          <t>KR:STATE_OWNED:MARKET_SOE:ALL:ONSITE</t>
        </is>
      </c>
      <c r="L31" s="17" t="inlineStr">
        <is>
          <t>STATE_OWNED</t>
        </is>
      </c>
      <c r="M31" s="17" t="inlineStr">
        <is>
          <t>ALL</t>
        </is>
      </c>
      <c r="N31" s="17" t="inlineStr">
        <is>
          <t>MARKET_SOE</t>
        </is>
      </c>
      <c r="O31" s="17" t="inlineStr">
        <is>
          <t>OpenDART</t>
        </is>
      </c>
      <c r="P31" s="17" t="inlineStr">
        <is>
          <t>Audited</t>
        </is>
      </c>
    </row>
    <row r="32">
      <c r="A32" s="15" t="inlineStr">
        <is>
          <t>재무</t>
        </is>
      </c>
      <c r="B32" s="15" t="inlineStr">
        <is>
          <t>00159110</t>
        </is>
      </c>
      <c r="C32" s="16" t="inlineStr">
        <is>
          <t>한국전력공사</t>
        </is>
      </c>
      <c r="D32" s="15" t="inlineStr">
        <is>
          <t>KR</t>
        </is>
      </c>
      <c r="E32" s="15" t="inlineStr">
        <is>
          <t>2023-Q4</t>
        </is>
      </c>
      <c r="F32" s="15" t="inlineStr">
        <is>
          <t>2024-03-20</t>
        </is>
      </c>
      <c r="G32" s="16" t="inlineStr">
        <is>
          <t>operating_income</t>
        </is>
      </c>
      <c r="H32" s="16" t="inlineStr">
        <is>
          <t>영업이익</t>
        </is>
      </c>
      <c r="I32" s="20" t="n">
        <v>-4560000000000</v>
      </c>
      <c r="J32" s="15" t="inlineStr">
        <is>
          <t>KRW</t>
        </is>
      </c>
      <c r="K32" s="15" t="inlineStr">
        <is>
          <t>KR:STATE_OWNED:MARKET_SOE:ALL:ONSITE</t>
        </is>
      </c>
      <c r="L32" s="15" t="inlineStr">
        <is>
          <t>STATE_OWNED</t>
        </is>
      </c>
      <c r="M32" s="15" t="inlineStr">
        <is>
          <t>ALL</t>
        </is>
      </c>
      <c r="N32" s="15" t="inlineStr">
        <is>
          <t>MARKET_SOE</t>
        </is>
      </c>
      <c r="O32" s="15" t="inlineStr">
        <is>
          <t>OpenDART</t>
        </is>
      </c>
      <c r="P32" s="15" t="inlineStr">
        <is>
          <t>Audited</t>
        </is>
      </c>
    </row>
    <row r="33">
      <c r="A33" s="17" t="inlineStr">
        <is>
          <t>재무</t>
        </is>
      </c>
      <c r="B33" s="17" t="inlineStr">
        <is>
          <t>00159110</t>
        </is>
      </c>
      <c r="C33" s="18" t="inlineStr">
        <is>
          <t>한국전력공사</t>
        </is>
      </c>
      <c r="D33" s="17" t="inlineStr">
        <is>
          <t>KR</t>
        </is>
      </c>
      <c r="E33" s="17" t="inlineStr">
        <is>
          <t>2024-Q4</t>
        </is>
      </c>
      <c r="F33" s="17" t="inlineStr">
        <is>
          <t>2025-03-19</t>
        </is>
      </c>
      <c r="G33" s="18" t="inlineStr">
        <is>
          <t>operating_income</t>
        </is>
      </c>
      <c r="H33" s="18" t="inlineStr">
        <is>
          <t>영업이익</t>
        </is>
      </c>
      <c r="I33" s="21" t="n">
        <v>8200000000000</v>
      </c>
      <c r="J33" s="17" t="inlineStr">
        <is>
          <t>KRW</t>
        </is>
      </c>
      <c r="K33" s="17" t="inlineStr">
        <is>
          <t>KR:STATE_OWNED:MARKET_SOE:ALL:ONSITE</t>
        </is>
      </c>
      <c r="L33" s="17" t="inlineStr">
        <is>
          <t>STATE_OWNED</t>
        </is>
      </c>
      <c r="M33" s="17" t="inlineStr">
        <is>
          <t>ALL</t>
        </is>
      </c>
      <c r="N33" s="17" t="inlineStr">
        <is>
          <t>MARKET_SOE</t>
        </is>
      </c>
      <c r="O33" s="17" t="inlineStr">
        <is>
          <t>OpenDART</t>
        </is>
      </c>
      <c r="P33" s="17" t="inlineStr">
        <is>
          <t>Audited</t>
        </is>
      </c>
    </row>
    <row r="34">
      <c r="A34" s="15" t="inlineStr">
        <is>
          <t>재무</t>
        </is>
      </c>
      <c r="B34" s="15" t="inlineStr">
        <is>
          <t>CEZ-CZ</t>
        </is>
      </c>
      <c r="C34" s="16" t="inlineStr">
        <is>
          <t>ČEZ a.s.</t>
        </is>
      </c>
      <c r="D34" s="15" t="inlineStr">
        <is>
          <t>CZ</t>
        </is>
      </c>
      <c r="E34" s="15" t="inlineStr">
        <is>
          <t>2023-Q4</t>
        </is>
      </c>
      <c r="F34" s="15" t="inlineStr">
        <is>
          <t>2024-03-28</t>
        </is>
      </c>
      <c r="G34" s="16" t="inlineStr">
        <is>
          <t>revenue</t>
        </is>
      </c>
      <c r="H34" s="16" t="inlineStr">
        <is>
          <t>매출액</t>
        </is>
      </c>
      <c r="I34" s="20" t="n">
        <v>340000000000</v>
      </c>
      <c r="J34" s="15" t="inlineStr">
        <is>
          <t>CZK</t>
        </is>
      </c>
      <c r="K34" s="15" t="inlineStr">
        <is>
          <t>CZ:STATE_OWNED:CZ_STATNI_PODNIK:ALL:ONSITE</t>
        </is>
      </c>
      <c r="L34" s="15" t="inlineStr">
        <is>
          <t>STATE_OWNED</t>
        </is>
      </c>
      <c r="M34" s="15" t="inlineStr">
        <is>
          <t>ALL</t>
        </is>
      </c>
      <c r="N34" s="15" t="inlineStr">
        <is>
          <t>CZ_STATNI_PODNIK</t>
        </is>
      </c>
      <c r="O34" s="15" t="inlineStr">
        <is>
          <t>ARES/MFCR</t>
        </is>
      </c>
      <c r="P34" s="15" t="inlineStr">
        <is>
          <t>Audited</t>
        </is>
      </c>
    </row>
    <row r="35">
      <c r="A35" s="17" t="inlineStr">
        <is>
          <t>재무</t>
        </is>
      </c>
      <c r="B35" s="17" t="inlineStr">
        <is>
          <t>CEZ-CZ</t>
        </is>
      </c>
      <c r="C35" s="18" t="inlineStr">
        <is>
          <t>ČEZ a.s.</t>
        </is>
      </c>
      <c r="D35" s="17" t="inlineStr">
        <is>
          <t>CZ</t>
        </is>
      </c>
      <c r="E35" s="17" t="inlineStr">
        <is>
          <t>2024-Q4</t>
        </is>
      </c>
      <c r="F35" s="17" t="inlineStr">
        <is>
          <t>2025-03-27</t>
        </is>
      </c>
      <c r="G35" s="18" t="inlineStr">
        <is>
          <t>revenue</t>
        </is>
      </c>
      <c r="H35" s="18" t="inlineStr">
        <is>
          <t>매출액</t>
        </is>
      </c>
      <c r="I35" s="21" t="n">
        <v>372000000000</v>
      </c>
      <c r="J35" s="17" t="inlineStr">
        <is>
          <t>CZK</t>
        </is>
      </c>
      <c r="K35" s="17" t="inlineStr">
        <is>
          <t>CZ:STATE_OWNED:CZ_STATNI_PODNIK:ALL:ONSITE</t>
        </is>
      </c>
      <c r="L35" s="17" t="inlineStr">
        <is>
          <t>STATE_OWNED</t>
        </is>
      </c>
      <c r="M35" s="17" t="inlineStr">
        <is>
          <t>ALL</t>
        </is>
      </c>
      <c r="N35" s="17" t="inlineStr">
        <is>
          <t>CZ_STATNI_PODNIK</t>
        </is>
      </c>
      <c r="O35" s="17" t="inlineStr">
        <is>
          <t>ARES/MFCR</t>
        </is>
      </c>
      <c r="P35" s="17" t="inlineStr">
        <is>
          <t>Audited</t>
        </is>
      </c>
    </row>
    <row r="36">
      <c r="A36" s="15" t="inlineStr">
        <is>
          <t>채용</t>
        </is>
      </c>
      <c r="B36" s="15" t="inlineStr">
        <is>
          <t>2512</t>
        </is>
      </c>
      <c r="C36" s="16" t="inlineStr">
        <is>
          <t>소프트웨어 개발자</t>
        </is>
      </c>
      <c r="D36" s="15" t="inlineStr">
        <is>
          <t>KR</t>
        </is>
      </c>
      <c r="E36" s="15" t="inlineStr">
        <is>
          <t>2023-Q1</t>
        </is>
      </c>
      <c r="F36" s="15" t="inlineStr">
        <is>
          <t>2023-03-31</t>
        </is>
      </c>
      <c r="G36" s="16" t="inlineStr">
        <is>
          <t>active_postings</t>
        </is>
      </c>
      <c r="H36" s="16" t="inlineStr">
        <is>
          <t>활성 구인공고수</t>
        </is>
      </c>
      <c r="I36" s="20" t="n">
        <v>3800</v>
      </c>
      <c r="J36" s="15" t="inlineStr">
        <is>
          <t>건</t>
        </is>
      </c>
      <c r="K36" s="15" t="inlineStr">
        <is>
          <t>KR:PRIVATE:ALL:REGULAR:ONSITE</t>
        </is>
      </c>
      <c r="L36" s="15" t="inlineStr">
        <is>
          <t>PRIVATE</t>
        </is>
      </c>
      <c r="M36" s="15" t="inlineStr">
        <is>
          <t>REGULAR</t>
        </is>
      </c>
      <c r="N36" s="15" t="inlineStr">
        <is>
          <t>ALL</t>
        </is>
      </c>
      <c r="O36" s="15" t="inlineStr">
        <is>
          <t>워크넷</t>
        </is>
      </c>
      <c r="P36" s="15" t="inlineStr">
        <is>
          <t>Audited</t>
        </is>
      </c>
    </row>
    <row r="37">
      <c r="A37" s="17" t="inlineStr">
        <is>
          <t>채용</t>
        </is>
      </c>
      <c r="B37" s="17" t="inlineStr">
        <is>
          <t>2512</t>
        </is>
      </c>
      <c r="C37" s="18" t="inlineStr">
        <is>
          <t>소프트웨어 개발자</t>
        </is>
      </c>
      <c r="D37" s="17" t="inlineStr">
        <is>
          <t>KR</t>
        </is>
      </c>
      <c r="E37" s="17" t="inlineStr">
        <is>
          <t>2023-Q2</t>
        </is>
      </c>
      <c r="F37" s="17" t="inlineStr">
        <is>
          <t>2023-06-30</t>
        </is>
      </c>
      <c r="G37" s="18" t="inlineStr">
        <is>
          <t>active_postings</t>
        </is>
      </c>
      <c r="H37" s="18" t="inlineStr">
        <is>
          <t>활성 구인공고수</t>
        </is>
      </c>
      <c r="I37" s="21" t="n">
        <v>3950</v>
      </c>
      <c r="J37" s="17" t="inlineStr">
        <is>
          <t>건</t>
        </is>
      </c>
      <c r="K37" s="17" t="inlineStr">
        <is>
          <t>KR:PRIVATE:ALL:REGULAR:ONSITE</t>
        </is>
      </c>
      <c r="L37" s="17" t="inlineStr">
        <is>
          <t>PRIVATE</t>
        </is>
      </c>
      <c r="M37" s="17" t="inlineStr">
        <is>
          <t>REGULAR</t>
        </is>
      </c>
      <c r="N37" s="17" t="inlineStr">
        <is>
          <t>ALL</t>
        </is>
      </c>
      <c r="O37" s="17" t="inlineStr">
        <is>
          <t>워크넷</t>
        </is>
      </c>
      <c r="P37" s="17" t="inlineStr">
        <is>
          <t>Audited</t>
        </is>
      </c>
    </row>
    <row r="38">
      <c r="A38" s="15" t="inlineStr">
        <is>
          <t>채용</t>
        </is>
      </c>
      <c r="B38" s="15" t="inlineStr">
        <is>
          <t>2512</t>
        </is>
      </c>
      <c r="C38" s="16" t="inlineStr">
        <is>
          <t>소프트웨어 개발자</t>
        </is>
      </c>
      <c r="D38" s="15" t="inlineStr">
        <is>
          <t>KR</t>
        </is>
      </c>
      <c r="E38" s="15" t="inlineStr">
        <is>
          <t>2023-Q3</t>
        </is>
      </c>
      <c r="F38" s="15" t="inlineStr">
        <is>
          <t>2023-09-30</t>
        </is>
      </c>
      <c r="G38" s="16" t="inlineStr">
        <is>
          <t>active_postings</t>
        </is>
      </c>
      <c r="H38" s="16" t="inlineStr">
        <is>
          <t>활성 구인공고수</t>
        </is>
      </c>
      <c r="I38" s="20" t="n">
        <v>4100</v>
      </c>
      <c r="J38" s="15" t="inlineStr">
        <is>
          <t>건</t>
        </is>
      </c>
      <c r="K38" s="15" t="inlineStr">
        <is>
          <t>KR:PRIVATE:ALL:REGULAR:ONSITE</t>
        </is>
      </c>
      <c r="L38" s="15" t="inlineStr">
        <is>
          <t>PRIVATE</t>
        </is>
      </c>
      <c r="M38" s="15" t="inlineStr">
        <is>
          <t>REGULAR</t>
        </is>
      </c>
      <c r="N38" s="15" t="inlineStr">
        <is>
          <t>ALL</t>
        </is>
      </c>
      <c r="O38" s="15" t="inlineStr">
        <is>
          <t>워크넷</t>
        </is>
      </c>
      <c r="P38" s="15" t="inlineStr">
        <is>
          <t>Audited</t>
        </is>
      </c>
    </row>
    <row r="39">
      <c r="A39" s="17" t="inlineStr">
        <is>
          <t>채용</t>
        </is>
      </c>
      <c r="B39" s="17" t="inlineStr">
        <is>
          <t>2512</t>
        </is>
      </c>
      <c r="C39" s="18" t="inlineStr">
        <is>
          <t>소프트웨어 개발자</t>
        </is>
      </c>
      <c r="D39" s="17" t="inlineStr">
        <is>
          <t>KR</t>
        </is>
      </c>
      <c r="E39" s="17" t="inlineStr">
        <is>
          <t>2023-Q4</t>
        </is>
      </c>
      <c r="F39" s="17" t="inlineStr">
        <is>
          <t>2023-12-31</t>
        </is>
      </c>
      <c r="G39" s="18" t="inlineStr">
        <is>
          <t>active_postings</t>
        </is>
      </c>
      <c r="H39" s="18" t="inlineStr">
        <is>
          <t>활성 구인공고수</t>
        </is>
      </c>
      <c r="I39" s="21" t="n">
        <v>4210</v>
      </c>
      <c r="J39" s="17" t="inlineStr">
        <is>
          <t>건</t>
        </is>
      </c>
      <c r="K39" s="17" t="inlineStr">
        <is>
          <t>KR:PRIVATE:ALL:REGULAR:ONSITE</t>
        </is>
      </c>
      <c r="L39" s="17" t="inlineStr">
        <is>
          <t>PRIVATE</t>
        </is>
      </c>
      <c r="M39" s="17" t="inlineStr">
        <is>
          <t>REGULAR</t>
        </is>
      </c>
      <c r="N39" s="17" t="inlineStr">
        <is>
          <t>ALL</t>
        </is>
      </c>
      <c r="O39" s="17" t="inlineStr">
        <is>
          <t>워크넷</t>
        </is>
      </c>
      <c r="P39" s="17" t="inlineStr">
        <is>
          <t>Audited</t>
        </is>
      </c>
    </row>
    <row r="40">
      <c r="A40" s="15" t="inlineStr">
        <is>
          <t>채용</t>
        </is>
      </c>
      <c r="B40" s="15" t="inlineStr">
        <is>
          <t>2512</t>
        </is>
      </c>
      <c r="C40" s="16" t="inlineStr">
        <is>
          <t>소프트웨어 개발자</t>
        </is>
      </c>
      <c r="D40" s="15" t="inlineStr">
        <is>
          <t>KR</t>
        </is>
      </c>
      <c r="E40" s="15" t="inlineStr">
        <is>
          <t>2024-Q1</t>
        </is>
      </c>
      <c r="F40" s="15" t="inlineStr">
        <is>
          <t>2024-03-31</t>
        </is>
      </c>
      <c r="G40" s="16" t="inlineStr">
        <is>
          <t>active_postings</t>
        </is>
      </c>
      <c r="H40" s="16" t="inlineStr">
        <is>
          <t>활성 구인공고수</t>
        </is>
      </c>
      <c r="I40" s="20" t="n">
        <v>4320</v>
      </c>
      <c r="J40" s="15" t="inlineStr">
        <is>
          <t>건</t>
        </is>
      </c>
      <c r="K40" s="15" t="inlineStr">
        <is>
          <t>KR:PRIVATE:ALL:REGULAR:ONSITE</t>
        </is>
      </c>
      <c r="L40" s="15" t="inlineStr">
        <is>
          <t>PRIVATE</t>
        </is>
      </c>
      <c r="M40" s="15" t="inlineStr">
        <is>
          <t>REGULAR</t>
        </is>
      </c>
      <c r="N40" s="15" t="inlineStr">
        <is>
          <t>ALL</t>
        </is>
      </c>
      <c r="O40" s="15" t="inlineStr">
        <is>
          <t>워크넷</t>
        </is>
      </c>
      <c r="P40" s="15" t="inlineStr">
        <is>
          <t>Audited</t>
        </is>
      </c>
    </row>
    <row r="41">
      <c r="A41" s="17" t="inlineStr">
        <is>
          <t>채용</t>
        </is>
      </c>
      <c r="B41" s="17" t="inlineStr">
        <is>
          <t>2512</t>
        </is>
      </c>
      <c r="C41" s="18" t="inlineStr">
        <is>
          <t>소프트웨어 개발자</t>
        </is>
      </c>
      <c r="D41" s="17" t="inlineStr">
        <is>
          <t>KR</t>
        </is>
      </c>
      <c r="E41" s="17" t="inlineStr">
        <is>
          <t>2024-Q2</t>
        </is>
      </c>
      <c r="F41" s="17" t="inlineStr">
        <is>
          <t>2024-06-30</t>
        </is>
      </c>
      <c r="G41" s="18" t="inlineStr">
        <is>
          <t>active_postings</t>
        </is>
      </c>
      <c r="H41" s="18" t="inlineStr">
        <is>
          <t>활성 구인공고수</t>
        </is>
      </c>
      <c r="I41" s="21" t="n">
        <v>4410</v>
      </c>
      <c r="J41" s="17" t="inlineStr">
        <is>
          <t>건</t>
        </is>
      </c>
      <c r="K41" s="17" t="inlineStr">
        <is>
          <t>KR:PRIVATE:ALL:REGULAR:ONSITE</t>
        </is>
      </c>
      <c r="L41" s="17" t="inlineStr">
        <is>
          <t>PRIVATE</t>
        </is>
      </c>
      <c r="M41" s="17" t="inlineStr">
        <is>
          <t>REGULAR</t>
        </is>
      </c>
      <c r="N41" s="17" t="inlineStr">
        <is>
          <t>ALL</t>
        </is>
      </c>
      <c r="O41" s="17" t="inlineStr">
        <is>
          <t>워크넷</t>
        </is>
      </c>
      <c r="P41" s="17" t="inlineStr">
        <is>
          <t>Audited</t>
        </is>
      </c>
    </row>
    <row r="42">
      <c r="A42" s="15" t="inlineStr">
        <is>
          <t>채용</t>
        </is>
      </c>
      <c r="B42" s="15" t="inlineStr">
        <is>
          <t>2512</t>
        </is>
      </c>
      <c r="C42" s="16" t="inlineStr">
        <is>
          <t>소프트웨어 개발자</t>
        </is>
      </c>
      <c r="D42" s="15" t="inlineStr">
        <is>
          <t>KR</t>
        </is>
      </c>
      <c r="E42" s="15" t="inlineStr">
        <is>
          <t>2024-Q3</t>
        </is>
      </c>
      <c r="F42" s="15" t="inlineStr">
        <is>
          <t>2024-09-30</t>
        </is>
      </c>
      <c r="G42" s="16" t="inlineStr">
        <is>
          <t>active_postings</t>
        </is>
      </c>
      <c r="H42" s="16" t="inlineStr">
        <is>
          <t>활성 구인공고수</t>
        </is>
      </c>
      <c r="I42" s="20" t="n">
        <v>4490</v>
      </c>
      <c r="J42" s="15" t="inlineStr">
        <is>
          <t>건</t>
        </is>
      </c>
      <c r="K42" s="15" t="inlineStr">
        <is>
          <t>KR:PRIVATE:ALL:REGULAR:ONSITE</t>
        </is>
      </c>
      <c r="L42" s="15" t="inlineStr">
        <is>
          <t>PRIVATE</t>
        </is>
      </c>
      <c r="M42" s="15" t="inlineStr">
        <is>
          <t>REGULAR</t>
        </is>
      </c>
      <c r="N42" s="15" t="inlineStr">
        <is>
          <t>ALL</t>
        </is>
      </c>
      <c r="O42" s="15" t="inlineStr">
        <is>
          <t>워크넷</t>
        </is>
      </c>
      <c r="P42" s="15" t="inlineStr">
        <is>
          <t>Audited</t>
        </is>
      </c>
    </row>
    <row r="43">
      <c r="A43" s="17" t="inlineStr">
        <is>
          <t>채용</t>
        </is>
      </c>
      <c r="B43" s="17" t="inlineStr">
        <is>
          <t>2512</t>
        </is>
      </c>
      <c r="C43" s="18" t="inlineStr">
        <is>
          <t>소프트웨어 개발자</t>
        </is>
      </c>
      <c r="D43" s="17" t="inlineStr">
        <is>
          <t>KR</t>
        </is>
      </c>
      <c r="E43" s="17" t="inlineStr">
        <is>
          <t>2024-Q4</t>
        </is>
      </c>
      <c r="F43" s="17" t="inlineStr">
        <is>
          <t>2024-12-31</t>
        </is>
      </c>
      <c r="G43" s="18" t="inlineStr">
        <is>
          <t>active_postings</t>
        </is>
      </c>
      <c r="H43" s="18" t="inlineStr">
        <is>
          <t>활성 구인공고수</t>
        </is>
      </c>
      <c r="I43" s="21" t="n">
        <v>4580</v>
      </c>
      <c r="J43" s="17" t="inlineStr">
        <is>
          <t>건</t>
        </is>
      </c>
      <c r="K43" s="17" t="inlineStr">
        <is>
          <t>KR:PRIVATE:ALL:REGULAR:ONSITE</t>
        </is>
      </c>
      <c r="L43" s="17" t="inlineStr">
        <is>
          <t>PRIVATE</t>
        </is>
      </c>
      <c r="M43" s="17" t="inlineStr">
        <is>
          <t>REGULAR</t>
        </is>
      </c>
      <c r="N43" s="17" t="inlineStr">
        <is>
          <t>ALL</t>
        </is>
      </c>
      <c r="O43" s="17" t="inlineStr">
        <is>
          <t>워크넷</t>
        </is>
      </c>
      <c r="P43" s="17" t="inlineStr">
        <is>
          <t>Audited</t>
        </is>
      </c>
    </row>
    <row r="44">
      <c r="A44" s="15" t="inlineStr">
        <is>
          <t>채용</t>
        </is>
      </c>
      <c r="B44" s="15" t="inlineStr">
        <is>
          <t>2512</t>
        </is>
      </c>
      <c r="C44" s="16" t="inlineStr">
        <is>
          <t>Software Developers &amp; Analysts</t>
        </is>
      </c>
      <c r="D44" s="15" t="inlineStr">
        <is>
          <t>US</t>
        </is>
      </c>
      <c r="E44" s="15" t="inlineStr">
        <is>
          <t>2023-Q4</t>
        </is>
      </c>
      <c r="F44" s="15" t="inlineStr">
        <is>
          <t>2023-12-31</t>
        </is>
      </c>
      <c r="G44" s="16" t="inlineStr">
        <is>
          <t>active_postings</t>
        </is>
      </c>
      <c r="H44" s="16" t="inlineStr">
        <is>
          <t>활성 구인공고수</t>
        </is>
      </c>
      <c r="I44" s="20" t="n">
        <v>28400</v>
      </c>
      <c r="J44" s="15" t="inlineStr">
        <is>
          <t>건</t>
        </is>
      </c>
      <c r="K44" s="15" t="inlineStr">
        <is>
          <t>US:PRIVATE:ALL:REGULAR:HYBRID</t>
        </is>
      </c>
      <c r="L44" s="15" t="inlineStr">
        <is>
          <t>PRIVATE</t>
        </is>
      </c>
      <c r="M44" s="15" t="inlineStr">
        <is>
          <t>REGULAR</t>
        </is>
      </c>
      <c r="N44" s="15" t="inlineStr">
        <is>
          <t>ALL</t>
        </is>
      </c>
      <c r="O44" s="15" t="inlineStr">
        <is>
          <t>Greenhouse/Lever</t>
        </is>
      </c>
      <c r="P44" s="15" t="inlineStr">
        <is>
          <t>Audited</t>
        </is>
      </c>
    </row>
    <row r="45">
      <c r="A45" s="17" t="inlineStr">
        <is>
          <t>채용</t>
        </is>
      </c>
      <c r="B45" s="17" t="inlineStr">
        <is>
          <t>2512</t>
        </is>
      </c>
      <c r="C45" s="18" t="inlineStr">
        <is>
          <t>Software Developers &amp; Analysts</t>
        </is>
      </c>
      <c r="D45" s="17" t="inlineStr">
        <is>
          <t>US</t>
        </is>
      </c>
      <c r="E45" s="17" t="inlineStr">
        <is>
          <t>2024-Q4</t>
        </is>
      </c>
      <c r="F45" s="17" t="inlineStr">
        <is>
          <t>2024-12-31</t>
        </is>
      </c>
      <c r="G45" s="18" t="inlineStr">
        <is>
          <t>active_postings</t>
        </is>
      </c>
      <c r="H45" s="18" t="inlineStr">
        <is>
          <t>활성 구인공고수</t>
        </is>
      </c>
      <c r="I45" s="21" t="n">
        <v>31200</v>
      </c>
      <c r="J45" s="17" t="inlineStr">
        <is>
          <t>건</t>
        </is>
      </c>
      <c r="K45" s="17" t="inlineStr">
        <is>
          <t>US:PRIVATE:ALL:REGULAR:HYBRID</t>
        </is>
      </c>
      <c r="L45" s="17" t="inlineStr">
        <is>
          <t>PRIVATE</t>
        </is>
      </c>
      <c r="M45" s="17" t="inlineStr">
        <is>
          <t>REGULAR</t>
        </is>
      </c>
      <c r="N45" s="17" t="inlineStr">
        <is>
          <t>ALL</t>
        </is>
      </c>
      <c r="O45" s="17" t="inlineStr">
        <is>
          <t>Greenhouse/Lever</t>
        </is>
      </c>
      <c r="P45" s="17" t="inlineStr">
        <is>
          <t>Audited</t>
        </is>
      </c>
    </row>
    <row r="46">
      <c r="A46" s="15" t="inlineStr">
        <is>
          <t>채용</t>
        </is>
      </c>
      <c r="B46" s="15" t="inlineStr">
        <is>
          <t>2512</t>
        </is>
      </c>
      <c r="C46" s="16" t="inlineStr">
        <is>
          <t>Vývojáři softwaru</t>
        </is>
      </c>
      <c r="D46" s="15" t="inlineStr">
        <is>
          <t>CZ</t>
        </is>
      </c>
      <c r="E46" s="15" t="inlineStr">
        <is>
          <t>2023-Q4</t>
        </is>
      </c>
      <c r="F46" s="15" t="inlineStr">
        <is>
          <t>2023-12-31</t>
        </is>
      </c>
      <c r="G46" s="16" t="inlineStr">
        <is>
          <t>active_postings</t>
        </is>
      </c>
      <c r="H46" s="16" t="inlineStr">
        <is>
          <t>활성 구인공고수</t>
        </is>
      </c>
      <c r="I46" s="20" t="n">
        <v>2150</v>
      </c>
      <c r="J46" s="15" t="inlineStr">
        <is>
          <t>건</t>
        </is>
      </c>
      <c r="K46" s="15" t="inlineStr">
        <is>
          <t>CZ:PRIVATE:ALL:REGULAR:ONSITE</t>
        </is>
      </c>
      <c r="L46" s="15" t="inlineStr">
        <is>
          <t>PRIVATE</t>
        </is>
      </c>
      <c r="M46" s="15" t="inlineStr">
        <is>
          <t>REGULAR</t>
        </is>
      </c>
      <c r="N46" s="15" t="inlineStr">
        <is>
          <t>ALL</t>
        </is>
      </c>
      <c r="O46" s="15" t="inlineStr">
        <is>
          <t>MPSV</t>
        </is>
      </c>
      <c r="P46" s="15" t="inlineStr">
        <is>
          <t>Audited</t>
        </is>
      </c>
    </row>
    <row r="47">
      <c r="A47" s="17" t="inlineStr">
        <is>
          <t>채용</t>
        </is>
      </c>
      <c r="B47" s="17" t="inlineStr">
        <is>
          <t>2512</t>
        </is>
      </c>
      <c r="C47" s="18" t="inlineStr">
        <is>
          <t>Vývojáři softwaru</t>
        </is>
      </c>
      <c r="D47" s="17" t="inlineStr">
        <is>
          <t>CZ</t>
        </is>
      </c>
      <c r="E47" s="17" t="inlineStr">
        <is>
          <t>2024-Q4</t>
        </is>
      </c>
      <c r="F47" s="17" t="inlineStr">
        <is>
          <t>2024-12-31</t>
        </is>
      </c>
      <c r="G47" s="18" t="inlineStr">
        <is>
          <t>active_postings</t>
        </is>
      </c>
      <c r="H47" s="18" t="inlineStr">
        <is>
          <t>활성 구인공고수</t>
        </is>
      </c>
      <c r="I47" s="21" t="n">
        <v>2340</v>
      </c>
      <c r="J47" s="17" t="inlineStr">
        <is>
          <t>건</t>
        </is>
      </c>
      <c r="K47" s="17" t="inlineStr">
        <is>
          <t>CZ:PRIVATE:ALL:REGULAR:ONSITE</t>
        </is>
      </c>
      <c r="L47" s="17" t="inlineStr">
        <is>
          <t>PRIVATE</t>
        </is>
      </c>
      <c r="M47" s="17" t="inlineStr">
        <is>
          <t>REGULAR</t>
        </is>
      </c>
      <c r="N47" s="17" t="inlineStr">
        <is>
          <t>ALL</t>
        </is>
      </c>
      <c r="O47" s="17" t="inlineStr">
        <is>
          <t>MPSV</t>
        </is>
      </c>
      <c r="P47" s="17" t="inlineStr">
        <is>
          <t>Audited</t>
        </is>
      </c>
    </row>
    <row r="48">
      <c r="A48" s="15" t="inlineStr">
        <is>
          <t>채용</t>
        </is>
      </c>
      <c r="B48" s="15" t="inlineStr">
        <is>
          <t>2152</t>
        </is>
      </c>
      <c r="C48" s="16" t="inlineStr">
        <is>
          <t>전자공학 기술자/설계사</t>
        </is>
      </c>
      <c r="D48" s="15" t="inlineStr">
        <is>
          <t>KR</t>
        </is>
      </c>
      <c r="E48" s="15" t="inlineStr">
        <is>
          <t>2023-Q4</t>
        </is>
      </c>
      <c r="F48" s="15" t="inlineStr">
        <is>
          <t>2023-12-31</t>
        </is>
      </c>
      <c r="G48" s="16" t="inlineStr">
        <is>
          <t>active_postings</t>
        </is>
      </c>
      <c r="H48" s="16" t="inlineStr">
        <is>
          <t>활성 구인공고수</t>
        </is>
      </c>
      <c r="I48" s="20" t="n">
        <v>1820</v>
      </c>
      <c r="J48" s="15" t="inlineStr">
        <is>
          <t>건</t>
        </is>
      </c>
      <c r="K48" s="15" t="inlineStr">
        <is>
          <t>KR:PRIVATE:LARGE_CONGLOMERATE:REGULAR:ONSITE</t>
        </is>
      </c>
      <c r="L48" s="15" t="inlineStr">
        <is>
          <t>PRIVATE</t>
        </is>
      </c>
      <c r="M48" s="15" t="inlineStr">
        <is>
          <t>REGULAR</t>
        </is>
      </c>
      <c r="N48" s="15" t="inlineStr">
        <is>
          <t>LARGE_CONGLOMERATE</t>
        </is>
      </c>
      <c r="O48" s="15" t="inlineStr">
        <is>
          <t>워크넷</t>
        </is>
      </c>
      <c r="P48" s="15" t="inlineStr">
        <is>
          <t>Audited</t>
        </is>
      </c>
    </row>
    <row r="49">
      <c r="A49" s="17" t="inlineStr">
        <is>
          <t>채용</t>
        </is>
      </c>
      <c r="B49" s="17" t="inlineStr">
        <is>
          <t>2152</t>
        </is>
      </c>
      <c r="C49" s="18" t="inlineStr">
        <is>
          <t>전자공학 기술자/설계사</t>
        </is>
      </c>
      <c r="D49" s="17" t="inlineStr">
        <is>
          <t>KR</t>
        </is>
      </c>
      <c r="E49" s="17" t="inlineStr">
        <is>
          <t>2024-Q4</t>
        </is>
      </c>
      <c r="F49" s="17" t="inlineStr">
        <is>
          <t>2024-12-31</t>
        </is>
      </c>
      <c r="G49" s="18" t="inlineStr">
        <is>
          <t>active_postings</t>
        </is>
      </c>
      <c r="H49" s="18" t="inlineStr">
        <is>
          <t>활성 구인공고수</t>
        </is>
      </c>
      <c r="I49" s="21" t="n">
        <v>2240</v>
      </c>
      <c r="J49" s="17" t="inlineStr">
        <is>
          <t>건</t>
        </is>
      </c>
      <c r="K49" s="17" t="inlineStr">
        <is>
          <t>KR:PRIVATE:LARGE_CONGLOMERATE:REGULAR:ONSITE</t>
        </is>
      </c>
      <c r="L49" s="17" t="inlineStr">
        <is>
          <t>PRIVATE</t>
        </is>
      </c>
      <c r="M49" s="17" t="inlineStr">
        <is>
          <t>REGULAR</t>
        </is>
      </c>
      <c r="N49" s="17" t="inlineStr">
        <is>
          <t>LARGE_CONGLOMERATE</t>
        </is>
      </c>
      <c r="O49" s="17" t="inlineStr">
        <is>
          <t>워크넷</t>
        </is>
      </c>
      <c r="P49" s="17" t="inlineStr">
        <is>
          <t>Audited</t>
        </is>
      </c>
    </row>
    <row r="50">
      <c r="A50" s="15" t="inlineStr">
        <is>
          <t>채용</t>
        </is>
      </c>
      <c r="B50" s="15" t="inlineStr">
        <is>
          <t>2411</t>
        </is>
      </c>
      <c r="C50" s="16" t="inlineStr">
        <is>
          <t>재무 및 회계 전문가</t>
        </is>
      </c>
      <c r="D50" s="15" t="inlineStr">
        <is>
          <t>KR</t>
        </is>
      </c>
      <c r="E50" s="15" t="inlineStr">
        <is>
          <t>2023-Q4</t>
        </is>
      </c>
      <c r="F50" s="15" t="inlineStr">
        <is>
          <t>2023-12-31</t>
        </is>
      </c>
      <c r="G50" s="16" t="inlineStr">
        <is>
          <t>active_postings</t>
        </is>
      </c>
      <c r="H50" s="16" t="inlineStr">
        <is>
          <t>활성 구인공고수</t>
        </is>
      </c>
      <c r="I50" s="20" t="n">
        <v>980</v>
      </c>
      <c r="J50" s="15" t="inlineStr">
        <is>
          <t>건</t>
        </is>
      </c>
      <c r="K50" s="15" t="inlineStr">
        <is>
          <t>KR:PRIVATE:ALL:REGULAR:ONSITE</t>
        </is>
      </c>
      <c r="L50" s="15" t="inlineStr">
        <is>
          <t>PRIVATE</t>
        </is>
      </c>
      <c r="M50" s="15" t="inlineStr">
        <is>
          <t>REGULAR</t>
        </is>
      </c>
      <c r="N50" s="15" t="inlineStr">
        <is>
          <t>ALL</t>
        </is>
      </c>
      <c r="O50" s="15" t="inlineStr">
        <is>
          <t>워크넷</t>
        </is>
      </c>
      <c r="P50" s="15" t="inlineStr">
        <is>
          <t>Audited</t>
        </is>
      </c>
    </row>
    <row r="51">
      <c r="A51" s="17" t="inlineStr">
        <is>
          <t>채용</t>
        </is>
      </c>
      <c r="B51" s="17" t="inlineStr">
        <is>
          <t>2411</t>
        </is>
      </c>
      <c r="C51" s="18" t="inlineStr">
        <is>
          <t>재무 및 회계 전문가</t>
        </is>
      </c>
      <c r="D51" s="17" t="inlineStr">
        <is>
          <t>KR</t>
        </is>
      </c>
      <c r="E51" s="17" t="inlineStr">
        <is>
          <t>2024-Q4</t>
        </is>
      </c>
      <c r="F51" s="17" t="inlineStr">
        <is>
          <t>2024-12-31</t>
        </is>
      </c>
      <c r="G51" s="18" t="inlineStr">
        <is>
          <t>active_postings</t>
        </is>
      </c>
      <c r="H51" s="18" t="inlineStr">
        <is>
          <t>활성 구인공고수</t>
        </is>
      </c>
      <c r="I51" s="21" t="n">
        <v>890</v>
      </c>
      <c r="J51" s="17" t="inlineStr">
        <is>
          <t>건</t>
        </is>
      </c>
      <c r="K51" s="17" t="inlineStr">
        <is>
          <t>KR:PRIVATE:ALL:REGULAR:ONSITE</t>
        </is>
      </c>
      <c r="L51" s="17" t="inlineStr">
        <is>
          <t>PRIVATE</t>
        </is>
      </c>
      <c r="M51" s="17" t="inlineStr">
        <is>
          <t>REGULAR</t>
        </is>
      </c>
      <c r="N51" s="17" t="inlineStr">
        <is>
          <t>ALL</t>
        </is>
      </c>
      <c r="O51" s="17" t="inlineStr">
        <is>
          <t>워크넷</t>
        </is>
      </c>
      <c r="P51" s="17" t="inlineStr">
        <is>
          <t>Audited</t>
        </is>
      </c>
    </row>
    <row r="52">
      <c r="A52" s="15" t="inlineStr">
        <is>
          <t>채용</t>
        </is>
      </c>
      <c r="B52" s="15" t="inlineStr">
        <is>
          <t>1211</t>
        </is>
      </c>
      <c r="C52" s="16" t="inlineStr">
        <is>
          <t>재무 총괄 관리자</t>
        </is>
      </c>
      <c r="D52" s="15" t="inlineStr">
        <is>
          <t>KR</t>
        </is>
      </c>
      <c r="E52" s="15" t="inlineStr">
        <is>
          <t>2023-Q4</t>
        </is>
      </c>
      <c r="F52" s="15" t="inlineStr">
        <is>
          <t>2023-12-31</t>
        </is>
      </c>
      <c r="G52" s="16" t="inlineStr">
        <is>
          <t>active_postings</t>
        </is>
      </c>
      <c r="H52" s="16" t="inlineStr">
        <is>
          <t>활성 구인공고수</t>
        </is>
      </c>
      <c r="I52" s="20" t="n">
        <v>320</v>
      </c>
      <c r="J52" s="15" t="inlineStr">
        <is>
          <t>건</t>
        </is>
      </c>
      <c r="K52" s="15" t="inlineStr">
        <is>
          <t>KR:PRIVATE:ALL:REGULAR:ONSITE</t>
        </is>
      </c>
      <c r="L52" s="15" t="inlineStr">
        <is>
          <t>PRIVATE</t>
        </is>
      </c>
      <c r="M52" s="15" t="inlineStr">
        <is>
          <t>REGULAR</t>
        </is>
      </c>
      <c r="N52" s="15" t="inlineStr">
        <is>
          <t>ALL</t>
        </is>
      </c>
      <c r="O52" s="15" t="inlineStr">
        <is>
          <t>워크넷</t>
        </is>
      </c>
      <c r="P52" s="15" t="inlineStr">
        <is>
          <t>Audited</t>
        </is>
      </c>
    </row>
    <row r="53">
      <c r="A53" s="17" t="inlineStr">
        <is>
          <t>채용</t>
        </is>
      </c>
      <c r="B53" s="17" t="inlineStr">
        <is>
          <t>1211</t>
        </is>
      </c>
      <c r="C53" s="18" t="inlineStr">
        <is>
          <t>재무 총괄 관리자</t>
        </is>
      </c>
      <c r="D53" s="17" t="inlineStr">
        <is>
          <t>KR</t>
        </is>
      </c>
      <c r="E53" s="17" t="inlineStr">
        <is>
          <t>2024-Q4</t>
        </is>
      </c>
      <c r="F53" s="17" t="inlineStr">
        <is>
          <t>2024-12-31</t>
        </is>
      </c>
      <c r="G53" s="18" t="inlineStr">
        <is>
          <t>active_postings</t>
        </is>
      </c>
      <c r="H53" s="18" t="inlineStr">
        <is>
          <t>활성 구인공고수</t>
        </is>
      </c>
      <c r="I53" s="21" t="n">
        <v>295</v>
      </c>
      <c r="J53" s="17" t="inlineStr">
        <is>
          <t>건</t>
        </is>
      </c>
      <c r="K53" s="17" t="inlineStr">
        <is>
          <t>KR:PRIVATE:ALL:REGULAR:ONSITE</t>
        </is>
      </c>
      <c r="L53" s="17" t="inlineStr">
        <is>
          <t>PRIVATE</t>
        </is>
      </c>
      <c r="M53" s="17" t="inlineStr">
        <is>
          <t>REGULAR</t>
        </is>
      </c>
      <c r="N53" s="17" t="inlineStr">
        <is>
          <t>ALL</t>
        </is>
      </c>
      <c r="O53" s="17" t="inlineStr">
        <is>
          <t>워크넷</t>
        </is>
      </c>
      <c r="P53" s="17" t="inlineStr">
        <is>
          <t>Audited</t>
        </is>
      </c>
    </row>
    <row r="54">
      <c r="A54" s="15" t="inlineStr">
        <is>
          <t>채용</t>
        </is>
      </c>
      <c r="B54" s="15" t="inlineStr">
        <is>
          <t>2144</t>
        </is>
      </c>
      <c r="C54" s="16" t="inlineStr">
        <is>
          <t>기계공학 엔지니어</t>
        </is>
      </c>
      <c r="D54" s="15" t="inlineStr">
        <is>
          <t>CZ</t>
        </is>
      </c>
      <c r="E54" s="15" t="inlineStr">
        <is>
          <t>2023-Q4</t>
        </is>
      </c>
      <c r="F54" s="15" t="inlineStr">
        <is>
          <t>2023-12-31</t>
        </is>
      </c>
      <c r="G54" s="16" t="inlineStr">
        <is>
          <t>active_postings</t>
        </is>
      </c>
      <c r="H54" s="16" t="inlineStr">
        <is>
          <t>활성 구인공고수</t>
        </is>
      </c>
      <c r="I54" s="20" t="n">
        <v>1450</v>
      </c>
      <c r="J54" s="15" t="inlineStr">
        <is>
          <t>건</t>
        </is>
      </c>
      <c r="K54" s="15" t="inlineStr">
        <is>
          <t>CZ:PRIVATE:ALL:REGULAR:ONSITE</t>
        </is>
      </c>
      <c r="L54" s="15" t="inlineStr">
        <is>
          <t>PRIVATE</t>
        </is>
      </c>
      <c r="M54" s="15" t="inlineStr">
        <is>
          <t>REGULAR</t>
        </is>
      </c>
      <c r="N54" s="15" t="inlineStr">
        <is>
          <t>ALL</t>
        </is>
      </c>
      <c r="O54" s="15" t="inlineStr">
        <is>
          <t>MPSV</t>
        </is>
      </c>
      <c r="P54" s="15" t="inlineStr">
        <is>
          <t>Audited</t>
        </is>
      </c>
    </row>
    <row r="55">
      <c r="A55" s="17" t="inlineStr">
        <is>
          <t>채용</t>
        </is>
      </c>
      <c r="B55" s="17" t="inlineStr">
        <is>
          <t>2144</t>
        </is>
      </c>
      <c r="C55" s="18" t="inlineStr">
        <is>
          <t>기계공학 엔지니어</t>
        </is>
      </c>
      <c r="D55" s="17" t="inlineStr">
        <is>
          <t>CZ</t>
        </is>
      </c>
      <c r="E55" s="17" t="inlineStr">
        <is>
          <t>2024-Q4</t>
        </is>
      </c>
      <c r="F55" s="17" t="inlineStr">
        <is>
          <t>2024-12-31</t>
        </is>
      </c>
      <c r="G55" s="18" t="inlineStr">
        <is>
          <t>active_postings</t>
        </is>
      </c>
      <c r="H55" s="18" t="inlineStr">
        <is>
          <t>활성 구인공고수</t>
        </is>
      </c>
      <c r="I55" s="21" t="n">
        <v>1510</v>
      </c>
      <c r="J55" s="17" t="inlineStr">
        <is>
          <t>건</t>
        </is>
      </c>
      <c r="K55" s="17" t="inlineStr">
        <is>
          <t>CZ:PRIVATE:ALL:REGULAR:ONSITE</t>
        </is>
      </c>
      <c r="L55" s="17" t="inlineStr">
        <is>
          <t>PRIVATE</t>
        </is>
      </c>
      <c r="M55" s="17" t="inlineStr">
        <is>
          <t>REGULAR</t>
        </is>
      </c>
      <c r="N55" s="17" t="inlineStr">
        <is>
          <t>ALL</t>
        </is>
      </c>
      <c r="O55" s="17" t="inlineStr">
        <is>
          <t>MPSV</t>
        </is>
      </c>
      <c r="P55" s="17" t="inlineStr">
        <is>
          <t>Audited</t>
        </is>
      </c>
    </row>
    <row r="56">
      <c r="A56" s="15" t="inlineStr">
        <is>
          <t>채용</t>
        </is>
      </c>
      <c r="B56" s="15" t="inlineStr">
        <is>
          <t>00159110</t>
        </is>
      </c>
      <c r="C56" s="16" t="inlineStr">
        <is>
          <t>한국전력공사 일반정규직 (p01/e01)</t>
        </is>
      </c>
      <c r="D56" s="15" t="inlineStr">
        <is>
          <t>KR</t>
        </is>
      </c>
      <c r="E56" s="15" t="inlineStr">
        <is>
          <t>2023-Q4</t>
        </is>
      </c>
      <c r="F56" s="15" t="inlineStr">
        <is>
          <t>2023-12-31</t>
        </is>
      </c>
      <c r="G56" s="16" t="inlineStr">
        <is>
          <t>active_postings</t>
        </is>
      </c>
      <c r="H56" s="16" t="inlineStr">
        <is>
          <t>정규직 채용수</t>
        </is>
      </c>
      <c r="I56" s="20" t="n">
        <v>1200</v>
      </c>
      <c r="J56" s="15" t="inlineStr">
        <is>
          <t>건</t>
        </is>
      </c>
      <c r="K56" s="15" t="inlineStr">
        <is>
          <t>KR:STATE_OWNED:MARKET_SOE:REGULAR:ONSITE</t>
        </is>
      </c>
      <c r="L56" s="15" t="inlineStr">
        <is>
          <t>STATE_OWNED</t>
        </is>
      </c>
      <c r="M56" s="15" t="inlineStr">
        <is>
          <t>REGULAR</t>
        </is>
      </c>
      <c r="N56" s="15" t="inlineStr">
        <is>
          <t>MARKET_SOE</t>
        </is>
      </c>
      <c r="O56" s="15" t="inlineStr">
        <is>
          <t>PblJobService</t>
        </is>
      </c>
      <c r="P56" s="15" t="inlineStr">
        <is>
          <t>Audited</t>
        </is>
      </c>
    </row>
    <row r="57">
      <c r="A57" s="17" t="inlineStr">
        <is>
          <t>채용</t>
        </is>
      </c>
      <c r="B57" s="17" t="inlineStr">
        <is>
          <t>00159110</t>
        </is>
      </c>
      <c r="C57" s="18" t="inlineStr">
        <is>
          <t>한국전력공사 일반정규직 (p01/e01)</t>
        </is>
      </c>
      <c r="D57" s="17" t="inlineStr">
        <is>
          <t>KR</t>
        </is>
      </c>
      <c r="E57" s="17" t="inlineStr">
        <is>
          <t>2024-Q4</t>
        </is>
      </c>
      <c r="F57" s="17" t="inlineStr">
        <is>
          <t>2024-12-31</t>
        </is>
      </c>
      <c r="G57" s="18" t="inlineStr">
        <is>
          <t>active_postings</t>
        </is>
      </c>
      <c r="H57" s="18" t="inlineStr">
        <is>
          <t>정규직 채용수</t>
        </is>
      </c>
      <c r="I57" s="21" t="n">
        <v>1102</v>
      </c>
      <c r="J57" s="17" t="inlineStr">
        <is>
          <t>건</t>
        </is>
      </c>
      <c r="K57" s="17" t="inlineStr">
        <is>
          <t>KR:STATE_OWNED:MARKET_SOE:REGULAR:ONSITE</t>
        </is>
      </c>
      <c r="L57" s="17" t="inlineStr">
        <is>
          <t>STATE_OWNED</t>
        </is>
      </c>
      <c r="M57" s="17" t="inlineStr">
        <is>
          <t>REGULAR</t>
        </is>
      </c>
      <c r="N57" s="17" t="inlineStr">
        <is>
          <t>MARKET_SOE</t>
        </is>
      </c>
      <c r="O57" s="17" t="inlineStr">
        <is>
          <t>PblJobService</t>
        </is>
      </c>
      <c r="P57" s="17" t="inlineStr">
        <is>
          <t>Audited</t>
        </is>
      </c>
    </row>
    <row r="58">
      <c r="A58" s="15" t="inlineStr">
        <is>
          <t>채용</t>
        </is>
      </c>
      <c r="B58" s="15" t="inlineStr">
        <is>
          <t>00159110</t>
        </is>
      </c>
      <c r="C58" s="16" t="inlineStr">
        <is>
          <t>한국전력공사 청년인턴 (p01/e03)</t>
        </is>
      </c>
      <c r="D58" s="15" t="inlineStr">
        <is>
          <t>KR</t>
        </is>
      </c>
      <c r="E58" s="15" t="inlineStr">
        <is>
          <t>2023-Q4</t>
        </is>
      </c>
      <c r="F58" s="15" t="inlineStr">
        <is>
          <t>2023-12-31</t>
        </is>
      </c>
      <c r="G58" s="16" t="inlineStr">
        <is>
          <t>active_postings</t>
        </is>
      </c>
      <c r="H58" s="16" t="inlineStr">
        <is>
          <t>인턴 선발수</t>
        </is>
      </c>
      <c r="I58" s="20" t="n">
        <v>850</v>
      </c>
      <c r="J58" s="15" t="inlineStr">
        <is>
          <t>건</t>
        </is>
      </c>
      <c r="K58" s="15" t="inlineStr">
        <is>
          <t>KR:STATE_OWNED:MARKET_SOE:INTERN:ONSITE</t>
        </is>
      </c>
      <c r="L58" s="15" t="inlineStr">
        <is>
          <t>STATE_OWNED</t>
        </is>
      </c>
      <c r="M58" s="15" t="inlineStr">
        <is>
          <t>INTERN</t>
        </is>
      </c>
      <c r="N58" s="15" t="inlineStr">
        <is>
          <t>MARKET_SOE</t>
        </is>
      </c>
      <c r="O58" s="15" t="inlineStr">
        <is>
          <t>PblJobService</t>
        </is>
      </c>
      <c r="P58" s="15" t="inlineStr">
        <is>
          <t>Audited</t>
        </is>
      </c>
    </row>
    <row r="59">
      <c r="A59" s="17" t="inlineStr">
        <is>
          <t>채용</t>
        </is>
      </c>
      <c r="B59" s="17" t="inlineStr">
        <is>
          <t>00159110</t>
        </is>
      </c>
      <c r="C59" s="18" t="inlineStr">
        <is>
          <t>한국전력공사 청년인턴 (p01/e03)</t>
        </is>
      </c>
      <c r="D59" s="17" t="inlineStr">
        <is>
          <t>KR</t>
        </is>
      </c>
      <c r="E59" s="17" t="inlineStr">
        <is>
          <t>2024-Q4</t>
        </is>
      </c>
      <c r="F59" s="17" t="inlineStr">
        <is>
          <t>2024-12-31</t>
        </is>
      </c>
      <c r="G59" s="18" t="inlineStr">
        <is>
          <t>active_postings</t>
        </is>
      </c>
      <c r="H59" s="18" t="inlineStr">
        <is>
          <t>인턴 선발수</t>
        </is>
      </c>
      <c r="I59" s="21" t="n">
        <v>1058</v>
      </c>
      <c r="J59" s="17" t="inlineStr">
        <is>
          <t>건</t>
        </is>
      </c>
      <c r="K59" s="17" t="inlineStr">
        <is>
          <t>KR:STATE_OWNED:MARKET_SOE:INTERN:ONSITE</t>
        </is>
      </c>
      <c r="L59" s="17" t="inlineStr">
        <is>
          <t>STATE_OWNED</t>
        </is>
      </c>
      <c r="M59" s="17" t="inlineStr">
        <is>
          <t>INTERN</t>
        </is>
      </c>
      <c r="N59" s="17" t="inlineStr">
        <is>
          <t>MARKET_SOE</t>
        </is>
      </c>
      <c r="O59" s="17" t="inlineStr">
        <is>
          <t>PblJobService</t>
        </is>
      </c>
      <c r="P59" s="17" t="inlineStr">
        <is>
          <t>Audited</t>
        </is>
      </c>
    </row>
    <row r="60">
      <c r="A60" s="15" t="inlineStr">
        <is>
          <t>채용</t>
        </is>
      </c>
      <c r="B60" s="15" t="inlineStr">
        <is>
          <t>NIA-KR</t>
        </is>
      </c>
      <c r="C60" s="16" t="inlineStr">
        <is>
          <t>한국지능정보사회진흥원 (p02/e01)</t>
        </is>
      </c>
      <c r="D60" s="15" t="inlineStr">
        <is>
          <t>KR</t>
        </is>
      </c>
      <c r="E60" s="15" t="inlineStr">
        <is>
          <t>2023-Q4</t>
        </is>
      </c>
      <c r="F60" s="15" t="inlineStr">
        <is>
          <t>2023-12-31</t>
        </is>
      </c>
      <c r="G60" s="16" t="inlineStr">
        <is>
          <t>active_postings</t>
        </is>
      </c>
      <c r="H60" s="16" t="inlineStr">
        <is>
          <t>정규직 채용수</t>
        </is>
      </c>
      <c r="I60" s="20" t="n">
        <v>45</v>
      </c>
      <c r="J60" s="15" t="inlineStr">
        <is>
          <t>건</t>
        </is>
      </c>
      <c r="K60" s="15" t="inlineStr">
        <is>
          <t>KR:PUBLIC_INSTITUTION:QUASI_GOV:REGULAR:ONSITE</t>
        </is>
      </c>
      <c r="L60" s="15" t="inlineStr">
        <is>
          <t>PUBLIC_INSTITUTION</t>
        </is>
      </c>
      <c r="M60" s="15" t="inlineStr">
        <is>
          <t>REGULAR</t>
        </is>
      </c>
      <c r="N60" s="15" t="inlineStr">
        <is>
          <t>QUASI_GOV</t>
        </is>
      </c>
      <c r="O60" s="15" t="inlineStr">
        <is>
          <t>PblJobService</t>
        </is>
      </c>
      <c r="P60" s="15" t="inlineStr">
        <is>
          <t>Audited</t>
        </is>
      </c>
    </row>
    <row r="61">
      <c r="A61" s="17" t="inlineStr">
        <is>
          <t>채용</t>
        </is>
      </c>
      <c r="B61" s="17" t="inlineStr">
        <is>
          <t>NIA-KR</t>
        </is>
      </c>
      <c r="C61" s="18" t="inlineStr">
        <is>
          <t>한국지능정보사회진흥원 (p02/e01)</t>
        </is>
      </c>
      <c r="D61" s="17" t="inlineStr">
        <is>
          <t>KR</t>
        </is>
      </c>
      <c r="E61" s="17" t="inlineStr">
        <is>
          <t>2024-Q4</t>
        </is>
      </c>
      <c r="F61" s="17" t="inlineStr">
        <is>
          <t>2024-12-31</t>
        </is>
      </c>
      <c r="G61" s="18" t="inlineStr">
        <is>
          <t>active_postings</t>
        </is>
      </c>
      <c r="H61" s="18" t="inlineStr">
        <is>
          <t>정규직 채용수</t>
        </is>
      </c>
      <c r="I61" s="21" t="n">
        <v>46</v>
      </c>
      <c r="J61" s="17" t="inlineStr">
        <is>
          <t>건</t>
        </is>
      </c>
      <c r="K61" s="17" t="inlineStr">
        <is>
          <t>KR:PUBLIC_INSTITUTION:QUASI_GOV:REGULAR:ONSITE</t>
        </is>
      </c>
      <c r="L61" s="17" t="inlineStr">
        <is>
          <t>PUBLIC_INSTITUTION</t>
        </is>
      </c>
      <c r="M61" s="17" t="inlineStr">
        <is>
          <t>REGULAR</t>
        </is>
      </c>
      <c r="N61" s="17" t="inlineStr">
        <is>
          <t>QUASI_GOV</t>
        </is>
      </c>
      <c r="O61" s="17" t="inlineStr">
        <is>
          <t>PblJobService</t>
        </is>
      </c>
      <c r="P61" s="17" t="inlineStr">
        <is>
          <t>Audited</t>
        </is>
      </c>
    </row>
    <row r="62">
      <c r="A62" s="15" t="inlineStr">
        <is>
          <t>채용</t>
        </is>
      </c>
      <c r="B62" s="15" t="inlineStr">
        <is>
          <t>CEZ-CZ</t>
        </is>
      </c>
      <c r="C62" s="16" t="inlineStr">
        <is>
          <t>ČEZ a.s. 국영기업 구인</t>
        </is>
      </c>
      <c r="D62" s="15" t="inlineStr">
        <is>
          <t>CZ</t>
        </is>
      </c>
      <c r="E62" s="15" t="inlineStr">
        <is>
          <t>2023-Q4</t>
        </is>
      </c>
      <c r="F62" s="15" t="inlineStr">
        <is>
          <t>2023-12-31</t>
        </is>
      </c>
      <c r="G62" s="16" t="inlineStr">
        <is>
          <t>active_postings</t>
        </is>
      </c>
      <c r="H62" s="16" t="inlineStr">
        <is>
          <t>정규직 채용수</t>
        </is>
      </c>
      <c r="I62" s="20" t="n">
        <v>950</v>
      </c>
      <c r="J62" s="15" t="inlineStr">
        <is>
          <t>건</t>
        </is>
      </c>
      <c r="K62" s="15" t="inlineStr">
        <is>
          <t>CZ:STATE_OWNED:CZ_STATNI_PODNIK:REGULAR:ONSITE</t>
        </is>
      </c>
      <c r="L62" s="15" t="inlineStr">
        <is>
          <t>STATE_OWNED</t>
        </is>
      </c>
      <c r="M62" s="15" t="inlineStr">
        <is>
          <t>REGULAR</t>
        </is>
      </c>
      <c r="N62" s="15" t="inlineStr">
        <is>
          <t>CZ_STATNI_PODNIK</t>
        </is>
      </c>
      <c r="O62" s="15" t="inlineStr">
        <is>
          <t>MPSV</t>
        </is>
      </c>
      <c r="P62" s="15" t="inlineStr">
        <is>
          <t>Audited</t>
        </is>
      </c>
    </row>
    <row r="63">
      <c r="A63" s="17" t="inlineStr">
        <is>
          <t>채용</t>
        </is>
      </c>
      <c r="B63" s="17" t="inlineStr">
        <is>
          <t>CEZ-CZ</t>
        </is>
      </c>
      <c r="C63" s="18" t="inlineStr">
        <is>
          <t>ČEZ a.s. 국영기업 구인</t>
        </is>
      </c>
      <c r="D63" s="17" t="inlineStr">
        <is>
          <t>CZ</t>
        </is>
      </c>
      <c r="E63" s="17" t="inlineStr">
        <is>
          <t>2024-Q4</t>
        </is>
      </c>
      <c r="F63" s="17" t="inlineStr">
        <is>
          <t>2024-12-31</t>
        </is>
      </c>
      <c r="G63" s="18" t="inlineStr">
        <is>
          <t>active_postings</t>
        </is>
      </c>
      <c r="H63" s="18" t="inlineStr">
        <is>
          <t>정규직 채용수</t>
        </is>
      </c>
      <c r="I63" s="21" t="n">
        <v>961</v>
      </c>
      <c r="J63" s="17" t="inlineStr">
        <is>
          <t>건</t>
        </is>
      </c>
      <c r="K63" s="17" t="inlineStr">
        <is>
          <t>CZ:STATE_OWNED:CZ_STATNI_PODNIK:REGULAR:ONSITE</t>
        </is>
      </c>
      <c r="L63" s="17" t="inlineStr">
        <is>
          <t>STATE_OWNED</t>
        </is>
      </c>
      <c r="M63" s="17" t="inlineStr">
        <is>
          <t>REGULAR</t>
        </is>
      </c>
      <c r="N63" s="17" t="inlineStr">
        <is>
          <t>CZ_STATNI_PODNIK</t>
        </is>
      </c>
      <c r="O63" s="17" t="inlineStr">
        <is>
          <t>MPSV</t>
        </is>
      </c>
      <c r="P63" s="17" t="inlineStr">
        <is>
          <t>Audited</t>
        </is>
      </c>
    </row>
    <row r="64">
      <c r="A64" s="15" t="inlineStr">
        <is>
          <t>거시경제</t>
        </is>
      </c>
      <c r="B64" s="15" t="inlineStr">
        <is>
          <t>722Y001</t>
        </is>
      </c>
      <c r="C64" s="16" t="inlineStr">
        <is>
          <t>한국 기준금리</t>
        </is>
      </c>
      <c r="D64" s="15" t="inlineStr">
        <is>
          <t>KR</t>
        </is>
      </c>
      <c r="E64" s="15" t="inlineStr">
        <is>
          <t>2023-Q1</t>
        </is>
      </c>
      <c r="F64" s="15" t="inlineStr">
        <is>
          <t>2023-03-31</t>
        </is>
      </c>
      <c r="G64" s="16" t="inlineStr">
        <is>
          <t>base_rate</t>
        </is>
      </c>
      <c r="H64" s="16" t="inlineStr">
        <is>
          <t>기준금리</t>
        </is>
      </c>
      <c r="I64" s="20" t="n">
        <v>3.5</v>
      </c>
      <c r="J64" s="15" t="inlineStr">
        <is>
          <t>%p</t>
        </is>
      </c>
      <c r="K64" s="15" t="inlineStr">
        <is>
          <t>KR:ALL:ALL:ALL:ALL</t>
        </is>
      </c>
      <c r="L64" s="15" t="inlineStr">
        <is>
          <t>GOVERNMENT</t>
        </is>
      </c>
      <c r="M64" s="15" t="inlineStr">
        <is>
          <t>ALL</t>
        </is>
      </c>
      <c r="N64" s="15" t="inlineStr">
        <is>
          <t>CENTRAL_BANK</t>
        </is>
      </c>
      <c r="O64" s="15" t="inlineStr">
        <is>
          <t>ECOS</t>
        </is>
      </c>
      <c r="P64" s="15" t="inlineStr">
        <is>
          <t>Audited</t>
        </is>
      </c>
    </row>
    <row r="65">
      <c r="A65" s="17" t="inlineStr">
        <is>
          <t>거시경제</t>
        </is>
      </c>
      <c r="B65" s="17" t="inlineStr">
        <is>
          <t>722Y001</t>
        </is>
      </c>
      <c r="C65" s="18" t="inlineStr">
        <is>
          <t>한국 기준금리</t>
        </is>
      </c>
      <c r="D65" s="17" t="inlineStr">
        <is>
          <t>KR</t>
        </is>
      </c>
      <c r="E65" s="17" t="inlineStr">
        <is>
          <t>2023-Q4</t>
        </is>
      </c>
      <c r="F65" s="17" t="inlineStr">
        <is>
          <t>2023-12-31</t>
        </is>
      </c>
      <c r="G65" s="18" t="inlineStr">
        <is>
          <t>base_rate</t>
        </is>
      </c>
      <c r="H65" s="18" t="inlineStr">
        <is>
          <t>기준금리</t>
        </is>
      </c>
      <c r="I65" s="21" t="n">
        <v>3.5</v>
      </c>
      <c r="J65" s="17" t="inlineStr">
        <is>
          <t>%p</t>
        </is>
      </c>
      <c r="K65" s="17" t="inlineStr">
        <is>
          <t>KR:ALL:ALL:ALL:ALL</t>
        </is>
      </c>
      <c r="L65" s="17" t="inlineStr">
        <is>
          <t>GOVERNMENT</t>
        </is>
      </c>
      <c r="M65" s="17" t="inlineStr">
        <is>
          <t>ALL</t>
        </is>
      </c>
      <c r="N65" s="17" t="inlineStr">
        <is>
          <t>CENTRAL_BANK</t>
        </is>
      </c>
      <c r="O65" s="17" t="inlineStr">
        <is>
          <t>ECOS</t>
        </is>
      </c>
      <c r="P65" s="17" t="inlineStr">
        <is>
          <t>Audited</t>
        </is>
      </c>
    </row>
    <row r="66">
      <c r="A66" s="15" t="inlineStr">
        <is>
          <t>거시경제</t>
        </is>
      </c>
      <c r="B66" s="15" t="inlineStr">
        <is>
          <t>722Y001</t>
        </is>
      </c>
      <c r="C66" s="16" t="inlineStr">
        <is>
          <t>한국 기준금리</t>
        </is>
      </c>
      <c r="D66" s="15" t="inlineStr">
        <is>
          <t>KR</t>
        </is>
      </c>
      <c r="E66" s="15" t="inlineStr">
        <is>
          <t>2024-Q4</t>
        </is>
      </c>
      <c r="F66" s="15" t="inlineStr">
        <is>
          <t>2024-12-31</t>
        </is>
      </c>
      <c r="G66" s="16" t="inlineStr">
        <is>
          <t>base_rate</t>
        </is>
      </c>
      <c r="H66" s="16" t="inlineStr">
        <is>
          <t>기준금리</t>
        </is>
      </c>
      <c r="I66" s="20" t="n">
        <v>3.25</v>
      </c>
      <c r="J66" s="15" t="inlineStr">
        <is>
          <t>%p</t>
        </is>
      </c>
      <c r="K66" s="15" t="inlineStr">
        <is>
          <t>KR:ALL:ALL:ALL:ALL</t>
        </is>
      </c>
      <c r="L66" s="15" t="inlineStr">
        <is>
          <t>GOVERNMENT</t>
        </is>
      </c>
      <c r="M66" s="15" t="inlineStr">
        <is>
          <t>ALL</t>
        </is>
      </c>
      <c r="N66" s="15" t="inlineStr">
        <is>
          <t>CENTRAL_BANK</t>
        </is>
      </c>
      <c r="O66" s="15" t="inlineStr">
        <is>
          <t>ECOS</t>
        </is>
      </c>
      <c r="P66" s="15" t="inlineStr">
        <is>
          <t>Audited</t>
        </is>
      </c>
    </row>
    <row r="67">
      <c r="A67" s="17" t="inlineStr">
        <is>
          <t>거시경제</t>
        </is>
      </c>
      <c r="B67" s="17" t="inlineStr">
        <is>
          <t>036Y001</t>
        </is>
      </c>
      <c r="C67" s="18" t="inlineStr">
        <is>
          <t>원/달러 환율</t>
        </is>
      </c>
      <c r="D67" s="17" t="inlineStr">
        <is>
          <t>KR</t>
        </is>
      </c>
      <c r="E67" s="17" t="inlineStr">
        <is>
          <t>2023-Q4</t>
        </is>
      </c>
      <c r="F67" s="17" t="inlineStr">
        <is>
          <t>2023-12-31</t>
        </is>
      </c>
      <c r="G67" s="18" t="inlineStr">
        <is>
          <t>fx_rate</t>
        </is>
      </c>
      <c r="H67" s="18" t="inlineStr">
        <is>
          <t>환율</t>
        </is>
      </c>
      <c r="I67" s="21" t="n">
        <v>1320</v>
      </c>
      <c r="J67" s="17" t="inlineStr">
        <is>
          <t>KRW/USD</t>
        </is>
      </c>
      <c r="K67" s="17" t="inlineStr">
        <is>
          <t>KR:ALL:ALL:ALL:ALL</t>
        </is>
      </c>
      <c r="L67" s="17" t="inlineStr">
        <is>
          <t>GOVERNMENT</t>
        </is>
      </c>
      <c r="M67" s="17" t="inlineStr">
        <is>
          <t>ALL</t>
        </is>
      </c>
      <c r="N67" s="17" t="inlineStr">
        <is>
          <t>FX_MARKET</t>
        </is>
      </c>
      <c r="O67" s="17" t="inlineStr">
        <is>
          <t>ECOS</t>
        </is>
      </c>
      <c r="P67" s="17" t="inlineStr">
        <is>
          <t>Audited</t>
        </is>
      </c>
    </row>
    <row r="68">
      <c r="A68" s="15" t="inlineStr">
        <is>
          <t>거시경제</t>
        </is>
      </c>
      <c r="B68" s="15" t="inlineStr">
        <is>
          <t>036Y001</t>
        </is>
      </c>
      <c r="C68" s="16" t="inlineStr">
        <is>
          <t>원/달러 환율</t>
        </is>
      </c>
      <c r="D68" s="15" t="inlineStr">
        <is>
          <t>KR</t>
        </is>
      </c>
      <c r="E68" s="15" t="inlineStr">
        <is>
          <t>2024-Q4</t>
        </is>
      </c>
      <c r="F68" s="15" t="inlineStr">
        <is>
          <t>2024-12-31</t>
        </is>
      </c>
      <c r="G68" s="16" t="inlineStr">
        <is>
          <t>fx_rate</t>
        </is>
      </c>
      <c r="H68" s="16" t="inlineStr">
        <is>
          <t>환율</t>
        </is>
      </c>
      <c r="I68" s="20" t="n">
        <v>1380.5</v>
      </c>
      <c r="J68" s="15" t="inlineStr">
        <is>
          <t>KRW/USD</t>
        </is>
      </c>
      <c r="K68" s="15" t="inlineStr">
        <is>
          <t>KR:ALL:ALL:ALL:ALL</t>
        </is>
      </c>
      <c r="L68" s="15" t="inlineStr">
        <is>
          <t>GOVERNMENT</t>
        </is>
      </c>
      <c r="M68" s="15" t="inlineStr">
        <is>
          <t>ALL</t>
        </is>
      </c>
      <c r="N68" s="15" t="inlineStr">
        <is>
          <t>FX_MARKET</t>
        </is>
      </c>
      <c r="O68" s="15" t="inlineStr">
        <is>
          <t>ECOS</t>
        </is>
      </c>
      <c r="P68" s="15" t="inlineStr">
        <is>
          <t>Audited</t>
        </is>
      </c>
    </row>
    <row r="69">
      <c r="A69" s="17" t="inlineStr">
        <is>
          <t>거시경제</t>
        </is>
      </c>
      <c r="B69" s="17" t="inlineStr">
        <is>
          <t>FEDFUNDS</t>
        </is>
      </c>
      <c r="C69" s="18" t="inlineStr">
        <is>
          <t>미국 기준금리</t>
        </is>
      </c>
      <c r="D69" s="17" t="inlineStr">
        <is>
          <t>US</t>
        </is>
      </c>
      <c r="E69" s="17" t="inlineStr">
        <is>
          <t>2023-Q4</t>
        </is>
      </c>
      <c r="F69" s="17" t="inlineStr">
        <is>
          <t>2023-12-31</t>
        </is>
      </c>
      <c r="G69" s="18" t="inlineStr">
        <is>
          <t>base_rate</t>
        </is>
      </c>
      <c r="H69" s="18" t="inlineStr">
        <is>
          <t>기준금리</t>
        </is>
      </c>
      <c r="I69" s="21" t="n">
        <v>5.33</v>
      </c>
      <c r="J69" s="17" t="inlineStr">
        <is>
          <t>%p</t>
        </is>
      </c>
      <c r="K69" s="17" t="inlineStr">
        <is>
          <t>US:ALL:ALL:ALL:ALL</t>
        </is>
      </c>
      <c r="L69" s="17" t="inlineStr">
        <is>
          <t>GOVERNMENT</t>
        </is>
      </c>
      <c r="M69" s="17" t="inlineStr">
        <is>
          <t>ALL</t>
        </is>
      </c>
      <c r="N69" s="17" t="inlineStr">
        <is>
          <t>CENTRAL_BANK</t>
        </is>
      </c>
      <c r="O69" s="17" t="inlineStr">
        <is>
          <t>FRED</t>
        </is>
      </c>
      <c r="P69" s="17" t="inlineStr">
        <is>
          <t>Audited</t>
        </is>
      </c>
    </row>
    <row r="70">
      <c r="A70" s="15" t="inlineStr">
        <is>
          <t>거시경제</t>
        </is>
      </c>
      <c r="B70" s="15" t="inlineStr">
        <is>
          <t>FEDFUNDS</t>
        </is>
      </c>
      <c r="C70" s="16" t="inlineStr">
        <is>
          <t>미국 기준금리</t>
        </is>
      </c>
      <c r="D70" s="15" t="inlineStr">
        <is>
          <t>US</t>
        </is>
      </c>
      <c r="E70" s="15" t="inlineStr">
        <is>
          <t>2024-Q4</t>
        </is>
      </c>
      <c r="F70" s="15" t="inlineStr">
        <is>
          <t>2024-12-31</t>
        </is>
      </c>
      <c r="G70" s="16" t="inlineStr">
        <is>
          <t>base_rate</t>
        </is>
      </c>
      <c r="H70" s="16" t="inlineStr">
        <is>
          <t>기준금리</t>
        </is>
      </c>
      <c r="I70" s="20" t="n">
        <v>4.85</v>
      </c>
      <c r="J70" s="15" t="inlineStr">
        <is>
          <t>%p</t>
        </is>
      </c>
      <c r="K70" s="15" t="inlineStr">
        <is>
          <t>US:ALL:ALL:ALL:ALL</t>
        </is>
      </c>
      <c r="L70" s="15" t="inlineStr">
        <is>
          <t>GOVERNMENT</t>
        </is>
      </c>
      <c r="M70" s="15" t="inlineStr">
        <is>
          <t>ALL</t>
        </is>
      </c>
      <c r="N70" s="15" t="inlineStr">
        <is>
          <t>CENTRAL_BANK</t>
        </is>
      </c>
      <c r="O70" s="15" t="inlineStr">
        <is>
          <t>FRED</t>
        </is>
      </c>
      <c r="P70" s="15" t="inlineStr">
        <is>
          <t>Audited</t>
        </is>
      </c>
    </row>
    <row r="71">
      <c r="A71" s="17" t="inlineStr">
        <is>
          <t>거시경제</t>
        </is>
      </c>
      <c r="B71" s="17" t="inlineStr">
        <is>
          <t>CNB-REPO</t>
        </is>
      </c>
      <c r="C71" s="18" t="inlineStr">
        <is>
          <t>체코 2W Repo 금리</t>
        </is>
      </c>
      <c r="D71" s="17" t="inlineStr">
        <is>
          <t>CZ</t>
        </is>
      </c>
      <c r="E71" s="17" t="inlineStr">
        <is>
          <t>2023-Q4</t>
        </is>
      </c>
      <c r="F71" s="17" t="inlineStr">
        <is>
          <t>2023-12-31</t>
        </is>
      </c>
      <c r="G71" s="18" t="inlineStr">
        <is>
          <t>base_rate</t>
        </is>
      </c>
      <c r="H71" s="18" t="inlineStr">
        <is>
          <t>기준금리</t>
        </is>
      </c>
      <c r="I71" s="21" t="n">
        <v>6.75</v>
      </c>
      <c r="J71" s="17" t="inlineStr">
        <is>
          <t>%p</t>
        </is>
      </c>
      <c r="K71" s="17" t="inlineStr">
        <is>
          <t>CZ:ALL:ALL:ALL:ALL</t>
        </is>
      </c>
      <c r="L71" s="17" t="inlineStr">
        <is>
          <t>GOVERNMENT</t>
        </is>
      </c>
      <c r="M71" s="17" t="inlineStr">
        <is>
          <t>ALL</t>
        </is>
      </c>
      <c r="N71" s="17" t="inlineStr">
        <is>
          <t>CENTRAL_BANK</t>
        </is>
      </c>
      <c r="O71" s="17" t="inlineStr">
        <is>
          <t>CNB</t>
        </is>
      </c>
      <c r="P71" s="17" t="inlineStr">
        <is>
          <t>Audited</t>
        </is>
      </c>
    </row>
    <row r="72">
      <c r="A72" s="15" t="inlineStr">
        <is>
          <t>거시경제</t>
        </is>
      </c>
      <c r="B72" s="15" t="inlineStr">
        <is>
          <t>CNB-REPO</t>
        </is>
      </c>
      <c r="C72" s="16" t="inlineStr">
        <is>
          <t>체코 2W Repo 금리</t>
        </is>
      </c>
      <c r="D72" s="15" t="inlineStr">
        <is>
          <t>CZ</t>
        </is>
      </c>
      <c r="E72" s="15" t="inlineStr">
        <is>
          <t>2024-Q4</t>
        </is>
      </c>
      <c r="F72" s="15" t="inlineStr">
        <is>
          <t>2024-12-31</t>
        </is>
      </c>
      <c r="G72" s="16" t="inlineStr">
        <is>
          <t>base_rate</t>
        </is>
      </c>
      <c r="H72" s="16" t="inlineStr">
        <is>
          <t>기준금리</t>
        </is>
      </c>
      <c r="I72" s="20" t="n">
        <v>4</v>
      </c>
      <c r="J72" s="15" t="inlineStr">
        <is>
          <t>%p</t>
        </is>
      </c>
      <c r="K72" s="15" t="inlineStr">
        <is>
          <t>CZ:ALL:ALL:ALL:ALL</t>
        </is>
      </c>
      <c r="L72" s="15" t="inlineStr">
        <is>
          <t>GOVERNMENT</t>
        </is>
      </c>
      <c r="M72" s="15" t="inlineStr">
        <is>
          <t>ALL</t>
        </is>
      </c>
      <c r="N72" s="15" t="inlineStr">
        <is>
          <t>CENTRAL_BANK</t>
        </is>
      </c>
      <c r="O72" s="15" t="inlineStr">
        <is>
          <t>CNB</t>
        </is>
      </c>
      <c r="P72" s="15" t="inlineStr">
        <is>
          <t>Audited</t>
        </is>
      </c>
    </row>
    <row r="73">
      <c r="A73" s="17" t="inlineStr">
        <is>
          <t>거시경제</t>
        </is>
      </c>
      <c r="B73" s="17" t="inlineStr">
        <is>
          <t>CNB-EURCZK</t>
        </is>
      </c>
      <c r="C73" s="18" t="inlineStr">
        <is>
          <t>코루나/유로 환율</t>
        </is>
      </c>
      <c r="D73" s="17" t="inlineStr">
        <is>
          <t>CZ</t>
        </is>
      </c>
      <c r="E73" s="17" t="inlineStr">
        <is>
          <t>2023-Q4</t>
        </is>
      </c>
      <c r="F73" s="17" t="inlineStr">
        <is>
          <t>2023-12-31</t>
        </is>
      </c>
      <c r="G73" s="18" t="inlineStr">
        <is>
          <t>fx_rate</t>
        </is>
      </c>
      <c r="H73" s="18" t="inlineStr">
        <is>
          <t>환율</t>
        </is>
      </c>
      <c r="I73" s="21" t="n">
        <v>24.6</v>
      </c>
      <c r="J73" s="17" t="inlineStr">
        <is>
          <t>CZK/EUR</t>
        </is>
      </c>
      <c r="K73" s="17" t="inlineStr">
        <is>
          <t>CZ:ALL:ALL:ALL:ALL</t>
        </is>
      </c>
      <c r="L73" s="17" t="inlineStr">
        <is>
          <t>GOVERNMENT</t>
        </is>
      </c>
      <c r="M73" s="17" t="inlineStr">
        <is>
          <t>ALL</t>
        </is>
      </c>
      <c r="N73" s="17" t="inlineStr">
        <is>
          <t>FX_MARKET</t>
        </is>
      </c>
      <c r="O73" s="17" t="inlineStr">
        <is>
          <t>CNB</t>
        </is>
      </c>
      <c r="P73" s="17" t="inlineStr">
        <is>
          <t>Audited</t>
        </is>
      </c>
    </row>
    <row r="74">
      <c r="A74" s="15" t="inlineStr">
        <is>
          <t>거시경제</t>
        </is>
      </c>
      <c r="B74" s="15" t="inlineStr">
        <is>
          <t>CNB-EURCZK</t>
        </is>
      </c>
      <c r="C74" s="16" t="inlineStr">
        <is>
          <t>코루나/유로 환율</t>
        </is>
      </c>
      <c r="D74" s="15" t="inlineStr">
        <is>
          <t>CZ</t>
        </is>
      </c>
      <c r="E74" s="15" t="inlineStr">
        <is>
          <t>2024-Q4</t>
        </is>
      </c>
      <c r="F74" s="15" t="inlineStr">
        <is>
          <t>2024-12-31</t>
        </is>
      </c>
      <c r="G74" s="16" t="inlineStr">
        <is>
          <t>fx_rate</t>
        </is>
      </c>
      <c r="H74" s="16" t="inlineStr">
        <is>
          <t>환율</t>
        </is>
      </c>
      <c r="I74" s="20" t="n">
        <v>25.3</v>
      </c>
      <c r="J74" s="15" t="inlineStr">
        <is>
          <t>CZK/EUR</t>
        </is>
      </c>
      <c r="K74" s="15" t="inlineStr">
        <is>
          <t>CZ:ALL:ALL:ALL:ALL</t>
        </is>
      </c>
      <c r="L74" s="15" t="inlineStr">
        <is>
          <t>GOVERNMENT</t>
        </is>
      </c>
      <c r="M74" s="15" t="inlineStr">
        <is>
          <t>ALL</t>
        </is>
      </c>
      <c r="N74" s="15" t="inlineStr">
        <is>
          <t>FX_MARKET</t>
        </is>
      </c>
      <c r="O74" s="15" t="inlineStr">
        <is>
          <t>CNB</t>
        </is>
      </c>
      <c r="P74" s="15" t="inlineStr">
        <is>
          <t>Audited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3"/>
  <sheetViews>
    <sheetView showGridLines="1" workbookViewId="0">
      <selection activeCell="A1" sqref="A1"/>
    </sheetView>
  </sheetViews>
  <sheetFormatPr baseColWidth="8" defaultRowHeight="15"/>
  <cols>
    <col width="12" customWidth="1" min="1" max="1"/>
    <col width="45" customWidth="1" min="2" max="2"/>
    <col width="35" customWidth="1" min="3" max="3"/>
    <col width="23" customWidth="1" min="4" max="4"/>
    <col width="24" customWidth="1" min="5" max="5"/>
    <col width="22" customWidth="1" min="6" max="6"/>
    <col width="21" customWidth="1" min="7" max="7"/>
    <col width="35" customWidth="1" min="8" max="8"/>
    <col width="33" customWidth="1" min="9" max="9"/>
    <col width="45" customWidth="1" min="10" max="10"/>
    <col width="28" customWidth="1" min="11" max="11"/>
    <col width="45" customWidth="1" min="12" max="12"/>
  </cols>
  <sheetData>
    <row r="1"/>
    <row r="2">
      <c r="B2" s="1" t="inlineStr">
        <is>
          <t>기업·직종·경제 3대 축 시간적 이전(As-Was) vs 현재(As-Is) 대조 분석표 (클러스터 분리)</t>
        </is>
      </c>
    </row>
    <row r="3"/>
    <row r="4">
      <c r="B4" s="29" t="inlineStr">
        <is>
          <t>1. 기업 재무 실적 및 유동성 건전성 시계열 대조 (민간 사기업 vs 공기업 분리)</t>
        </is>
      </c>
    </row>
    <row r="5">
      <c r="B5" s="19" t="inlineStr">
        <is>
          <t>기업코드</t>
        </is>
      </c>
      <c r="C5" s="19" t="inlineStr">
        <is>
          <t>기업명</t>
        </is>
      </c>
      <c r="D5" s="19" t="inlineStr">
        <is>
          <t>국가</t>
        </is>
      </c>
      <c r="E5" s="19" t="inlineStr">
        <is>
          <t>지표명</t>
        </is>
      </c>
      <c r="F5" s="19" t="inlineStr">
        <is>
          <t>이전 실적 (As-Was 2023)</t>
        </is>
      </c>
      <c r="G5" s="19" t="inlineStr">
        <is>
          <t>현재 실적 (As-Is 2024)</t>
        </is>
      </c>
      <c r="H5" s="19" t="inlineStr">
        <is>
          <t>절대 증감량 (Δ)</t>
        </is>
      </c>
      <c r="I5" s="19" t="inlineStr">
        <is>
          <t>변동률 (%)</t>
        </is>
      </c>
      <c r="J5" s="19" t="inlineStr">
        <is>
          <t>단위</t>
        </is>
      </c>
      <c r="K5" s="19" t="inlineStr">
        <is>
          <t>상태 판정</t>
        </is>
      </c>
      <c r="L5" s="19" t="inlineStr">
        <is>
          <t>클러스터 시그니처 (Cluster Signature)</t>
        </is>
      </c>
    </row>
    <row r="6">
      <c r="B6" s="17" t="inlineStr">
        <is>
          <t>00258801</t>
        </is>
      </c>
      <c r="C6" s="18" t="inlineStr">
        <is>
          <t>카카오</t>
        </is>
      </c>
      <c r="D6" s="17" t="inlineStr">
        <is>
          <t>KR</t>
        </is>
      </c>
      <c r="E6" s="18" t="inlineStr">
        <is>
          <t>매출액</t>
        </is>
      </c>
      <c r="F6" s="24" t="n">
        <v>1980000000000</v>
      </c>
      <c r="G6" s="24" t="n">
        <v>2150000000000</v>
      </c>
      <c r="H6" s="30">
        <f>G6-F6</f>
        <v/>
      </c>
      <c r="I6" s="31">
        <f>IFERROR((G6-F6)/F6,0)</f>
        <v/>
      </c>
      <c r="J6" s="17" t="inlineStr">
        <is>
          <t>KRW</t>
        </is>
      </c>
      <c r="K6" s="18" t="inlineStr">
        <is>
          <t>🟢 지속 성장</t>
        </is>
      </c>
      <c r="L6" s="17" t="inlineStr">
        <is>
          <t>KR:PRIVATE:KOSPI:ALL:ALL</t>
        </is>
      </c>
    </row>
    <row r="7">
      <c r="B7" s="15" t="inlineStr">
        <is>
          <t>00258801</t>
        </is>
      </c>
      <c r="C7" s="16" t="inlineStr">
        <is>
          <t>카카오</t>
        </is>
      </c>
      <c r="D7" s="15" t="inlineStr">
        <is>
          <t>KR</t>
        </is>
      </c>
      <c r="E7" s="16" t="inlineStr">
        <is>
          <t>영업이익</t>
        </is>
      </c>
      <c r="F7" s="22" t="n">
        <v>120000000000</v>
      </c>
      <c r="G7" s="22" t="n">
        <v>155000000000</v>
      </c>
      <c r="H7" s="32">
        <f>G7-F7</f>
        <v/>
      </c>
      <c r="I7" s="33">
        <f>IFERROR((G7-F7)/F7,0)</f>
        <v/>
      </c>
      <c r="J7" s="15" t="inlineStr">
        <is>
          <t>KRW</t>
        </is>
      </c>
      <c r="K7" s="16" t="inlineStr">
        <is>
          <t>🟢 수익성 개선 (+29.2%)</t>
        </is>
      </c>
      <c r="L7" s="15" t="inlineStr">
        <is>
          <t>KR:PRIVATE:KOSPI:ALL:ALL</t>
        </is>
      </c>
    </row>
    <row r="8">
      <c r="B8" s="17" t="inlineStr">
        <is>
          <t>00258801</t>
        </is>
      </c>
      <c r="C8" s="18" t="inlineStr">
        <is>
          <t>카카오</t>
        </is>
      </c>
      <c r="D8" s="17" t="inlineStr">
        <is>
          <t>KR</t>
        </is>
      </c>
      <c r="E8" s="18" t="inlineStr">
        <is>
          <t>당좌비율 (Quick Ratio)</t>
        </is>
      </c>
      <c r="F8" s="34" t="n">
        <v>1.382</v>
      </c>
      <c r="G8" s="34" t="n">
        <v>1.452</v>
      </c>
      <c r="H8" s="35">
        <f>G8-F8</f>
        <v/>
      </c>
      <c r="I8" s="31">
        <f>IFERROR((G8-F8)/F8,0)</f>
        <v/>
      </c>
      <c r="J8" s="17" t="inlineStr">
        <is>
          <t>ratio</t>
        </is>
      </c>
      <c r="K8" s="18" t="inlineStr">
        <is>
          <t>🟢 단기 유동성 우수</t>
        </is>
      </c>
      <c r="L8" s="17" t="inlineStr">
        <is>
          <t>KR:PRIVATE:KOSPI:ALL:ALL</t>
        </is>
      </c>
    </row>
    <row r="9">
      <c r="B9" s="15" t="inlineStr">
        <is>
          <t>00258801</t>
        </is>
      </c>
      <c r="C9" s="16" t="inlineStr">
        <is>
          <t>카카오</t>
        </is>
      </c>
      <c r="D9" s="15" t="inlineStr">
        <is>
          <t>KR</t>
        </is>
      </c>
      <c r="E9" s="16" t="inlineStr">
        <is>
          <t>현금비율 (Cash Ratio)</t>
        </is>
      </c>
      <c r="F9" s="36" t="n">
        <v>0.521</v>
      </c>
      <c r="G9" s="36" t="n">
        <v>0.584</v>
      </c>
      <c r="H9" s="37">
        <f>G9-F9</f>
        <v/>
      </c>
      <c r="I9" s="33">
        <f>IFERROR((G9-F9)/F9,0)</f>
        <v/>
      </c>
      <c r="J9" s="15" t="inlineStr">
        <is>
          <t>ratio</t>
        </is>
      </c>
      <c r="K9" s="16" t="inlineStr">
        <is>
          <t>🟢 안전 현금 버퍼 확보</t>
        </is>
      </c>
      <c r="L9" s="15" t="inlineStr">
        <is>
          <t>KR:PRIVATE:KOSPI:ALL:ALL</t>
        </is>
      </c>
    </row>
    <row r="10">
      <c r="B10" s="17" t="inlineStr">
        <is>
          <t>00258801</t>
        </is>
      </c>
      <c r="C10" s="18" t="inlineStr">
        <is>
          <t>카카오</t>
        </is>
      </c>
      <c r="D10" s="17" t="inlineStr">
        <is>
          <t>KR</t>
        </is>
      </c>
      <c r="E10" s="18" t="inlineStr">
        <is>
          <t>부채비율 (Debt to Equity)</t>
        </is>
      </c>
      <c r="F10" s="34" t="n">
        <v>0.654</v>
      </c>
      <c r="G10" s="34" t="n">
        <v>0.612</v>
      </c>
      <c r="H10" s="35">
        <f>G10-F10</f>
        <v/>
      </c>
      <c r="I10" s="31">
        <f>IFERROR((G10-F10)/F10,0)</f>
        <v/>
      </c>
      <c r="J10" s="17" t="inlineStr">
        <is>
          <t>ratio</t>
        </is>
      </c>
      <c r="K10" s="18" t="inlineStr">
        <is>
          <t>🟢 레버리지 안정적 축소</t>
        </is>
      </c>
      <c r="L10" s="17" t="inlineStr">
        <is>
          <t>KR:PRIVATE:KOSPI:ALL:ALL</t>
        </is>
      </c>
    </row>
    <row r="11">
      <c r="B11" s="15" t="inlineStr">
        <is>
          <t>00126380</t>
        </is>
      </c>
      <c r="C11" s="16" t="inlineStr">
        <is>
          <t>삼성전자</t>
        </is>
      </c>
      <c r="D11" s="15" t="inlineStr">
        <is>
          <t>KR</t>
        </is>
      </c>
      <c r="E11" s="16" t="inlineStr">
        <is>
          <t>매출액</t>
        </is>
      </c>
      <c r="F11" s="22" t="n">
        <v>67780000000000</v>
      </c>
      <c r="G11" s="22" t="n">
        <v>79100000000000</v>
      </c>
      <c r="H11" s="32">
        <f>G11-F11</f>
        <v/>
      </c>
      <c r="I11" s="33">
        <f>IFERROR((G11-F11)/F11,0)</f>
        <v/>
      </c>
      <c r="J11" s="15" t="inlineStr">
        <is>
          <t>KRW</t>
        </is>
      </c>
      <c r="K11" s="16" t="inlineStr">
        <is>
          <t>🟢 반도체 업턴 반등 (+16.7%)</t>
        </is>
      </c>
      <c r="L11" s="15" t="inlineStr">
        <is>
          <t>KR:PRIVATE:KOSPI:ALL:ALL</t>
        </is>
      </c>
    </row>
    <row r="12">
      <c r="B12" s="17" t="inlineStr">
        <is>
          <t>00126380</t>
        </is>
      </c>
      <c r="C12" s="18" t="inlineStr">
        <is>
          <t>삼성전자</t>
        </is>
      </c>
      <c r="D12" s="17" t="inlineStr">
        <is>
          <t>KR</t>
        </is>
      </c>
      <c r="E12" s="18" t="inlineStr">
        <is>
          <t>영업이익</t>
        </is>
      </c>
      <c r="F12" s="24" t="n">
        <v>2820000000000</v>
      </c>
      <c r="G12" s="24" t="n">
        <v>9180000000000</v>
      </c>
      <c r="H12" s="30">
        <f>G12-F12</f>
        <v/>
      </c>
      <c r="I12" s="31">
        <f>IFERROR((G12-F12)/F12,0)</f>
        <v/>
      </c>
      <c r="J12" s="17" t="inlineStr">
        <is>
          <t>KRW</t>
        </is>
      </c>
      <c r="K12" s="18" t="inlineStr">
        <is>
          <t>🟢 턴어라운드 (+225.5%)</t>
        </is>
      </c>
      <c r="L12" s="17" t="inlineStr">
        <is>
          <t>KR:PRIVATE:KOSPI:ALL:ALL</t>
        </is>
      </c>
    </row>
    <row r="13">
      <c r="B13" s="15" t="inlineStr">
        <is>
          <t>00164779</t>
        </is>
      </c>
      <c r="C13" s="16" t="inlineStr">
        <is>
          <t>SK하이닉스</t>
        </is>
      </c>
      <c r="D13" s="15" t="inlineStr">
        <is>
          <t>KR</t>
        </is>
      </c>
      <c r="E13" s="16" t="inlineStr">
        <is>
          <t>매출액</t>
        </is>
      </c>
      <c r="F13" s="22" t="n">
        <v>11300000000000</v>
      </c>
      <c r="G13" s="22" t="n">
        <v>17570000000000</v>
      </c>
      <c r="H13" s="32">
        <f>G13-F13</f>
        <v/>
      </c>
      <c r="I13" s="33">
        <f>IFERROR((G13-F13)/F13,0)</f>
        <v/>
      </c>
      <c r="J13" s="15" t="inlineStr">
        <is>
          <t>KRW</t>
        </is>
      </c>
      <c r="K13" s="16" t="inlineStr">
        <is>
          <t>🟢 HBM 초호황 (+55.5%)</t>
        </is>
      </c>
      <c r="L13" s="15" t="inlineStr">
        <is>
          <t>KR:PRIVATE:KOSPI:ALL:ALL</t>
        </is>
      </c>
    </row>
    <row r="14">
      <c r="B14" s="17" t="inlineStr">
        <is>
          <t>00164779</t>
        </is>
      </c>
      <c r="C14" s="18" t="inlineStr">
        <is>
          <t>SK하이닉스</t>
        </is>
      </c>
      <c r="D14" s="17" t="inlineStr">
        <is>
          <t>KR</t>
        </is>
      </c>
      <c r="E14" s="18" t="inlineStr">
        <is>
          <t>영업이익</t>
        </is>
      </c>
      <c r="F14" s="24" t="n">
        <v>-1790000000000</v>
      </c>
      <c r="G14" s="24" t="n">
        <v>703000000000</v>
      </c>
      <c r="H14" s="30">
        <f>G14-F14</f>
        <v/>
      </c>
      <c r="I14" s="31">
        <f>IFERROR((G14-F14)/F14,0)</f>
        <v/>
      </c>
      <c r="J14" s="17" t="inlineStr">
        <is>
          <t>KRW</t>
        </is>
      </c>
      <c r="K14" s="18" t="inlineStr">
        <is>
          <t>🟢 흑자 대전환 (Surprise)</t>
        </is>
      </c>
      <c r="L14" s="17" t="inlineStr">
        <is>
          <t>KR:PRIVATE:KOSPI:ALL:ALL</t>
        </is>
      </c>
    </row>
    <row r="15">
      <c r="B15" s="15" t="inlineStr">
        <is>
          <t>GEN-CZ</t>
        </is>
      </c>
      <c r="C15" s="16" t="inlineStr">
        <is>
          <t>Avast / Gen Digital</t>
        </is>
      </c>
      <c r="D15" s="15" t="inlineStr">
        <is>
          <t>CZ</t>
        </is>
      </c>
      <c r="E15" s="16" t="inlineStr">
        <is>
          <t>매출액 ($M)</t>
        </is>
      </c>
      <c r="F15" s="22" t="n">
        <v>940000000</v>
      </c>
      <c r="G15" s="22" t="n">
        <v>995000000</v>
      </c>
      <c r="H15" s="32">
        <f>G15-F15</f>
        <v/>
      </c>
      <c r="I15" s="33">
        <f>IFERROR((G15-F15)/F15,0)</f>
        <v/>
      </c>
      <c r="J15" s="15" t="inlineStr">
        <is>
          <t>USD</t>
        </is>
      </c>
      <c r="K15" s="16" t="inlineStr">
        <is>
          <t>🟢 보안 SaaS 안정 확장</t>
        </is>
      </c>
      <c r="L15" s="15" t="inlineStr">
        <is>
          <t>CZ:PRIVATE:CZ_AS:ALL:ALL</t>
        </is>
      </c>
    </row>
    <row r="16">
      <c r="B16" s="17" t="inlineStr">
        <is>
          <t>NVDA-US</t>
        </is>
      </c>
      <c r="C16" s="18" t="inlineStr">
        <is>
          <t>Nvidia</t>
        </is>
      </c>
      <c r="D16" s="17" t="inlineStr">
        <is>
          <t>US</t>
        </is>
      </c>
      <c r="E16" s="18" t="inlineStr">
        <is>
          <t>매출액 ($M)</t>
        </is>
      </c>
      <c r="F16" s="24" t="n">
        <v>18120000000</v>
      </c>
      <c r="G16" s="24" t="n">
        <v>35082000000</v>
      </c>
      <c r="H16" s="30">
        <f>G16-F16</f>
        <v/>
      </c>
      <c r="I16" s="31">
        <f>IFERROR((G16-F16)/F16,0)</f>
        <v/>
      </c>
      <c r="J16" s="17" t="inlineStr">
        <is>
          <t>USD</t>
        </is>
      </c>
      <c r="K16" s="18" t="inlineStr">
        <is>
          <t>🟢 AI 데이터센터 폭발 성장 (+93.6%)</t>
        </is>
      </c>
      <c r="L16" s="17" t="inlineStr">
        <is>
          <t>US:PRIVATE:US_FOR_PROFIT:ALL:ALL</t>
        </is>
      </c>
    </row>
    <row r="17">
      <c r="B17" s="15" t="inlineStr">
        <is>
          <t>00159110</t>
        </is>
      </c>
      <c r="C17" s="16" t="inlineStr">
        <is>
          <t>한국전력공사</t>
        </is>
      </c>
      <c r="D17" s="15" t="inlineStr">
        <is>
          <t>KR</t>
        </is>
      </c>
      <c r="E17" s="16" t="inlineStr">
        <is>
          <t>매출액</t>
        </is>
      </c>
      <c r="F17" s="22" t="n">
        <v>88200000000000</v>
      </c>
      <c r="G17" s="22" t="n">
        <v>93400000000000</v>
      </c>
      <c r="H17" s="32">
        <f>G17-F17</f>
        <v/>
      </c>
      <c r="I17" s="33">
        <f>IFERROR((G17-F17)/F17,0)</f>
        <v/>
      </c>
      <c r="J17" s="15" t="inlineStr">
        <is>
          <t>KRW</t>
        </is>
      </c>
      <c r="K17" s="16" t="inlineStr">
        <is>
          <t>🟢 전기요금 정상화 (+5.9%)</t>
        </is>
      </c>
      <c r="L17" s="15" t="inlineStr">
        <is>
          <t>KR:STATE_OWNED:MARKET_SOE:ALL:ONSITE</t>
        </is>
      </c>
    </row>
    <row r="18">
      <c r="B18" s="17" t="inlineStr">
        <is>
          <t>00159110</t>
        </is>
      </c>
      <c r="C18" s="18" t="inlineStr">
        <is>
          <t>한국전력공사</t>
        </is>
      </c>
      <c r="D18" s="17" t="inlineStr">
        <is>
          <t>KR</t>
        </is>
      </c>
      <c r="E18" s="18" t="inlineStr">
        <is>
          <t>영업이익</t>
        </is>
      </c>
      <c r="F18" s="24" t="n">
        <v>-4560000000000</v>
      </c>
      <c r="G18" s="24" t="n">
        <v>8200000000000</v>
      </c>
      <c r="H18" s="30">
        <f>G18-F18</f>
        <v/>
      </c>
      <c r="I18" s="31">
        <f>IFERROR((G18-F18)/F18,0)</f>
        <v/>
      </c>
      <c r="J18" s="17" t="inlineStr">
        <is>
          <t>KRW</t>
        </is>
      </c>
      <c r="K18" s="18" t="inlineStr">
        <is>
          <t>🟢 원가 하락 흑자 전환</t>
        </is>
      </c>
      <c r="L18" s="17" t="inlineStr">
        <is>
          <t>KR:STATE_OWNED:MARKET_SOE:ALL:ONSITE</t>
        </is>
      </c>
    </row>
    <row r="19">
      <c r="B19" s="15" t="inlineStr">
        <is>
          <t>CEZ-CZ</t>
        </is>
      </c>
      <c r="C19" s="16" t="inlineStr">
        <is>
          <t>ČEZ a.s.</t>
        </is>
      </c>
      <c r="D19" s="15" t="inlineStr">
        <is>
          <t>CZ</t>
        </is>
      </c>
      <c r="E19" s="16" t="inlineStr">
        <is>
          <t>매출액 (M CZK)</t>
        </is>
      </c>
      <c r="F19" s="22" t="n">
        <v>340000</v>
      </c>
      <c r="G19" s="22" t="n">
        <v>372000</v>
      </c>
      <c r="H19" s="32">
        <f>G19-F19</f>
        <v/>
      </c>
      <c r="I19" s="33">
        <f>IFERROR((G19-F19)/F19,0)</f>
        <v/>
      </c>
      <c r="J19" s="15" t="inlineStr">
        <is>
          <t>CZK</t>
        </is>
      </c>
      <c r="K19" s="16" t="inlineStr">
        <is>
          <t>🟢 체코 원자력·전력 안정 실적 (+9.4%)</t>
        </is>
      </c>
      <c r="L19" s="15" t="inlineStr">
        <is>
          <t>CZ:STATE_OWNED:CZ_STATNI_PODNIK:ALL:ONSITE</t>
        </is>
      </c>
    </row>
    <row r="20"/>
    <row r="21"/>
    <row r="22">
      <c r="B22" s="29" t="inlineStr">
        <is>
          <t>2. 국가별 직종 채용 시장 수요 시계열 대조 (민간 vs 공공부문 정규직/인턴 분리)</t>
        </is>
      </c>
    </row>
    <row r="23">
      <c r="B23" s="19" t="inlineStr">
        <is>
          <t>ISCO 코드</t>
        </is>
      </c>
      <c r="C23" s="19" t="inlineStr">
        <is>
          <t>직종 명칭</t>
        </is>
      </c>
      <c r="D23" s="19" t="inlineStr">
        <is>
          <t>국가</t>
        </is>
      </c>
      <c r="E23" s="19" t="inlineStr">
        <is>
          <t>이전 공고수 (As-Was 2023)</t>
        </is>
      </c>
      <c r="F23" s="19" t="inlineStr">
        <is>
          <t>현재 공고수 (As-Is 2024)</t>
        </is>
      </c>
      <c r="G23" s="19" t="inlineStr">
        <is>
          <t>순증감 공고수 (Δ)</t>
        </is>
      </c>
      <c r="H23" s="19" t="inlineStr">
        <is>
          <t>채용 증가율 (%)</t>
        </is>
      </c>
      <c r="I23" s="19" t="inlineStr">
        <is>
          <t>채용 기조 판정</t>
        </is>
      </c>
      <c r="J23" s="19" t="inlineStr">
        <is>
          <t>클러스터 시그니처 (Cluster Signature)</t>
        </is>
      </c>
    </row>
    <row r="24">
      <c r="B24" s="17" t="inlineStr">
        <is>
          <t>2512</t>
        </is>
      </c>
      <c r="C24" s="18" t="inlineStr">
        <is>
          <t>소프트웨어 개발자 (SW Developers)</t>
        </is>
      </c>
      <c r="D24" s="17" t="inlineStr">
        <is>
          <t>KR</t>
        </is>
      </c>
      <c r="E24" s="24" t="n">
        <v>4210</v>
      </c>
      <c r="F24" s="24" t="n">
        <v>4580</v>
      </c>
      <c r="G24" s="30">
        <f>F24-E24</f>
        <v/>
      </c>
      <c r="H24" s="31">
        <f>IFERROR((F24-E24)/E24,0)</f>
        <v/>
      </c>
      <c r="I24" s="18" t="inlineStr">
        <is>
          <t>🟢 핵심 개발자 적극 채용 유지 (+8.8%)</t>
        </is>
      </c>
      <c r="J24" s="17" t="inlineStr">
        <is>
          <t>KR:PRIVATE:ALL:REGULAR:ONSITE</t>
        </is>
      </c>
    </row>
    <row r="25">
      <c r="B25" s="15" t="inlineStr">
        <is>
          <t>2512</t>
        </is>
      </c>
      <c r="C25" s="16" t="inlineStr">
        <is>
          <t>Software Developers &amp; Analysts</t>
        </is>
      </c>
      <c r="D25" s="15" t="inlineStr">
        <is>
          <t>US</t>
        </is>
      </c>
      <c r="E25" s="22" t="n">
        <v>28400</v>
      </c>
      <c r="F25" s="22" t="n">
        <v>31200</v>
      </c>
      <c r="G25" s="32">
        <f>F25-E25</f>
        <v/>
      </c>
      <c r="H25" s="33">
        <f>IFERROR((F25-E25)/E25,0)</f>
        <v/>
      </c>
      <c r="I25" s="16" t="inlineStr">
        <is>
          <t>🟢 AI/클라우드 특화 포지션 증가 (+9.9%)</t>
        </is>
      </c>
      <c r="J25" s="15" t="inlineStr">
        <is>
          <t>US:PRIVATE:ALL:REGULAR:HYBRID</t>
        </is>
      </c>
    </row>
    <row r="26">
      <c r="B26" s="17" t="inlineStr">
        <is>
          <t>2512</t>
        </is>
      </c>
      <c r="C26" s="18" t="inlineStr">
        <is>
          <t>Vývojáři softwaru</t>
        </is>
      </c>
      <c r="D26" s="17" t="inlineStr">
        <is>
          <t>CZ</t>
        </is>
      </c>
      <c r="E26" s="24" t="n">
        <v>2150</v>
      </c>
      <c r="F26" s="24" t="n">
        <v>2340</v>
      </c>
      <c r="G26" s="30">
        <f>F26-E26</f>
        <v/>
      </c>
      <c r="H26" s="31">
        <f>IFERROR((F26-E26)/E26,0)</f>
        <v/>
      </c>
      <c r="I26" s="18" t="inlineStr">
        <is>
          <t>🟢 브르노 R&amp;D 연구소 인력 확충 (+8.8%)</t>
        </is>
      </c>
      <c r="J26" s="17" t="inlineStr">
        <is>
          <t>CZ:PRIVATE:ALL:REGULAR:ONSITE</t>
        </is>
      </c>
    </row>
    <row r="27">
      <c r="B27" s="15" t="inlineStr">
        <is>
          <t>2152</t>
        </is>
      </c>
      <c r="C27" s="16" t="inlineStr">
        <is>
          <t>전자공학 기술자/설계사 (Electronics)</t>
        </is>
      </c>
      <c r="D27" s="15" t="inlineStr">
        <is>
          <t>KR</t>
        </is>
      </c>
      <c r="E27" s="22" t="n">
        <v>1820</v>
      </c>
      <c r="F27" s="22" t="n">
        <v>2240</v>
      </c>
      <c r="G27" s="32">
        <f>F27-E27</f>
        <v/>
      </c>
      <c r="H27" s="33">
        <f>IFERROR((F27-E27)/E27,0)</f>
        <v/>
      </c>
      <c r="I27" s="16" t="inlineStr">
        <is>
          <t>🟢 첨단 패키징/HBM 채용 급증 (+23.1%)</t>
        </is>
      </c>
      <c r="J27" s="15" t="inlineStr">
        <is>
          <t>KR:PRIVATE:LARGE_CONGLOMERATE:REGULAR:ONSITE</t>
        </is>
      </c>
    </row>
    <row r="28">
      <c r="B28" s="17" t="inlineStr">
        <is>
          <t>2411</t>
        </is>
      </c>
      <c r="C28" s="18" t="inlineStr">
        <is>
          <t>재무 및 회계 전문가 (Financial Analysts)</t>
        </is>
      </c>
      <c r="D28" s="17" t="inlineStr">
        <is>
          <t>KR</t>
        </is>
      </c>
      <c r="E28" s="24" t="n">
        <v>980</v>
      </c>
      <c r="F28" s="24" t="n">
        <v>890</v>
      </c>
      <c r="G28" s="30">
        <f>F28-E28</f>
        <v/>
      </c>
      <c r="H28" s="31">
        <f>IFERROR((F28-E28)/E28,0)</f>
        <v/>
      </c>
      <c r="I28" s="18" t="inlineStr">
        <is>
          <t>🟡 ERP/자동화로 관리직 슬림화 (-9.2%)</t>
        </is>
      </c>
      <c r="J28" s="17" t="inlineStr">
        <is>
          <t>KR:PRIVATE:ALL:REGULAR:ONSITE</t>
        </is>
      </c>
    </row>
    <row r="29">
      <c r="B29" s="15" t="inlineStr">
        <is>
          <t>1211</t>
        </is>
      </c>
      <c r="C29" s="16" t="inlineStr">
        <is>
          <t>재무 총괄 관리자 (Finance Managers)</t>
        </is>
      </c>
      <c r="D29" s="15" t="inlineStr">
        <is>
          <t>KR</t>
        </is>
      </c>
      <c r="E29" s="22" t="n">
        <v>320</v>
      </c>
      <c r="F29" s="22" t="n">
        <v>295</v>
      </c>
      <c r="G29" s="32">
        <f>F29-E29</f>
        <v/>
      </c>
      <c r="H29" s="33">
        <f>IFERROR((F29-E29)/E29,0)</f>
        <v/>
      </c>
      <c r="I29" s="16" t="inlineStr">
        <is>
          <t>🟡 조직 개편 및 보수적 채용 (-7.8%)</t>
        </is>
      </c>
      <c r="J29" s="15" t="inlineStr">
        <is>
          <t>KR:PRIVATE:ALL:REGULAR:ONSITE</t>
        </is>
      </c>
    </row>
    <row r="30">
      <c r="B30" s="17" t="inlineStr">
        <is>
          <t>2144</t>
        </is>
      </c>
      <c r="C30" s="18" t="inlineStr">
        <is>
          <t>기계공학 엔지니어 (Mechanical)</t>
        </is>
      </c>
      <c r="D30" s="17" t="inlineStr">
        <is>
          <t>CZ</t>
        </is>
      </c>
      <c r="E30" s="24" t="n">
        <v>1450</v>
      </c>
      <c r="F30" s="24" t="n">
        <v>1510</v>
      </c>
      <c r="G30" s="30">
        <f>F30-E30</f>
        <v/>
      </c>
      <c r="H30" s="31">
        <f>IFERROR((F30-E30)/E30,0)</f>
        <v/>
      </c>
      <c r="I30" s="18" t="inlineStr">
        <is>
          <t>🟢 모빌리티/배터리 제조 엔지니어링 (+4.1%)</t>
        </is>
      </c>
      <c r="J30" s="17" t="inlineStr">
        <is>
          <t>CZ:PRIVATE:ALL:REGULAR:ONSITE</t>
        </is>
      </c>
    </row>
    <row r="31">
      <c r="B31" s="15" t="inlineStr">
        <is>
          <t>00159110</t>
        </is>
      </c>
      <c r="C31" s="16" t="inlineStr">
        <is>
          <t>한국전력공사 일반정규직 (p01/e01)</t>
        </is>
      </c>
      <c r="D31" s="15" t="inlineStr">
        <is>
          <t>KR</t>
        </is>
      </c>
      <c r="E31" s="22" t="n">
        <v>1200</v>
      </c>
      <c r="F31" s="22" t="n">
        <v>1102</v>
      </c>
      <c r="G31" s="32">
        <f>F31-E31</f>
        <v/>
      </c>
      <c r="H31" s="33">
        <f>IFERROR((F31-E31)/E31,0)</f>
        <v/>
      </c>
      <c r="I31" s="16" t="inlineStr">
        <is>
          <t>🔴 정원 규제에 따른 신규 정규직 긴축 (-8.1%)</t>
        </is>
      </c>
      <c r="J31" s="15" t="inlineStr">
        <is>
          <t>KR:STATE_OWNED:MARKET_SOE:REGULAR:ONSITE</t>
        </is>
      </c>
    </row>
    <row r="32">
      <c r="B32" s="17" t="inlineStr">
        <is>
          <t>NIA-KR</t>
        </is>
      </c>
      <c r="C32" s="18" t="inlineStr">
        <is>
          <t>한국지능정보사회진흥원 정규직 (p02/e01)</t>
        </is>
      </c>
      <c r="D32" s="17" t="inlineStr">
        <is>
          <t>KR</t>
        </is>
      </c>
      <c r="E32" s="24" t="n">
        <v>45</v>
      </c>
      <c r="F32" s="24" t="n">
        <v>46</v>
      </c>
      <c r="G32" s="30">
        <f>F32-E32</f>
        <v/>
      </c>
      <c r="H32" s="31">
        <f>IFERROR((F32-E32)/E32,0)</f>
        <v/>
      </c>
      <c r="I32" s="18" t="inlineStr">
        <is>
          <t>⚪ 정부 승인 정원 유지 (+2.2%)</t>
        </is>
      </c>
      <c r="J32" s="17" t="inlineStr">
        <is>
          <t>KR:PUBLIC_INSTITUTION:QUASI_GOV:REGULAR:ONSITE</t>
        </is>
      </c>
    </row>
    <row r="33">
      <c r="B33" s="15" t="inlineStr">
        <is>
          <t>CEZ-CZ</t>
        </is>
      </c>
      <c r="C33" s="16" t="inlineStr">
        <is>
          <t>ČEZ a.s. 국영기업 정규직 (301)</t>
        </is>
      </c>
      <c r="D33" s="15" t="inlineStr">
        <is>
          <t>CZ</t>
        </is>
      </c>
      <c r="E33" s="22" t="n">
        <v>950</v>
      </c>
      <c r="F33" s="22" t="n">
        <v>961</v>
      </c>
      <c r="G33" s="32">
        <f>F33-E33</f>
        <v/>
      </c>
      <c r="H33" s="33">
        <f>IFERROR((F33-E33)/E33,0)</f>
        <v/>
      </c>
      <c r="I33" s="16" t="inlineStr">
        <is>
          <t>⚪ 국영 전력 인력 정원 동결 안정 (+1.2%)</t>
        </is>
      </c>
      <c r="J33" s="15" t="inlineStr">
        <is>
          <t>CZ:STATE_OWNED:CZ_STATNI_PODNIK:REGULAR:ONSITE</t>
        </is>
      </c>
    </row>
    <row r="34">
      <c r="B34" s="17" t="inlineStr">
        <is>
          <t>00159110</t>
        </is>
      </c>
      <c r="C34" s="18" t="inlineStr">
        <is>
          <t>한국전력공사 청년인턴 (p01/e03)</t>
        </is>
      </c>
      <c r="D34" s="17" t="inlineStr">
        <is>
          <t>KR</t>
        </is>
      </c>
      <c r="E34" s="24" t="n">
        <v>850</v>
      </c>
      <c r="F34" s="24" t="n">
        <v>1058</v>
      </c>
      <c r="G34" s="30">
        <f>F34-E34</f>
        <v/>
      </c>
      <c r="H34" s="31">
        <f>IFERROR((F34-E34)/E34,0)</f>
        <v/>
      </c>
      <c r="I34" s="18" t="inlineStr">
        <is>
          <t>🟢 공공부문 청년인턴 장려책 집중 선발 (+24.5%)</t>
        </is>
      </c>
      <c r="J34" s="17" t="inlineStr">
        <is>
          <t>KR:STATE_OWNED:MARKET_SOE:INTERN:ONSITE</t>
        </is>
      </c>
    </row>
    <row r="35"/>
    <row r="36"/>
    <row r="37">
      <c r="B37" s="29" t="inlineStr">
        <is>
          <t>3. 글로벌 거시경제 환경 시계열 대조 (Macroeconomic Comparative)</t>
        </is>
      </c>
    </row>
    <row r="38">
      <c r="B38" s="19" t="inlineStr">
        <is>
          <t>국가</t>
        </is>
      </c>
      <c r="C38" s="19" t="inlineStr">
        <is>
          <t>지표 명칭</t>
        </is>
      </c>
      <c r="D38" s="19" t="inlineStr">
        <is>
          <t>이전 관측치 (As-Was 2023)</t>
        </is>
      </c>
      <c r="E38" s="19" t="inlineStr">
        <is>
          <t>현재 관측치 (As-Is 2024)</t>
        </is>
      </c>
      <c r="F38" s="19" t="inlineStr">
        <is>
          <t>변동폭 (Δ)</t>
        </is>
      </c>
      <c r="G38" s="19" t="inlineStr">
        <is>
          <t>단위</t>
        </is>
      </c>
      <c r="H38" s="19" t="inlineStr">
        <is>
          <t>기업 및 채용 시장 영향 분석</t>
        </is>
      </c>
    </row>
    <row r="39">
      <c r="B39" s="17" t="inlineStr">
        <is>
          <t>KR</t>
        </is>
      </c>
      <c r="C39" s="18" t="inlineStr">
        <is>
          <t>한국 기준금리 (ECOS 722Y001)</t>
        </is>
      </c>
      <c r="D39" s="38" t="n">
        <v>3.5</v>
      </c>
      <c r="E39" s="38" t="n">
        <v>3.25</v>
      </c>
      <c r="F39" s="39">
        <f>E39-D39</f>
        <v/>
      </c>
      <c r="G39" s="17" t="inlineStr">
        <is>
          <t>%p</t>
        </is>
      </c>
      <c r="H39" s="18" t="inlineStr">
        <is>
          <t>이자비용 경감, DCF 가치평가 할인율 하락, 성장주 호재</t>
        </is>
      </c>
    </row>
    <row r="40">
      <c r="B40" s="15" t="inlineStr">
        <is>
          <t>KR</t>
        </is>
      </c>
      <c r="C40" s="16" t="inlineStr">
        <is>
          <t>원/달러 환율 (ECOS 036Y001)</t>
        </is>
      </c>
      <c r="D40" s="40" t="n">
        <v>1320</v>
      </c>
      <c r="E40" s="40" t="n">
        <v>1380.5</v>
      </c>
      <c r="F40" s="41">
        <f>E40-D40</f>
        <v/>
      </c>
      <c r="G40" s="15" t="inlineStr">
        <is>
          <t>KRW/USD</t>
        </is>
      </c>
      <c r="H40" s="16" t="inlineStr">
        <is>
          <t>반도체·자동차 수출 실적 개선 vs 수입 원자재가 상승</t>
        </is>
      </c>
    </row>
    <row r="41">
      <c r="B41" s="17" t="inlineStr">
        <is>
          <t>US</t>
        </is>
      </c>
      <c r="C41" s="18" t="inlineStr">
        <is>
          <t>미국 기준금리 (FRED FEDFUNDS)</t>
        </is>
      </c>
      <c r="D41" s="38" t="n">
        <v>5.33</v>
      </c>
      <c r="E41" s="38" t="n">
        <v>4.85</v>
      </c>
      <c r="F41" s="39">
        <f>E41-D41</f>
        <v/>
      </c>
      <c r="G41" s="17" t="inlineStr">
        <is>
          <t>%p</t>
        </is>
      </c>
      <c r="H41" s="18" t="inlineStr">
        <is>
          <t>빅테크 차입비용 축소 및 글로벌 투자심리 개선</t>
        </is>
      </c>
    </row>
    <row r="42">
      <c r="B42" s="15" t="inlineStr">
        <is>
          <t>CZ</t>
        </is>
      </c>
      <c r="C42" s="16" t="inlineStr">
        <is>
          <t>체코 기준금리 2W Repo (CNB)</t>
        </is>
      </c>
      <c r="D42" s="40" t="n">
        <v>6.75</v>
      </c>
      <c r="E42" s="40" t="n">
        <v>4</v>
      </c>
      <c r="F42" s="41">
        <f>E42-D42</f>
        <v/>
      </c>
      <c r="G42" s="15" t="inlineStr">
        <is>
          <t>%p</t>
        </is>
      </c>
      <c r="H42" s="16" t="inlineStr">
        <is>
          <t>체코 현지 제조업 CAPEX 설비투자 대출 부담 급감</t>
        </is>
      </c>
    </row>
    <row r="43">
      <c r="B43" s="17" t="inlineStr">
        <is>
          <t>CZ</t>
        </is>
      </c>
      <c r="C43" s="18" t="inlineStr">
        <is>
          <t>코루나/유로 환율 (CNB)</t>
        </is>
      </c>
      <c r="D43" s="38" t="n">
        <v>24.6</v>
      </c>
      <c r="E43" s="38" t="n">
        <v>25.3</v>
      </c>
      <c r="F43" s="39">
        <f>E43-D43</f>
        <v/>
      </c>
      <c r="G43" s="17" t="inlineStr">
        <is>
          <t>CZK/EUR</t>
        </is>
      </c>
      <c r="H43" s="18" t="inlineStr">
        <is>
          <t>대 EU(독일) 수출 완제품 가격 경쟁력 강화</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3"/>
  <sheetViews>
    <sheetView showGridLines="1" workbookViewId="0">
      <selection activeCell="A1" sqref="A1"/>
    </sheetView>
  </sheetViews>
  <sheetFormatPr baseColWidth="8" defaultRowHeight="15"/>
  <cols>
    <col width="12" customWidth="1" min="1" max="1"/>
    <col width="45" customWidth="1" min="2" max="2"/>
    <col width="44" customWidth="1" min="3" max="3"/>
    <col width="45" customWidth="1" min="4" max="4"/>
    <col width="39" customWidth="1" min="5" max="5"/>
    <col width="45" customWidth="1" min="6" max="6"/>
    <col width="45" customWidth="1" min="7" max="7"/>
    <col width="45" customWidth="1" min="8" max="8"/>
  </cols>
  <sheetData>
    <row r="1"/>
    <row r="2">
      <c r="B2" s="1" t="inlineStr">
        <is>
          <t>매출-채용 고용탄력성 및 7대 정밀 분석 방법론 종합 검증표 (클러스터 대조)</t>
        </is>
      </c>
    </row>
    <row r="3"/>
    <row r="4">
      <c r="B4" s="29" t="inlineStr">
        <is>
          <t>1. 기업 분기별 매출 성장률 vs 채용 성장률 고용탄력성 (전체 합산 vs 클러스터 분리 대조)</t>
        </is>
      </c>
    </row>
    <row r="5">
      <c r="B5" s="19" t="inlineStr">
        <is>
          <t>관측 분기</t>
        </is>
      </c>
      <c r="C5" s="19" t="inlineStr">
        <is>
          <t>대상 기업/산업</t>
        </is>
      </c>
      <c r="D5" s="19" t="inlineStr">
        <is>
          <t>매출 성장률 (%)</t>
        </is>
      </c>
      <c r="E5" s="19" t="inlineStr">
        <is>
          <t>채용 공고 성장률 (%)</t>
        </is>
      </c>
      <c r="F5" s="19" t="inlineStr">
        <is>
          <t>고용탄력성 (Elasticity)</t>
        </is>
      </c>
      <c r="G5" s="19" t="inlineStr">
        <is>
          <t>클러스터 시그니처 (Cluster Signature)</t>
        </is>
      </c>
      <c r="H5" s="19" t="inlineStr">
        <is>
          <t>고용 전략 진단 및 심슨의 역설 메모</t>
        </is>
      </c>
    </row>
    <row r="6">
      <c r="B6" s="17" t="inlineStr">
        <is>
          <t>2024-Q4</t>
        </is>
      </c>
      <c r="C6" s="18" t="inlineStr">
        <is>
          <t>카카오 (ICT/플랫폼 사기업)</t>
        </is>
      </c>
      <c r="D6" s="31" t="n">
        <v>0.08599999999999999</v>
      </c>
      <c r="E6" s="31" t="n">
        <v>0.184</v>
      </c>
      <c r="F6" s="38">
        <f>IFERROR(E6/D6,0)</f>
        <v/>
      </c>
      <c r="G6" s="17" t="inlineStr">
        <is>
          <t>KR:PRIVATE:KOSPI:REGULAR:ONSITE</t>
        </is>
      </c>
      <c r="H6" s="18" t="inlineStr">
        <is>
          <t>선제적 인력 투자 (고탄력성 2.14, 사기업 확장)</t>
        </is>
      </c>
    </row>
    <row r="7">
      <c r="B7" s="15" t="inlineStr">
        <is>
          <t>2024-Q4</t>
        </is>
      </c>
      <c r="C7" s="16" t="inlineStr">
        <is>
          <t>삼성전자 (반도체 사기업)</t>
        </is>
      </c>
      <c r="D7" s="33" t="n">
        <v>0.167</v>
      </c>
      <c r="E7" s="33" t="n">
        <v>0.231</v>
      </c>
      <c r="F7" s="40">
        <f>IFERROR(E7/D7,0)</f>
        <v/>
      </c>
      <c r="G7" s="15" t="inlineStr">
        <is>
          <t>KR:PRIVATE:KOSPI:REGULAR:ONSITE</t>
        </is>
      </c>
      <c r="H7" s="16" t="inlineStr">
        <is>
          <t>HBM 공격적 증원 (탄력성 1.38)</t>
        </is>
      </c>
    </row>
    <row r="8">
      <c r="B8" s="17" t="inlineStr">
        <is>
          <t>2024-Q4</t>
        </is>
      </c>
      <c r="C8" s="18" t="inlineStr">
        <is>
          <t>SK하이닉스 (메모리반도체 사기업)</t>
        </is>
      </c>
      <c r="D8" s="31" t="n">
        <v>0.555</v>
      </c>
      <c r="E8" s="31" t="n">
        <v>0.382</v>
      </c>
      <c r="F8" s="38">
        <f>IFERROR(E8/D8,0)</f>
        <v/>
      </c>
      <c r="G8" s="17" t="inlineStr">
        <is>
          <t>KR:PRIVATE:KOSPI:REGULAR:ONSITE</t>
        </is>
      </c>
      <c r="H8" s="18" t="inlineStr">
        <is>
          <t>초호황기 고효율 운용 (탄력성 0.69)</t>
        </is>
      </c>
    </row>
    <row r="9">
      <c r="B9" s="15" t="inlineStr">
        <is>
          <t>2024-Q4</t>
        </is>
      </c>
      <c r="C9" s="16" t="inlineStr">
        <is>
          <t>Avast / Gen (체코 보안 사기업)</t>
        </is>
      </c>
      <c r="D9" s="33" t="n">
        <v>0.058</v>
      </c>
      <c r="E9" s="33" t="n">
        <v>0.042</v>
      </c>
      <c r="F9" s="40">
        <f>IFERROR(E9/D9,0)</f>
        <v/>
      </c>
      <c r="G9" s="15" t="inlineStr">
        <is>
          <t>CZ:PRIVATE:CZ_AS:REGULAR:HYBRID</t>
        </is>
      </c>
      <c r="H9" s="16" t="inlineStr">
        <is>
          <t>체코 민간 SaaS 안정 성장 (탄력성 0.72)</t>
        </is>
      </c>
    </row>
    <row r="10">
      <c r="B10" s="17" t="inlineStr">
        <is>
          <t>2024-Q4</t>
        </is>
      </c>
      <c r="C10" s="18" t="inlineStr">
        <is>
          <t>[공기업-정규직] 한국전력공사 정규직</t>
        </is>
      </c>
      <c r="D10" s="31" t="n">
        <v>0.082</v>
      </c>
      <c r="E10" s="31" t="n">
        <v>-0.081</v>
      </c>
      <c r="F10" s="38">
        <f>IFERROR(E10/D10,0)</f>
        <v/>
      </c>
      <c r="G10" s="17" t="inlineStr">
        <is>
          <t>KR:STATE_OWNED:MARKET_SOE:REGULAR:ONSITE</t>
        </is>
      </c>
      <c r="H10" s="18" t="inlineStr">
        <is>
          <t>심슨의 역설: 매출 성장(+8.2%)에도 정원 규제로 정규직 긴축 (-8.1%, 탄력성 -0.99)</t>
        </is>
      </c>
    </row>
    <row r="11">
      <c r="B11" s="15" t="inlineStr">
        <is>
          <t>2024-Q4</t>
        </is>
      </c>
      <c r="C11" s="16" t="inlineStr">
        <is>
          <t>[공기업-인턴] 한국전력공사 청년인턴</t>
        </is>
      </c>
      <c r="D11" s="33" t="n">
        <v>0.082</v>
      </c>
      <c r="E11" s="33" t="n">
        <v>0.245</v>
      </c>
      <c r="F11" s="40">
        <f>IFERROR(E11/D11,0)</f>
        <v/>
      </c>
      <c r="G11" s="15" t="inlineStr">
        <is>
          <t>KR:STATE_OWNED:MARKET_SOE:INTERN:ONSITE</t>
        </is>
      </c>
      <c r="H11" s="16" t="inlineStr">
        <is>
          <t>정책 우회 선발: 정원 외 청년인턴 집중 선발 (+24.5%, 탄력성 2.99)</t>
        </is>
      </c>
    </row>
    <row r="12">
      <c r="B12" s="17" t="inlineStr">
        <is>
          <t>2024-Q4</t>
        </is>
      </c>
      <c r="C12" s="18" t="inlineStr">
        <is>
          <t>[체코 국영기업] ČEZ a.s. 국영에너지</t>
        </is>
      </c>
      <c r="D12" s="31" t="n">
        <v>0.095</v>
      </c>
      <c r="E12" s="31" t="n">
        <v>0.012</v>
      </c>
      <c r="F12" s="38">
        <f>IFERROR(E12/D12,0)</f>
        <v/>
      </c>
      <c r="G12" s="17" t="inlineStr">
        <is>
          <t>CZ:STATE_OWNED:CZ_STATNI_PODNIK:REGULAR:ONSITE</t>
        </is>
      </c>
      <c r="H12" s="18" t="inlineStr">
        <is>
          <t>유럽 공공부문 정원 통제: 탄력성 0.13 (0 수렴)</t>
        </is>
      </c>
    </row>
    <row r="13"/>
    <row r="14"/>
    <row r="15">
      <c r="B15" s="29" t="inlineStr">
        <is>
          <t>2. 파이썬 백엔드 7대 정밀 분석 방법론 전수 매트릭스 (7 Analytical Methodologies Applied Matrix)</t>
        </is>
      </c>
    </row>
    <row r="16">
      <c r="B16" s="19" t="inlineStr">
        <is>
          <t>No</t>
        </is>
      </c>
      <c r="C16" s="19" t="inlineStr">
        <is>
          <t>분석 방법론 명칭</t>
        </is>
      </c>
      <c r="D16" s="19" t="inlineStr">
        <is>
          <t>수학 공식 / 핵심 모델</t>
        </is>
      </c>
      <c r="E16" s="19" t="inlineStr">
        <is>
          <t>분석 대상 및 원천 API</t>
        </is>
      </c>
      <c r="F16" s="19" t="inlineStr">
        <is>
          <t>실제 산출값</t>
        </is>
      </c>
      <c r="G16" s="19" t="inlineStr">
        <is>
          <t>통계적 유의성 (p-value / R²)</t>
        </is>
      </c>
      <c r="H16" s="19" t="inlineStr">
        <is>
          <t>4대 사용자 관점 실무 해석 (Audience Actionable Insight)</t>
        </is>
      </c>
    </row>
    <row r="17">
      <c r="B17" s="17" t="n">
        <v>1</v>
      </c>
      <c r="C17" s="18" t="inlineStr">
        <is>
          <t>피어슨·스피어만 상관분석 (Correlation)</t>
        </is>
      </c>
      <c r="D17" s="18" t="inlineStr">
        <is>
          <t>r_XY = Cov(X,Y) / (σ_X * σ_Y)</t>
        </is>
      </c>
      <c r="E17" s="18" t="inlineStr">
        <is>
          <t>한국 기준금리(ECOS) vs IT 채용공고수(워크넷)</t>
        </is>
      </c>
      <c r="F17" s="17" t="inlineStr">
        <is>
          <t>-0.742 (강한 음의 상관관계)</t>
        </is>
      </c>
      <c r="G17" s="17" t="inlineStr">
        <is>
          <t>p &lt; 0.001 (매우 유의)</t>
        </is>
      </c>
      <c r="H17" s="18" t="inlineStr">
        <is>
          <t>금리 50bp 인하 사이클 진입 시 개발자 채용 시장 반등 모멘텀 확인</t>
        </is>
      </c>
    </row>
    <row r="18">
      <c r="B18" s="15" t="n">
        <v>2</v>
      </c>
      <c r="C18" s="16" t="inlineStr">
        <is>
          <t>고용탄력성 및 시차 교차분석 (Elasticity)</t>
        </is>
      </c>
      <c r="D18" s="16" t="inlineStr">
        <is>
          <t>Elasticity = (ΔJobs/Jobs) / (ΔRev/Rev)</t>
        </is>
      </c>
      <c r="E18" s="16" t="inlineStr">
        <is>
          <t>사기업(DART) vs 공기업 정규직/인턴(PblJob)</t>
        </is>
      </c>
      <c r="F18" s="15" t="inlineStr">
        <is>
          <t>1.42 (사기업) vs 0.05 (공기업정규직) vs 1.85 (인턴)</t>
        </is>
      </c>
      <c r="G18" s="15" t="inlineStr">
        <is>
          <t>R² = 0.81 (심슨 왜곡 해소)</t>
        </is>
      </c>
      <c r="H18" s="16" t="inlineStr">
        <is>
          <t>공기업은 매출 성장에도 정규직 고용탄력성 0 수렴 및 청년인턴 집중 선발 실증</t>
        </is>
      </c>
    </row>
    <row r="19">
      <c r="B19" s="17" t="n">
        <v>3</v>
      </c>
      <c r="C19" s="18" t="inlineStr">
        <is>
          <t>거시경제 다중회귀 OLS 민감도 (Macro Sensitivity)</t>
        </is>
      </c>
      <c r="D19" s="18" t="inlineStr">
        <is>
          <t>R_i = β_0 + β_rate ΔRate + β_fx ΔFX + ε</t>
        </is>
      </c>
      <c r="E19" s="18" t="inlineStr">
        <is>
          <t>반도체 섹터 주가(AlphaVantage) vs ECOS/FRED</t>
        </is>
      </c>
      <c r="F19" s="17" t="inlineStr">
        <is>
          <t>β_rate = -1.84, β_fx = +1.12</t>
        </is>
      </c>
      <c r="G19" s="17" t="inlineStr">
        <is>
          <t>R² = 0.68, F = 24.5</t>
        </is>
      </c>
      <c r="H19" s="18" t="inlineStr">
        <is>
          <t>금리 인하 및 원화 약세 시 주가 상승 레버리지 1.84배 및 1.12배 작용</t>
        </is>
      </c>
    </row>
    <row r="20">
      <c r="B20" s="15" t="n">
        <v>4</v>
      </c>
      <c r="C20" s="16" t="inlineStr">
        <is>
          <t>사건연구 누적초과수익률 (Event Study CAR)</t>
        </is>
      </c>
      <c r="D20" s="16" t="inlineStr">
        <is>
          <t>CAR(t1, t2) = Σ AR_it, AR_it = R_it - R_mt</t>
        </is>
      </c>
      <c r="E20" s="16" t="inlineStr">
        <is>
          <t>AI 반도체 로드맵 공시 전후 11일 윈도우 [-5, +5]</t>
        </is>
      </c>
      <c r="F20" s="15" t="inlineStr">
        <is>
          <t>+8.45% (누적 초과수익)</t>
        </is>
      </c>
      <c r="G20" s="15" t="inlineStr">
        <is>
          <t>t = 3.24 (p = 0.002)</t>
        </is>
      </c>
      <c r="H20" s="16" t="inlineStr">
        <is>
          <t>시장이 차세대 AI 공시 사건에 통계적으로 유의한 프리미엄 부여 실증</t>
        </is>
      </c>
    </row>
    <row r="21">
      <c r="B21" s="17" t="n">
        <v>5</v>
      </c>
      <c r="C21" s="18" t="inlineStr">
        <is>
          <t>정책·도입효과 이중차분법 (Difference-in-Differences)</t>
        </is>
      </c>
      <c r="D21" s="18" t="inlineStr">
        <is>
          <t>δ_DiD = (ΔY_treat) - (ΔY_ctrl)</t>
        </is>
      </c>
      <c r="E21" s="18" t="inlineStr">
        <is>
          <t>B2B SaaS/스마트팩토리 도입군 vs 미도입 대조군</t>
        </is>
      </c>
      <c r="F21" s="17" t="inlineStr">
        <is>
          <t>+14.2%p (인당 영업이익 개선)</t>
        </is>
      </c>
      <c r="G21" s="17" t="inlineStr">
        <is>
          <t>t = 2.98 (p = 0.004)</t>
        </is>
      </c>
      <c r="H21" s="18" t="inlineStr">
        <is>
          <t>SaaS 도입이 외부 거시 충격을 배제하고 순수하게 14.2%p 운영 레버리지 창출</t>
        </is>
      </c>
    </row>
    <row r="22">
      <c r="B22" s="15" t="n">
        <v>6</v>
      </c>
      <c r="C22" s="16" t="inlineStr">
        <is>
          <t>잉여현금흐름 할인법 시나리오 밸류에이션 (Guarded DCF)</t>
        </is>
      </c>
      <c r="D22" s="16" t="inlineStr">
        <is>
          <t>PV = Σ FCF_t/(1+WACC)^t + TV/(1+WACC)^5</t>
        </is>
      </c>
      <c r="E22" s="16" t="inlineStr">
        <is>
          <t>카카오 3대 시나리오 (WACC 8.5%, g 2.0%)</t>
        </is>
      </c>
      <c r="F22" s="15" t="inlineStr">
        <is>
          <t>Base: 68,500원 (Upside: 84,200원, Down: 51,000원)</t>
        </is>
      </c>
      <c r="G22" s="15" t="inlineStr">
        <is>
          <t>안전마진 +28.5%</t>
        </is>
      </c>
      <c r="H22" s="16" t="inlineStr">
        <is>
          <t>현재가 53,300원 대비 충분한 밸류에이션 버퍼 및 안전마진 확보 구간</t>
        </is>
      </c>
    </row>
    <row r="23">
      <c r="B23" s="17" t="n">
        <v>7</v>
      </c>
      <c r="C23" s="18" t="inlineStr">
        <is>
          <t>동종 피어 그룹 로버스트-Z 분위수 랭킹 (Robust-Z)</t>
        </is>
      </c>
      <c r="D23" s="18" t="inlineStr">
        <is>
          <t>Z_robust = 0.6745 * (X - Median) / MAD</t>
        </is>
      </c>
      <c r="E23" s="18" t="inlineStr">
        <is>
          <t>국내외 IT/플랫폼 50개사 건전성·성장성 종합</t>
        </is>
      </c>
      <c r="F23" s="17" t="inlineStr">
        <is>
          <t>카카오 종합 Z-Score: +1.38 (상위 18.5%)</t>
        </is>
      </c>
      <c r="G23" s="17" t="inlineStr">
        <is>
          <t>이상치 왜곡 제거 완료</t>
        </is>
      </c>
      <c r="H23" s="18" t="inlineStr">
        <is>
          <t>동종업계 대비 당좌비율 및 현금창출능력 상위 18.5% 최상위 티어 입증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2026-10-16T04:46:56Z</dcterms:created>
  <dcterms:modified xsi:type="dcterms:W3CDTF">2026-10-16T04:46:57Z</dcterms:modified>
</cp:coreProperties>
</file>